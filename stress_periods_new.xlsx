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n\Documents\Uni\Siena_WS25_26\Resesrch Boido\Data_coingecko_cryptos_03_2026\data_modified\"/>
    </mc:Choice>
  </mc:AlternateContent>
  <xr:revisionPtr revIDLastSave="0" documentId="13_ncr:1_{5FB13C99-9598-42A1-B15E-E75C568DA2EF}" xr6:coauthVersionLast="47" xr6:coauthVersionMax="47" xr10:uidLastSave="{00000000-0000-0000-0000-000000000000}"/>
  <bookViews>
    <workbookView xWindow="-120" yWindow="-120" windowWidth="20730" windowHeight="11160" xr2:uid="{02463403-1A82-46E0-9D20-6FA95C2541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N3" i="1"/>
  <c r="J2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610" i="1"/>
  <c r="J2252" i="1" s="1"/>
  <c r="C1609" i="1"/>
  <c r="J2251" i="1" s="1"/>
  <c r="C1608" i="1"/>
  <c r="J2250" i="1" s="1"/>
  <c r="C1607" i="1"/>
  <c r="J2249" i="1" s="1"/>
  <c r="C1606" i="1"/>
  <c r="J2248" i="1" s="1"/>
  <c r="C1605" i="1"/>
  <c r="J2247" i="1" s="1"/>
  <c r="C1604" i="1"/>
  <c r="J2244" i="1" s="1"/>
  <c r="C1603" i="1"/>
  <c r="J2243" i="1" s="1"/>
  <c r="C1602" i="1"/>
  <c r="J2242" i="1" s="1"/>
  <c r="C1601" i="1"/>
  <c r="J2241" i="1" s="1"/>
  <c r="C1600" i="1"/>
  <c r="J2240" i="1" s="1"/>
  <c r="C1599" i="1"/>
  <c r="J2237" i="1" s="1"/>
  <c r="C1598" i="1"/>
  <c r="J2236" i="1" s="1"/>
  <c r="C1597" i="1"/>
  <c r="J2235" i="1" s="1"/>
  <c r="C1596" i="1"/>
  <c r="J2234" i="1" s="1"/>
  <c r="C1595" i="1"/>
  <c r="J2233" i="1" s="1"/>
  <c r="C1594" i="1"/>
  <c r="J2230" i="1" s="1"/>
  <c r="J2231" i="1" s="1"/>
  <c r="J2232" i="1" s="1"/>
  <c r="C1593" i="1"/>
  <c r="J2229" i="1" s="1"/>
  <c r="C1592" i="1"/>
  <c r="J2228" i="1" s="1"/>
  <c r="C1591" i="1"/>
  <c r="J2227" i="1" s="1"/>
  <c r="C1590" i="1"/>
  <c r="J2226" i="1" s="1"/>
  <c r="C1589" i="1"/>
  <c r="J2223" i="1" s="1"/>
  <c r="J2224" i="1" s="1"/>
  <c r="C1588" i="1"/>
  <c r="J2222" i="1" s="1"/>
  <c r="C1587" i="1"/>
  <c r="J2221" i="1" s="1"/>
  <c r="C1586" i="1"/>
  <c r="J2220" i="1" s="1"/>
  <c r="C1585" i="1"/>
  <c r="J2219" i="1" s="1"/>
  <c r="C1584" i="1"/>
  <c r="J2216" i="1" s="1"/>
  <c r="C1583" i="1"/>
  <c r="J2215" i="1" s="1"/>
  <c r="C1582" i="1"/>
  <c r="J2214" i="1" s="1"/>
  <c r="C1581" i="1"/>
  <c r="J2213" i="1" s="1"/>
  <c r="C1580" i="1"/>
  <c r="J2212" i="1" s="1"/>
  <c r="C1579" i="1"/>
  <c r="J2209" i="1" s="1"/>
  <c r="C1578" i="1"/>
  <c r="J2208" i="1" s="1"/>
  <c r="C1577" i="1"/>
  <c r="J2207" i="1" s="1"/>
  <c r="C1576" i="1"/>
  <c r="J2206" i="1" s="1"/>
  <c r="C1575" i="1"/>
  <c r="J2205" i="1" s="1"/>
  <c r="C1574" i="1"/>
  <c r="J2202" i="1" s="1"/>
  <c r="J2203" i="1" s="1"/>
  <c r="J2204" i="1" s="1"/>
  <c r="C1573" i="1"/>
  <c r="J2201" i="1" s="1"/>
  <c r="C1572" i="1"/>
  <c r="J2200" i="1" s="1"/>
  <c r="C1571" i="1"/>
  <c r="J2199" i="1" s="1"/>
  <c r="C1570" i="1"/>
  <c r="J2198" i="1" s="1"/>
  <c r="C1569" i="1"/>
  <c r="J2195" i="1" s="1"/>
  <c r="J2196" i="1" s="1"/>
  <c r="C1568" i="1"/>
  <c r="J2194" i="1" s="1"/>
  <c r="C1567" i="1"/>
  <c r="J2193" i="1" s="1"/>
  <c r="C1566" i="1"/>
  <c r="J2192" i="1" s="1"/>
  <c r="C1565" i="1"/>
  <c r="J2191" i="1" s="1"/>
  <c r="C1564" i="1"/>
  <c r="J2188" i="1" s="1"/>
  <c r="C1563" i="1"/>
  <c r="J2187" i="1" s="1"/>
  <c r="C1562" i="1"/>
  <c r="J2186" i="1" s="1"/>
  <c r="C1561" i="1"/>
  <c r="J2185" i="1" s="1"/>
  <c r="C1560" i="1"/>
  <c r="J2184" i="1" s="1"/>
  <c r="C1559" i="1"/>
  <c r="J2181" i="1" s="1"/>
  <c r="C1558" i="1"/>
  <c r="J2180" i="1" s="1"/>
  <c r="C1557" i="1"/>
  <c r="J2179" i="1" s="1"/>
  <c r="C1556" i="1"/>
  <c r="J2178" i="1" s="1"/>
  <c r="C1555" i="1"/>
  <c r="J2177" i="1" s="1"/>
  <c r="C1554" i="1"/>
  <c r="J2174" i="1" s="1"/>
  <c r="J2175" i="1" s="1"/>
  <c r="J2176" i="1" s="1"/>
  <c r="C1553" i="1"/>
  <c r="J2173" i="1" s="1"/>
  <c r="C1552" i="1"/>
  <c r="J2172" i="1" s="1"/>
  <c r="C1551" i="1"/>
  <c r="J2171" i="1" s="1"/>
  <c r="C1550" i="1"/>
  <c r="J2170" i="1" s="1"/>
  <c r="C1549" i="1"/>
  <c r="J2167" i="1" s="1"/>
  <c r="C1548" i="1"/>
  <c r="J2166" i="1" s="1"/>
  <c r="C1547" i="1"/>
  <c r="J2165" i="1" s="1"/>
  <c r="C1546" i="1"/>
  <c r="J2164" i="1" s="1"/>
  <c r="C1545" i="1"/>
  <c r="J2163" i="1" s="1"/>
  <c r="C1544" i="1"/>
  <c r="J2160" i="1" s="1"/>
  <c r="C1543" i="1"/>
  <c r="J2159" i="1" s="1"/>
  <c r="C1542" i="1"/>
  <c r="J2158" i="1" s="1"/>
  <c r="C1541" i="1"/>
  <c r="J2157" i="1" s="1"/>
  <c r="C1540" i="1"/>
  <c r="J2156" i="1" s="1"/>
  <c r="C1539" i="1"/>
  <c r="J2153" i="1" s="1"/>
  <c r="C1538" i="1"/>
  <c r="J2152" i="1" s="1"/>
  <c r="C1537" i="1"/>
  <c r="J2151" i="1" s="1"/>
  <c r="C1536" i="1"/>
  <c r="J2150" i="1" s="1"/>
  <c r="C1535" i="1"/>
  <c r="J2149" i="1" s="1"/>
  <c r="C1534" i="1"/>
  <c r="J2146" i="1" s="1"/>
  <c r="J2147" i="1" s="1"/>
  <c r="J2148" i="1" s="1"/>
  <c r="C1533" i="1"/>
  <c r="J2145" i="1" s="1"/>
  <c r="C1532" i="1"/>
  <c r="J2144" i="1" s="1"/>
  <c r="C1531" i="1"/>
  <c r="J2143" i="1" s="1"/>
  <c r="C1530" i="1"/>
  <c r="J2142" i="1" s="1"/>
  <c r="C1529" i="1"/>
  <c r="J2139" i="1" s="1"/>
  <c r="J2140" i="1" s="1"/>
  <c r="C1528" i="1"/>
  <c r="J2138" i="1" s="1"/>
  <c r="C1527" i="1"/>
  <c r="J2137" i="1" s="1"/>
  <c r="C1526" i="1"/>
  <c r="J2136" i="1" s="1"/>
  <c r="C1525" i="1"/>
  <c r="J2135" i="1" s="1"/>
  <c r="C1524" i="1"/>
  <c r="J2132" i="1" s="1"/>
  <c r="C1523" i="1"/>
  <c r="J2131" i="1" s="1"/>
  <c r="C1522" i="1"/>
  <c r="J2130" i="1" s="1"/>
  <c r="C1521" i="1"/>
  <c r="J2129" i="1" s="1"/>
  <c r="C1520" i="1"/>
  <c r="J2128" i="1" s="1"/>
  <c r="C1519" i="1"/>
  <c r="J2125" i="1" s="1"/>
  <c r="C1518" i="1"/>
  <c r="J2124" i="1" s="1"/>
  <c r="C1517" i="1"/>
  <c r="J2123" i="1" s="1"/>
  <c r="C1516" i="1"/>
  <c r="J2122" i="1" s="1"/>
  <c r="C1515" i="1"/>
  <c r="J2121" i="1" s="1"/>
  <c r="C1514" i="1"/>
  <c r="J2118" i="1" s="1"/>
  <c r="J2119" i="1" s="1"/>
  <c r="J2120" i="1" s="1"/>
  <c r="C1513" i="1"/>
  <c r="J2117" i="1" s="1"/>
  <c r="C1512" i="1"/>
  <c r="J2116" i="1" s="1"/>
  <c r="C1511" i="1"/>
  <c r="J2115" i="1" s="1"/>
  <c r="C1510" i="1"/>
  <c r="J2114" i="1" s="1"/>
  <c r="C1509" i="1"/>
  <c r="J2111" i="1" s="1"/>
  <c r="C1508" i="1"/>
  <c r="J2110" i="1" s="1"/>
  <c r="C1507" i="1"/>
  <c r="J2109" i="1" s="1"/>
  <c r="C1506" i="1"/>
  <c r="J2108" i="1" s="1"/>
  <c r="C1505" i="1"/>
  <c r="J2107" i="1" s="1"/>
  <c r="C1504" i="1"/>
  <c r="J2104" i="1" s="1"/>
  <c r="C1503" i="1"/>
  <c r="J2103" i="1" s="1"/>
  <c r="C1502" i="1"/>
  <c r="J2102" i="1" s="1"/>
  <c r="C1501" i="1"/>
  <c r="J2101" i="1" s="1"/>
  <c r="C1500" i="1"/>
  <c r="J2100" i="1" s="1"/>
  <c r="C1499" i="1"/>
  <c r="J2097" i="1" s="1"/>
  <c r="C1498" i="1"/>
  <c r="J2096" i="1" s="1"/>
  <c r="C1497" i="1"/>
  <c r="J2095" i="1" s="1"/>
  <c r="C1496" i="1"/>
  <c r="J2094" i="1" s="1"/>
  <c r="C1495" i="1"/>
  <c r="J2093" i="1" s="1"/>
  <c r="C1494" i="1"/>
  <c r="J2090" i="1" s="1"/>
  <c r="J2091" i="1" s="1"/>
  <c r="J2092" i="1" s="1"/>
  <c r="C1493" i="1"/>
  <c r="J2089" i="1" s="1"/>
  <c r="C1492" i="1"/>
  <c r="J2088" i="1" s="1"/>
  <c r="C1491" i="1"/>
  <c r="J2087" i="1" s="1"/>
  <c r="C1490" i="1"/>
  <c r="J2086" i="1" s="1"/>
  <c r="C1489" i="1"/>
  <c r="J2083" i="1" s="1"/>
  <c r="J2084" i="1" s="1"/>
  <c r="C1488" i="1"/>
  <c r="J2082" i="1" s="1"/>
  <c r="C1487" i="1"/>
  <c r="J2081" i="1" s="1"/>
  <c r="C1486" i="1"/>
  <c r="J2080" i="1" s="1"/>
  <c r="C1485" i="1"/>
  <c r="J2079" i="1" s="1"/>
  <c r="C1484" i="1"/>
  <c r="J2076" i="1" s="1"/>
  <c r="C1483" i="1"/>
  <c r="J2075" i="1" s="1"/>
  <c r="C1482" i="1"/>
  <c r="J2074" i="1" s="1"/>
  <c r="C1481" i="1"/>
  <c r="J2073" i="1" s="1"/>
  <c r="C1480" i="1"/>
  <c r="J2072" i="1" s="1"/>
  <c r="C1479" i="1"/>
  <c r="J2069" i="1" s="1"/>
  <c r="C1478" i="1"/>
  <c r="J2068" i="1" s="1"/>
  <c r="C1477" i="1"/>
  <c r="J2067" i="1" s="1"/>
  <c r="C1476" i="1"/>
  <c r="J2066" i="1" s="1"/>
  <c r="C1475" i="1"/>
  <c r="J2065" i="1" s="1"/>
  <c r="C1474" i="1"/>
  <c r="J2062" i="1" s="1"/>
  <c r="J2063" i="1" s="1"/>
  <c r="J2064" i="1" s="1"/>
  <c r="C1473" i="1"/>
  <c r="J2061" i="1" s="1"/>
  <c r="C1472" i="1"/>
  <c r="J2060" i="1" s="1"/>
  <c r="C1471" i="1"/>
  <c r="J2059" i="1" s="1"/>
  <c r="C1470" i="1"/>
  <c r="J2058" i="1" s="1"/>
  <c r="C1469" i="1"/>
  <c r="J2055" i="1" s="1"/>
  <c r="C1468" i="1"/>
  <c r="J2054" i="1" s="1"/>
  <c r="C1467" i="1"/>
  <c r="J2053" i="1" s="1"/>
  <c r="C1466" i="1"/>
  <c r="J2052" i="1" s="1"/>
  <c r="C1465" i="1"/>
  <c r="J2051" i="1" s="1"/>
  <c r="C1464" i="1"/>
  <c r="J2048" i="1" s="1"/>
  <c r="C1463" i="1"/>
  <c r="J2047" i="1" s="1"/>
  <c r="C1462" i="1"/>
  <c r="J2046" i="1" s="1"/>
  <c r="C1461" i="1"/>
  <c r="J2045" i="1" s="1"/>
  <c r="C1460" i="1"/>
  <c r="J2044" i="1" s="1"/>
  <c r="C1459" i="1"/>
  <c r="J2041" i="1" s="1"/>
  <c r="C1458" i="1"/>
  <c r="J2040" i="1" s="1"/>
  <c r="C1457" i="1"/>
  <c r="J2039" i="1" s="1"/>
  <c r="C1456" i="1"/>
  <c r="J2038" i="1" s="1"/>
  <c r="C1455" i="1"/>
  <c r="J2037" i="1" s="1"/>
  <c r="C1454" i="1"/>
  <c r="J2034" i="1" s="1"/>
  <c r="J2035" i="1" s="1"/>
  <c r="J2036" i="1" s="1"/>
  <c r="C1453" i="1"/>
  <c r="J2033" i="1" s="1"/>
  <c r="C1452" i="1"/>
  <c r="J2032" i="1" s="1"/>
  <c r="C1451" i="1"/>
  <c r="J2031" i="1" s="1"/>
  <c r="C1450" i="1"/>
  <c r="J2030" i="1" s="1"/>
  <c r="C1449" i="1"/>
  <c r="J2027" i="1" s="1"/>
  <c r="J2028" i="1" s="1"/>
  <c r="C1448" i="1"/>
  <c r="J2026" i="1" s="1"/>
  <c r="C1447" i="1"/>
  <c r="J2025" i="1" s="1"/>
  <c r="C1446" i="1"/>
  <c r="J2024" i="1" s="1"/>
  <c r="C1445" i="1"/>
  <c r="J2023" i="1" s="1"/>
  <c r="C1444" i="1"/>
  <c r="J2020" i="1" s="1"/>
  <c r="C1443" i="1"/>
  <c r="J2019" i="1" s="1"/>
  <c r="C1442" i="1"/>
  <c r="J2018" i="1" s="1"/>
  <c r="C1441" i="1"/>
  <c r="J2017" i="1" s="1"/>
  <c r="C1440" i="1"/>
  <c r="J2016" i="1" s="1"/>
  <c r="C1439" i="1"/>
  <c r="J2013" i="1" s="1"/>
  <c r="C1438" i="1"/>
  <c r="J2012" i="1" s="1"/>
  <c r="C1437" i="1"/>
  <c r="J2011" i="1" s="1"/>
  <c r="C1436" i="1"/>
  <c r="J2010" i="1" s="1"/>
  <c r="C1435" i="1"/>
  <c r="J2009" i="1" s="1"/>
  <c r="C1434" i="1"/>
  <c r="J2006" i="1" s="1"/>
  <c r="J2007" i="1" s="1"/>
  <c r="J2008" i="1" s="1"/>
  <c r="C1433" i="1"/>
  <c r="J2005" i="1" s="1"/>
  <c r="C1432" i="1"/>
  <c r="J2004" i="1" s="1"/>
  <c r="C1431" i="1"/>
  <c r="J2003" i="1" s="1"/>
  <c r="C1430" i="1"/>
  <c r="J2002" i="1" s="1"/>
  <c r="C1429" i="1"/>
  <c r="J1999" i="1" s="1"/>
  <c r="C1428" i="1"/>
  <c r="J1998" i="1" s="1"/>
  <c r="C1427" i="1"/>
  <c r="J1997" i="1" s="1"/>
  <c r="C1426" i="1"/>
  <c r="J1996" i="1" s="1"/>
  <c r="C1425" i="1"/>
  <c r="J1995" i="1" s="1"/>
  <c r="C1424" i="1"/>
  <c r="J1992" i="1" s="1"/>
  <c r="C1423" i="1"/>
  <c r="J1991" i="1" s="1"/>
  <c r="C1422" i="1"/>
  <c r="J1990" i="1" s="1"/>
  <c r="C1421" i="1"/>
  <c r="J1989" i="1" s="1"/>
  <c r="C1420" i="1"/>
  <c r="J1988" i="1" s="1"/>
  <c r="C1419" i="1"/>
  <c r="J1985" i="1" s="1"/>
  <c r="C1418" i="1"/>
  <c r="J1984" i="1" s="1"/>
  <c r="C1417" i="1"/>
  <c r="J1983" i="1" s="1"/>
  <c r="C1416" i="1"/>
  <c r="J1982" i="1" s="1"/>
  <c r="C1415" i="1"/>
  <c r="J1981" i="1" s="1"/>
  <c r="C1414" i="1"/>
  <c r="J1978" i="1" s="1"/>
  <c r="J1979" i="1" s="1"/>
  <c r="J1980" i="1" s="1"/>
  <c r="C1413" i="1"/>
  <c r="J1977" i="1" s="1"/>
  <c r="C1412" i="1"/>
  <c r="J1976" i="1" s="1"/>
  <c r="C1411" i="1"/>
  <c r="J1975" i="1" s="1"/>
  <c r="C1410" i="1"/>
  <c r="J1974" i="1" s="1"/>
  <c r="C1409" i="1"/>
  <c r="J1971" i="1" s="1"/>
  <c r="J1972" i="1" s="1"/>
  <c r="C1408" i="1"/>
  <c r="J1970" i="1" s="1"/>
  <c r="C1407" i="1"/>
  <c r="J1969" i="1" s="1"/>
  <c r="C1406" i="1"/>
  <c r="J1968" i="1" s="1"/>
  <c r="C1405" i="1"/>
  <c r="J1967" i="1" s="1"/>
  <c r="C1404" i="1"/>
  <c r="J1964" i="1" s="1"/>
  <c r="C1403" i="1"/>
  <c r="J1963" i="1" s="1"/>
  <c r="C1402" i="1"/>
  <c r="J1962" i="1" s="1"/>
  <c r="C1401" i="1"/>
  <c r="J1961" i="1" s="1"/>
  <c r="C1400" i="1"/>
  <c r="J1960" i="1" s="1"/>
  <c r="C1399" i="1"/>
  <c r="J1957" i="1" s="1"/>
  <c r="C1398" i="1"/>
  <c r="J1956" i="1" s="1"/>
  <c r="C1397" i="1"/>
  <c r="J1955" i="1" s="1"/>
  <c r="C1396" i="1"/>
  <c r="J1954" i="1" s="1"/>
  <c r="C1395" i="1"/>
  <c r="J1953" i="1" s="1"/>
  <c r="C1394" i="1"/>
  <c r="J1950" i="1" s="1"/>
  <c r="J1951" i="1" s="1"/>
  <c r="J1952" i="1" s="1"/>
  <c r="C1393" i="1"/>
  <c r="J1949" i="1" s="1"/>
  <c r="C1392" i="1"/>
  <c r="J1948" i="1" s="1"/>
  <c r="C1391" i="1"/>
  <c r="J1947" i="1" s="1"/>
  <c r="C1390" i="1"/>
  <c r="J1946" i="1" s="1"/>
  <c r="C1389" i="1"/>
  <c r="C1388" i="1"/>
  <c r="J1942" i="1" s="1"/>
  <c r="C1387" i="1"/>
  <c r="C1386" i="1"/>
  <c r="J1940" i="1" s="1"/>
  <c r="C1385" i="1"/>
  <c r="C1384" i="1"/>
  <c r="J1936" i="1" s="1"/>
  <c r="C1383" i="1"/>
  <c r="C1382" i="1"/>
  <c r="J1934" i="1" s="1"/>
  <c r="C1381" i="1"/>
  <c r="C1380" i="1"/>
  <c r="J1932" i="1" s="1"/>
  <c r="C1379" i="1"/>
  <c r="C1378" i="1"/>
  <c r="J1928" i="1" s="1"/>
  <c r="C1377" i="1"/>
  <c r="C1376" i="1"/>
  <c r="J1926" i="1" s="1"/>
  <c r="C1375" i="1"/>
  <c r="C1374" i="1"/>
  <c r="J1922" i="1" s="1"/>
  <c r="J1923" i="1" s="1"/>
  <c r="J1924" i="1" s="1"/>
  <c r="C1373" i="1"/>
  <c r="C1372" i="1"/>
  <c r="J1920" i="1" s="1"/>
  <c r="C1371" i="1"/>
  <c r="C1370" i="1"/>
  <c r="J1918" i="1" s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J21" i="1" l="1"/>
  <c r="J43" i="1"/>
  <c r="J65" i="1"/>
  <c r="J93" i="1"/>
  <c r="J115" i="1"/>
  <c r="J137" i="1"/>
  <c r="J161" i="1"/>
  <c r="J183" i="1"/>
  <c r="J205" i="1"/>
  <c r="J227" i="1"/>
  <c r="J245" i="1"/>
  <c r="J267" i="1"/>
  <c r="J289" i="1"/>
  <c r="J311" i="1"/>
  <c r="J333" i="1"/>
  <c r="J361" i="1"/>
  <c r="J362" i="1" s="1"/>
  <c r="J385" i="1"/>
  <c r="J407" i="1"/>
  <c r="J429" i="1"/>
  <c r="J451" i="1"/>
  <c r="J473" i="1"/>
  <c r="J497" i="1"/>
  <c r="J513" i="1"/>
  <c r="J535" i="1"/>
  <c r="J563" i="1"/>
  <c r="J585" i="1"/>
  <c r="J603" i="1"/>
  <c r="J625" i="1"/>
  <c r="J647" i="1"/>
  <c r="J669" i="1"/>
  <c r="J697" i="1"/>
  <c r="J731" i="1"/>
  <c r="J753" i="1"/>
  <c r="J777" i="1"/>
  <c r="J793" i="1"/>
  <c r="J815" i="1"/>
  <c r="J837" i="1"/>
  <c r="J865" i="1"/>
  <c r="J889" i="1"/>
  <c r="J905" i="1"/>
  <c r="J921" i="1"/>
  <c r="J939" i="1"/>
  <c r="J955" i="1"/>
  <c r="J967" i="1"/>
  <c r="J977" i="1"/>
  <c r="J989" i="1"/>
  <c r="J1001" i="1"/>
  <c r="J1011" i="1"/>
  <c r="J1029" i="1"/>
  <c r="J1033" i="1"/>
  <c r="J1045" i="1"/>
  <c r="J1057" i="1"/>
  <c r="J1079" i="1"/>
  <c r="J1089" i="1"/>
  <c r="J1107" i="1"/>
  <c r="J1117" i="1"/>
  <c r="J1129" i="1"/>
  <c r="J1141" i="1"/>
  <c r="J1151" i="1"/>
  <c r="J1157" i="1"/>
  <c r="J1169" i="1"/>
  <c r="J1179" i="1"/>
  <c r="J1191" i="1"/>
  <c r="J1201" i="1"/>
  <c r="J1202" i="1" s="1"/>
  <c r="J1213" i="1"/>
  <c r="J1225" i="1"/>
  <c r="J1241" i="1"/>
  <c r="J1253" i="1"/>
  <c r="J1263" i="1"/>
  <c r="J1275" i="1"/>
  <c r="J1285" i="1"/>
  <c r="J1297" i="1"/>
  <c r="J1309" i="1"/>
  <c r="J1319" i="1"/>
  <c r="J1325" i="1"/>
  <c r="J1337" i="1"/>
  <c r="J1347" i="1"/>
  <c r="J1365" i="1"/>
  <c r="J1375" i="1"/>
  <c r="J1387" i="1"/>
  <c r="J1397" i="1"/>
  <c r="J1409" i="1"/>
  <c r="J1421" i="1"/>
  <c r="J1431" i="1"/>
  <c r="J1443" i="1"/>
  <c r="J1453" i="1"/>
  <c r="J1465" i="1"/>
  <c r="J1477" i="1"/>
  <c r="J1487" i="1"/>
  <c r="J1499" i="1"/>
  <c r="J1509" i="1"/>
  <c r="J1521" i="1"/>
  <c r="J1533" i="1"/>
  <c r="J1543" i="1"/>
  <c r="J1549" i="1"/>
  <c r="J1561" i="1"/>
  <c r="J1565" i="1"/>
  <c r="J1571" i="1"/>
  <c r="J1577" i="1"/>
  <c r="J1583" i="1"/>
  <c r="J1589" i="1"/>
  <c r="J1593" i="1"/>
  <c r="J1599" i="1"/>
  <c r="J1605" i="1"/>
  <c r="J1611" i="1"/>
  <c r="J1617" i="1"/>
  <c r="J1621" i="1"/>
  <c r="J1627" i="1"/>
  <c r="J1633" i="1"/>
  <c r="J1639" i="1"/>
  <c r="J1645" i="1"/>
  <c r="J1649" i="1"/>
  <c r="J1650" i="1" s="1"/>
  <c r="J1655" i="1"/>
  <c r="J1661" i="1"/>
  <c r="J1673" i="1"/>
  <c r="J1677" i="1"/>
  <c r="J1678" i="1" s="1"/>
  <c r="J1683" i="1"/>
  <c r="J1689" i="1"/>
  <c r="J1695" i="1"/>
  <c r="J1701" i="1"/>
  <c r="J1705" i="1"/>
  <c r="J1706" i="1" s="1"/>
  <c r="J1711" i="1"/>
  <c r="J1717" i="1"/>
  <c r="J1723" i="1"/>
  <c r="J1729" i="1"/>
  <c r="J1733" i="1"/>
  <c r="J1739" i="1"/>
  <c r="J1745" i="1"/>
  <c r="J1751" i="1"/>
  <c r="J1757" i="1"/>
  <c r="J1761" i="1"/>
  <c r="J1767" i="1"/>
  <c r="J1773" i="1"/>
  <c r="J1779" i="1"/>
  <c r="J1785" i="1"/>
  <c r="J1789" i="1"/>
  <c r="J1790" i="1" s="1"/>
  <c r="J1795" i="1"/>
  <c r="J1801" i="1"/>
  <c r="J1807" i="1"/>
  <c r="J1813" i="1"/>
  <c r="J1817" i="1"/>
  <c r="J1823" i="1"/>
  <c r="J1829" i="1"/>
  <c r="J1835" i="1"/>
  <c r="J1841" i="1"/>
  <c r="J1845" i="1"/>
  <c r="J1851" i="1"/>
  <c r="J1857" i="1"/>
  <c r="J1863" i="1"/>
  <c r="J1869" i="1"/>
  <c r="J1873" i="1"/>
  <c r="J1879" i="1"/>
  <c r="J1885" i="1"/>
  <c r="J1891" i="1"/>
  <c r="J1897" i="1"/>
  <c r="J1901" i="1"/>
  <c r="J1902" i="1" s="1"/>
  <c r="J1907" i="1"/>
  <c r="J1913" i="1"/>
  <c r="J1919" i="1"/>
  <c r="J1925" i="1"/>
  <c r="J1929" i="1"/>
  <c r="J1930" i="1" s="1"/>
  <c r="J1935" i="1"/>
  <c r="J1941" i="1"/>
  <c r="J3" i="1"/>
  <c r="J31" i="1"/>
  <c r="J53" i="1"/>
  <c r="J77" i="1"/>
  <c r="J105" i="1"/>
  <c r="J127" i="1"/>
  <c r="J149" i="1"/>
  <c r="J171" i="1"/>
  <c r="J193" i="1"/>
  <c r="J194" i="1" s="1"/>
  <c r="J217" i="1"/>
  <c r="J239" i="1"/>
  <c r="J261" i="1"/>
  <c r="J277" i="1"/>
  <c r="J278" i="1" s="1"/>
  <c r="J301" i="1"/>
  <c r="J323" i="1"/>
  <c r="J345" i="1"/>
  <c r="J367" i="1"/>
  <c r="J389" i="1"/>
  <c r="J390" i="1" s="1"/>
  <c r="J413" i="1"/>
  <c r="J435" i="1"/>
  <c r="J457" i="1"/>
  <c r="J479" i="1"/>
  <c r="J501" i="1"/>
  <c r="J525" i="1"/>
  <c r="J553" i="1"/>
  <c r="J575" i="1"/>
  <c r="J597" i="1"/>
  <c r="J619" i="1"/>
  <c r="J641" i="1"/>
  <c r="J642" i="1" s="1"/>
  <c r="J665" i="1"/>
  <c r="J687" i="1"/>
  <c r="J709" i="1"/>
  <c r="J721" i="1"/>
  <c r="J737" i="1"/>
  <c r="J759" i="1"/>
  <c r="J781" i="1"/>
  <c r="J805" i="1"/>
  <c r="J827" i="1"/>
  <c r="J849" i="1"/>
  <c r="J871" i="1"/>
  <c r="J893" i="1"/>
  <c r="J894" i="1" s="1"/>
  <c r="J911" i="1"/>
  <c r="J933" i="1"/>
  <c r="J945" i="1"/>
  <c r="J961" i="1"/>
  <c r="J973" i="1"/>
  <c r="J983" i="1"/>
  <c r="J995" i="1"/>
  <c r="J1005" i="1"/>
  <c r="J1006" i="1" s="1"/>
  <c r="J1017" i="1"/>
  <c r="J1023" i="1"/>
  <c r="J1039" i="1"/>
  <c r="J1051" i="1"/>
  <c r="J1061" i="1"/>
  <c r="J1062" i="1" s="1"/>
  <c r="J1085" i="1"/>
  <c r="J1095" i="1"/>
  <c r="J1101" i="1"/>
  <c r="J1113" i="1"/>
  <c r="J1123" i="1"/>
  <c r="J1135" i="1"/>
  <c r="J1145" i="1"/>
  <c r="J1146" i="1" s="1"/>
  <c r="J1163" i="1"/>
  <c r="J1173" i="1"/>
  <c r="J1185" i="1"/>
  <c r="J1197" i="1"/>
  <c r="J1207" i="1"/>
  <c r="J1219" i="1"/>
  <c r="J1229" i="1"/>
  <c r="J1235" i="1"/>
  <c r="J1247" i="1"/>
  <c r="J1257" i="1"/>
  <c r="J1269" i="1"/>
  <c r="J1281" i="1"/>
  <c r="J1291" i="1"/>
  <c r="J1303" i="1"/>
  <c r="J1313" i="1"/>
  <c r="J1331" i="1"/>
  <c r="J1341" i="1"/>
  <c r="J1353" i="1"/>
  <c r="J1359" i="1"/>
  <c r="J1369" i="1"/>
  <c r="J1370" i="1" s="1"/>
  <c r="J1381" i="1"/>
  <c r="J1393" i="1"/>
  <c r="J1403" i="1"/>
  <c r="J1415" i="1"/>
  <c r="J1425" i="1"/>
  <c r="J1426" i="1" s="1"/>
  <c r="J1437" i="1"/>
  <c r="J1449" i="1"/>
  <c r="J1459" i="1"/>
  <c r="J1471" i="1"/>
  <c r="J1481" i="1"/>
  <c r="J1493" i="1"/>
  <c r="J1505" i="1"/>
  <c r="J1515" i="1"/>
  <c r="J1527" i="1"/>
  <c r="J1537" i="1"/>
  <c r="J1555" i="1"/>
  <c r="J1667" i="1"/>
  <c r="J9" i="1"/>
  <c r="J25" i="1"/>
  <c r="J49" i="1"/>
  <c r="J71" i="1"/>
  <c r="J87" i="1"/>
  <c r="J109" i="1"/>
  <c r="J133" i="1"/>
  <c r="J155" i="1"/>
  <c r="J177" i="1"/>
  <c r="J199" i="1"/>
  <c r="J221" i="1"/>
  <c r="J222" i="1" s="1"/>
  <c r="J249" i="1"/>
  <c r="J273" i="1"/>
  <c r="J295" i="1"/>
  <c r="J317" i="1"/>
  <c r="J339" i="1"/>
  <c r="J357" i="1"/>
  <c r="J379" i="1"/>
  <c r="J401" i="1"/>
  <c r="J423" i="1"/>
  <c r="J445" i="1"/>
  <c r="J469" i="1"/>
  <c r="J491" i="1"/>
  <c r="J519" i="1"/>
  <c r="J541" i="1"/>
  <c r="J557" i="1"/>
  <c r="J581" i="1"/>
  <c r="J609" i="1"/>
  <c r="J631" i="1"/>
  <c r="J653" i="1"/>
  <c r="J681" i="1"/>
  <c r="J703" i="1"/>
  <c r="J725" i="1"/>
  <c r="J743" i="1"/>
  <c r="J771" i="1"/>
  <c r="J799" i="1"/>
  <c r="J821" i="1"/>
  <c r="J843" i="1"/>
  <c r="J861" i="1"/>
  <c r="J883" i="1"/>
  <c r="J917" i="1"/>
  <c r="J1067" i="1"/>
  <c r="J11" i="1"/>
  <c r="J12" i="1" s="1"/>
  <c r="J23" i="1"/>
  <c r="J35" i="1"/>
  <c r="J45" i="1"/>
  <c r="J63" i="1"/>
  <c r="J73" i="1"/>
  <c r="J85" i="1"/>
  <c r="J95" i="1"/>
  <c r="J107" i="1"/>
  <c r="J123" i="1"/>
  <c r="J124" i="1" s="1"/>
  <c r="J135" i="1"/>
  <c r="J147" i="1"/>
  <c r="J157" i="1"/>
  <c r="J169" i="1"/>
  <c r="J179" i="1"/>
  <c r="J197" i="1"/>
  <c r="J207" i="1"/>
  <c r="J208" i="1" s="1"/>
  <c r="J219" i="1"/>
  <c r="J231" i="1"/>
  <c r="J247" i="1"/>
  <c r="J259" i="1"/>
  <c r="J269" i="1"/>
  <c r="J281" i="1"/>
  <c r="J291" i="1"/>
  <c r="J309" i="1"/>
  <c r="J319" i="1"/>
  <c r="J320" i="1" s="1"/>
  <c r="J321" i="1" s="1"/>
  <c r="J331" i="1"/>
  <c r="J343" i="1"/>
  <c r="J353" i="1"/>
  <c r="J365" i="1"/>
  <c r="J375" i="1"/>
  <c r="J387" i="1"/>
  <c r="J399" i="1"/>
  <c r="J409" i="1"/>
  <c r="J421" i="1"/>
  <c r="J431" i="1"/>
  <c r="J443" i="1"/>
  <c r="J455" i="1"/>
  <c r="J471" i="1"/>
  <c r="J483" i="1"/>
  <c r="J493" i="1"/>
  <c r="J505" i="1"/>
  <c r="J515" i="1"/>
  <c r="J521" i="1"/>
  <c r="J533" i="1"/>
  <c r="J539" i="1"/>
  <c r="J543" i="1"/>
  <c r="J549" i="1"/>
  <c r="J555" i="1"/>
  <c r="J561" i="1"/>
  <c r="J567" i="1"/>
  <c r="J577" i="1"/>
  <c r="J583" i="1"/>
  <c r="J589" i="1"/>
  <c r="J595" i="1"/>
  <c r="J599" i="1"/>
  <c r="J605" i="1"/>
  <c r="J611" i="1"/>
  <c r="J617" i="1"/>
  <c r="J623" i="1"/>
  <c r="J627" i="1"/>
  <c r="J628" i="1" s="1"/>
  <c r="J629" i="1" s="1"/>
  <c r="J633" i="1"/>
  <c r="J15" i="1"/>
  <c r="J37" i="1"/>
  <c r="J59" i="1"/>
  <c r="J81" i="1"/>
  <c r="J82" i="1" s="1"/>
  <c r="J83" i="1" s="1"/>
  <c r="J99" i="1"/>
  <c r="J121" i="1"/>
  <c r="J143" i="1"/>
  <c r="J165" i="1"/>
  <c r="J189" i="1"/>
  <c r="J211" i="1"/>
  <c r="J233" i="1"/>
  <c r="J255" i="1"/>
  <c r="J283" i="1"/>
  <c r="J305" i="1"/>
  <c r="J329" i="1"/>
  <c r="J351" i="1"/>
  <c r="J373" i="1"/>
  <c r="J395" i="1"/>
  <c r="J417" i="1"/>
  <c r="J418" i="1" s="1"/>
  <c r="J441" i="1"/>
  <c r="J463" i="1"/>
  <c r="J485" i="1"/>
  <c r="J507" i="1"/>
  <c r="J529" i="1"/>
  <c r="J530" i="1" s="1"/>
  <c r="J547" i="1"/>
  <c r="J569" i="1"/>
  <c r="J591" i="1"/>
  <c r="J613" i="1"/>
  <c r="J614" i="1" s="1"/>
  <c r="J637" i="1"/>
  <c r="J659" i="1"/>
  <c r="J675" i="1"/>
  <c r="J693" i="1"/>
  <c r="J715" i="1"/>
  <c r="J749" i="1"/>
  <c r="J765" i="1"/>
  <c r="J787" i="1"/>
  <c r="J809" i="1"/>
  <c r="J833" i="1"/>
  <c r="J855" i="1"/>
  <c r="J877" i="1"/>
  <c r="J899" i="1"/>
  <c r="J927" i="1"/>
  <c r="J949" i="1"/>
  <c r="J950" i="1" s="1"/>
  <c r="J1073" i="1"/>
  <c r="J7" i="1"/>
  <c r="J17" i="1"/>
  <c r="J29" i="1"/>
  <c r="J39" i="1"/>
  <c r="J51" i="1"/>
  <c r="J57" i="1"/>
  <c r="J67" i="1"/>
  <c r="J68" i="1" s="1"/>
  <c r="J79" i="1"/>
  <c r="J91" i="1"/>
  <c r="J101" i="1"/>
  <c r="J113" i="1"/>
  <c r="J119" i="1"/>
  <c r="J129" i="1"/>
  <c r="J141" i="1"/>
  <c r="J151" i="1"/>
  <c r="J152" i="1" s="1"/>
  <c r="J163" i="1"/>
  <c r="J175" i="1"/>
  <c r="J185" i="1"/>
  <c r="J191" i="1"/>
  <c r="J203" i="1"/>
  <c r="J213" i="1"/>
  <c r="J225" i="1"/>
  <c r="J235" i="1"/>
  <c r="J236" i="1" s="1"/>
  <c r="J241" i="1"/>
  <c r="J253" i="1"/>
  <c r="J263" i="1"/>
  <c r="J275" i="1"/>
  <c r="J287" i="1"/>
  <c r="J297" i="1"/>
  <c r="J303" i="1"/>
  <c r="J315" i="1"/>
  <c r="J325" i="1"/>
  <c r="J337" i="1"/>
  <c r="J347" i="1"/>
  <c r="J359" i="1"/>
  <c r="J371" i="1"/>
  <c r="J381" i="1"/>
  <c r="J393" i="1"/>
  <c r="J403" i="1"/>
  <c r="J404" i="1" s="1"/>
  <c r="J405" i="1" s="1"/>
  <c r="J415" i="1"/>
  <c r="J427" i="1"/>
  <c r="J437" i="1"/>
  <c r="J449" i="1"/>
  <c r="J459" i="1"/>
  <c r="J460" i="1" s="1"/>
  <c r="J465" i="1"/>
  <c r="J477" i="1"/>
  <c r="J487" i="1"/>
  <c r="J488" i="1" s="1"/>
  <c r="J499" i="1"/>
  <c r="J511" i="1"/>
  <c r="J527" i="1"/>
  <c r="J571" i="1"/>
  <c r="J572" i="1" s="1"/>
  <c r="J573" i="1" s="1"/>
  <c r="J1065" i="1"/>
  <c r="J1081" i="1"/>
  <c r="J1093" i="1"/>
  <c r="J1103" i="1"/>
  <c r="J1104" i="1" s="1"/>
  <c r="J1115" i="1"/>
  <c r="J1127" i="1"/>
  <c r="J1137" i="1"/>
  <c r="J1149" i="1"/>
  <c r="J1159" i="1"/>
  <c r="J1177" i="1"/>
  <c r="J1187" i="1"/>
  <c r="J1199" i="1"/>
  <c r="J1215" i="1"/>
  <c r="J1216" i="1" s="1"/>
  <c r="J1227" i="1"/>
  <c r="J1239" i="1"/>
  <c r="J1249" i="1"/>
  <c r="J1261" i="1"/>
  <c r="J1277" i="1"/>
  <c r="J1289" i="1"/>
  <c r="J1299" i="1"/>
  <c r="J1300" i="1" s="1"/>
  <c r="J1311" i="1"/>
  <c r="J1323" i="1"/>
  <c r="J1333" i="1"/>
  <c r="J1351" i="1"/>
  <c r="J1361" i="1"/>
  <c r="J1373" i="1"/>
  <c r="J1383" i="1"/>
  <c r="J1395" i="1"/>
  <c r="J1411" i="1"/>
  <c r="J1412" i="1" s="1"/>
  <c r="J1423" i="1"/>
  <c r="J1435" i="1"/>
  <c r="J1451" i="1"/>
  <c r="J1463" i="1"/>
  <c r="J1473" i="1"/>
  <c r="J1485" i="1"/>
  <c r="J1495" i="1"/>
  <c r="J1496" i="1" s="1"/>
  <c r="J1507" i="1"/>
  <c r="J1519" i="1"/>
  <c r="J1529" i="1"/>
  <c r="J1541" i="1"/>
  <c r="J1551" i="1"/>
  <c r="J1569" i="1"/>
  <c r="J1579" i="1"/>
  <c r="J1591" i="1"/>
  <c r="J1607" i="1"/>
  <c r="J1608" i="1" s="1"/>
  <c r="J1619" i="1"/>
  <c r="J1631" i="1"/>
  <c r="J1641" i="1"/>
  <c r="J1659" i="1"/>
  <c r="J1669" i="1"/>
  <c r="J1681" i="1"/>
  <c r="J1691" i="1"/>
  <c r="J1692" i="1" s="1"/>
  <c r="J1703" i="1"/>
  <c r="J1715" i="1"/>
  <c r="J1725" i="1"/>
  <c r="J1743" i="1"/>
  <c r="J1753" i="1"/>
  <c r="J1765" i="1"/>
  <c r="J1775" i="1"/>
  <c r="J1787" i="1"/>
  <c r="J1803" i="1"/>
  <c r="J1815" i="1"/>
  <c r="J1827" i="1"/>
  <c r="J1837" i="1"/>
  <c r="J1855" i="1"/>
  <c r="J1865" i="1"/>
  <c r="J1877" i="1"/>
  <c r="J1887" i="1"/>
  <c r="J1888" i="1" s="1"/>
  <c r="J1905" i="1"/>
  <c r="J1915" i="1"/>
  <c r="J1916" i="1" s="1"/>
  <c r="J1927" i="1"/>
  <c r="J1939" i="1"/>
  <c r="J639" i="1"/>
  <c r="J645" i="1"/>
  <c r="J651" i="1"/>
  <c r="J655" i="1"/>
  <c r="J656" i="1" s="1"/>
  <c r="J661" i="1"/>
  <c r="J667" i="1"/>
  <c r="J673" i="1"/>
  <c r="J679" i="1"/>
  <c r="J683" i="1"/>
  <c r="J684" i="1" s="1"/>
  <c r="J689" i="1"/>
  <c r="J695" i="1"/>
  <c r="J701" i="1"/>
  <c r="J707" i="1"/>
  <c r="J711" i="1"/>
  <c r="J717" i="1"/>
  <c r="J723" i="1"/>
  <c r="J729" i="1"/>
  <c r="J735" i="1"/>
  <c r="J739" i="1"/>
  <c r="J745" i="1"/>
  <c r="J751" i="1"/>
  <c r="J757" i="1"/>
  <c r="J763" i="1"/>
  <c r="J767" i="1"/>
  <c r="J768" i="1" s="1"/>
  <c r="J769" i="1" s="1"/>
  <c r="J773" i="1"/>
  <c r="J779" i="1"/>
  <c r="J785" i="1"/>
  <c r="J791" i="1"/>
  <c r="J795" i="1"/>
  <c r="J796" i="1" s="1"/>
  <c r="J801" i="1"/>
  <c r="J807" i="1"/>
  <c r="J813" i="1"/>
  <c r="J819" i="1"/>
  <c r="J823" i="1"/>
  <c r="J829" i="1"/>
  <c r="J835" i="1"/>
  <c r="J841" i="1"/>
  <c r="J847" i="1"/>
  <c r="J851" i="1"/>
  <c r="J857" i="1"/>
  <c r="J863" i="1"/>
  <c r="J869" i="1"/>
  <c r="J875" i="1"/>
  <c r="J879" i="1"/>
  <c r="J880" i="1" s="1"/>
  <c r="J885" i="1"/>
  <c r="J891" i="1"/>
  <c r="J897" i="1"/>
  <c r="J903" i="1"/>
  <c r="J907" i="1"/>
  <c r="J913" i="1"/>
  <c r="J919" i="1"/>
  <c r="J925" i="1"/>
  <c r="J931" i="1"/>
  <c r="J935" i="1"/>
  <c r="J941" i="1"/>
  <c r="J947" i="1"/>
  <c r="J953" i="1"/>
  <c r="J959" i="1"/>
  <c r="J963" i="1"/>
  <c r="J969" i="1"/>
  <c r="J975" i="1"/>
  <c r="J981" i="1"/>
  <c r="J987" i="1"/>
  <c r="J991" i="1"/>
  <c r="J992" i="1" s="1"/>
  <c r="J997" i="1"/>
  <c r="J1003" i="1"/>
  <c r="J1009" i="1"/>
  <c r="J1015" i="1"/>
  <c r="J1019" i="1"/>
  <c r="J1025" i="1"/>
  <c r="J1031" i="1"/>
  <c r="J1037" i="1"/>
  <c r="J1043" i="1"/>
  <c r="J1047" i="1"/>
  <c r="J1053" i="1"/>
  <c r="J1059" i="1"/>
  <c r="J1071" i="1"/>
  <c r="J1075" i="1"/>
  <c r="J1087" i="1"/>
  <c r="J1099" i="1"/>
  <c r="J1109" i="1"/>
  <c r="J1121" i="1"/>
  <c r="J1131" i="1"/>
  <c r="J1143" i="1"/>
  <c r="J1155" i="1"/>
  <c r="J1165" i="1"/>
  <c r="J1171" i="1"/>
  <c r="J1183" i="1"/>
  <c r="J1193" i="1"/>
  <c r="J1205" i="1"/>
  <c r="J1211" i="1"/>
  <c r="J1221" i="1"/>
  <c r="J1233" i="1"/>
  <c r="J1243" i="1"/>
  <c r="J1255" i="1"/>
  <c r="J1267" i="1"/>
  <c r="J1271" i="1"/>
  <c r="J1283" i="1"/>
  <c r="J1295" i="1"/>
  <c r="J1305" i="1"/>
  <c r="J1317" i="1"/>
  <c r="J1327" i="1"/>
  <c r="J1339" i="1"/>
  <c r="J1345" i="1"/>
  <c r="J1355" i="1"/>
  <c r="J1367" i="1"/>
  <c r="J1379" i="1"/>
  <c r="J1389" i="1"/>
  <c r="J1401" i="1"/>
  <c r="J1407" i="1"/>
  <c r="J1417" i="1"/>
  <c r="J1429" i="1"/>
  <c r="J1439" i="1"/>
  <c r="J1445" i="1"/>
  <c r="J1457" i="1"/>
  <c r="J1467" i="1"/>
  <c r="J1468" i="1" s="1"/>
  <c r="J1479" i="1"/>
  <c r="J1491" i="1"/>
  <c r="J1501" i="1"/>
  <c r="J1513" i="1"/>
  <c r="J1523" i="1"/>
  <c r="J1524" i="1" s="1"/>
  <c r="J1535" i="1"/>
  <c r="J1547" i="1"/>
  <c r="J1557" i="1"/>
  <c r="J1563" i="1"/>
  <c r="J1575" i="1"/>
  <c r="J1585" i="1"/>
  <c r="J1597" i="1"/>
  <c r="J1603" i="1"/>
  <c r="J1613" i="1"/>
  <c r="J1625" i="1"/>
  <c r="J1635" i="1"/>
  <c r="J1647" i="1"/>
  <c r="J1653" i="1"/>
  <c r="J1663" i="1"/>
  <c r="J1675" i="1"/>
  <c r="J1687" i="1"/>
  <c r="J1697" i="1"/>
  <c r="J1709" i="1"/>
  <c r="J1719" i="1"/>
  <c r="J1720" i="1" s="1"/>
  <c r="J1721" i="1" s="1"/>
  <c r="J1731" i="1"/>
  <c r="J1737" i="1"/>
  <c r="J1747" i="1"/>
  <c r="J1759" i="1"/>
  <c r="J1771" i="1"/>
  <c r="J1781" i="1"/>
  <c r="J1793" i="1"/>
  <c r="J1799" i="1"/>
  <c r="J1809" i="1"/>
  <c r="J1821" i="1"/>
  <c r="J1831" i="1"/>
  <c r="J1843" i="1"/>
  <c r="J1849" i="1"/>
  <c r="J1859" i="1"/>
  <c r="J1860" i="1" s="1"/>
  <c r="J1871" i="1"/>
  <c r="J1883" i="1"/>
  <c r="J1893" i="1"/>
  <c r="J1899" i="1"/>
  <c r="J1911" i="1"/>
  <c r="J1921" i="1"/>
  <c r="J1933" i="1"/>
  <c r="J1943" i="1"/>
  <c r="J8" i="1"/>
  <c r="J14" i="1"/>
  <c r="J18" i="1"/>
  <c r="J19" i="1" s="1"/>
  <c r="J24" i="1"/>
  <c r="J30" i="1"/>
  <c r="J36" i="1"/>
  <c r="J42" i="1"/>
  <c r="J46" i="1"/>
  <c r="J52" i="1"/>
  <c r="J58" i="1"/>
  <c r="J64" i="1"/>
  <c r="J70" i="1"/>
  <c r="J74" i="1"/>
  <c r="J80" i="1"/>
  <c r="J86" i="1"/>
  <c r="J92" i="1"/>
  <c r="J98" i="1"/>
  <c r="J102" i="1"/>
  <c r="J103" i="1" s="1"/>
  <c r="J108" i="1"/>
  <c r="J114" i="1"/>
  <c r="J120" i="1"/>
  <c r="J126" i="1"/>
  <c r="J130" i="1"/>
  <c r="J131" i="1" s="1"/>
  <c r="J136" i="1"/>
  <c r="J142" i="1"/>
  <c r="J148" i="1"/>
  <c r="J154" i="1"/>
  <c r="J158" i="1"/>
  <c r="J164" i="1"/>
  <c r="J170" i="1"/>
  <c r="J176" i="1"/>
  <c r="J182" i="1"/>
  <c r="J186" i="1"/>
  <c r="J192" i="1"/>
  <c r="J198" i="1"/>
  <c r="J204" i="1"/>
  <c r="J210" i="1"/>
  <c r="J214" i="1"/>
  <c r="J215" i="1" s="1"/>
  <c r="J220" i="1"/>
  <c r="J226" i="1"/>
  <c r="J232" i="1"/>
  <c r="J238" i="1"/>
  <c r="J242" i="1"/>
  <c r="J243" i="1" s="1"/>
  <c r="J248" i="1"/>
  <c r="J254" i="1"/>
  <c r="J260" i="1"/>
  <c r="J266" i="1"/>
  <c r="J270" i="1"/>
  <c r="J276" i="1"/>
  <c r="J282" i="1"/>
  <c r="J288" i="1"/>
  <c r="J294" i="1"/>
  <c r="J298" i="1"/>
  <c r="J304" i="1"/>
  <c r="J310" i="1"/>
  <c r="J316" i="1"/>
  <c r="J322" i="1"/>
  <c r="J326" i="1"/>
  <c r="J327" i="1" s="1"/>
  <c r="J332" i="1"/>
  <c r="J338" i="1"/>
  <c r="J344" i="1"/>
  <c r="J350" i="1"/>
  <c r="J354" i="1"/>
  <c r="J355" i="1" s="1"/>
  <c r="J360" i="1"/>
  <c r="J366" i="1"/>
  <c r="J372" i="1"/>
  <c r="J378" i="1"/>
  <c r="J382" i="1"/>
  <c r="J388" i="1"/>
  <c r="J394" i="1"/>
  <c r="J400" i="1"/>
  <c r="J406" i="1"/>
  <c r="J410" i="1"/>
  <c r="J416" i="1"/>
  <c r="J422" i="1"/>
  <c r="J428" i="1"/>
  <c r="J434" i="1"/>
  <c r="J438" i="1"/>
  <c r="J439" i="1" s="1"/>
  <c r="J444" i="1"/>
  <c r="J450" i="1"/>
  <c r="J456" i="1"/>
  <c r="J462" i="1"/>
  <c r="J466" i="1"/>
  <c r="J467" i="1" s="1"/>
  <c r="J472" i="1"/>
  <c r="J478" i="1"/>
  <c r="J484" i="1"/>
  <c r="J490" i="1"/>
  <c r="J494" i="1"/>
  <c r="J500" i="1"/>
  <c r="J506" i="1"/>
  <c r="J512" i="1"/>
  <c r="J518" i="1"/>
  <c r="J522" i="1"/>
  <c r="J528" i="1"/>
  <c r="J534" i="1"/>
  <c r="J540" i="1"/>
  <c r="J546" i="1"/>
  <c r="J550" i="1"/>
  <c r="J551" i="1" s="1"/>
  <c r="J556" i="1"/>
  <c r="J562" i="1"/>
  <c r="J568" i="1"/>
  <c r="J574" i="1"/>
  <c r="J578" i="1"/>
  <c r="J579" i="1" s="1"/>
  <c r="J584" i="1"/>
  <c r="J590" i="1"/>
  <c r="J596" i="1"/>
  <c r="J602" i="1"/>
  <c r="J606" i="1"/>
  <c r="J612" i="1"/>
  <c r="J618" i="1"/>
  <c r="J624" i="1"/>
  <c r="J630" i="1"/>
  <c r="J634" i="1"/>
  <c r="J640" i="1"/>
  <c r="J646" i="1"/>
  <c r="J652" i="1"/>
  <c r="J658" i="1"/>
  <c r="J662" i="1"/>
  <c r="J663" i="1" s="1"/>
  <c r="J668" i="1"/>
  <c r="J674" i="1"/>
  <c r="J680" i="1"/>
  <c r="J686" i="1"/>
  <c r="J690" i="1"/>
  <c r="J696" i="1"/>
  <c r="J702" i="1"/>
  <c r="J708" i="1"/>
  <c r="J714" i="1"/>
  <c r="J718" i="1"/>
  <c r="J724" i="1"/>
  <c r="J730" i="1"/>
  <c r="J736" i="1"/>
  <c r="J742" i="1"/>
  <c r="J746" i="1"/>
  <c r="J752" i="1"/>
  <c r="J758" i="1"/>
  <c r="J764" i="1"/>
  <c r="J770" i="1"/>
  <c r="J774" i="1"/>
  <c r="J775" i="1" s="1"/>
  <c r="J780" i="1"/>
  <c r="J786" i="1"/>
  <c r="J792" i="1"/>
  <c r="J798" i="1"/>
  <c r="J802" i="1"/>
  <c r="J803" i="1" s="1"/>
  <c r="J808" i="1"/>
  <c r="J814" i="1"/>
  <c r="J820" i="1"/>
  <c r="J826" i="1"/>
  <c r="J830" i="1"/>
  <c r="J836" i="1"/>
  <c r="J842" i="1"/>
  <c r="J848" i="1"/>
  <c r="J854" i="1"/>
  <c r="J858" i="1"/>
  <c r="J864" i="1"/>
  <c r="J870" i="1"/>
  <c r="J876" i="1"/>
  <c r="J882" i="1"/>
  <c r="J886" i="1"/>
  <c r="J892" i="1"/>
  <c r="J898" i="1"/>
  <c r="J904" i="1"/>
  <c r="J910" i="1"/>
  <c r="J914" i="1"/>
  <c r="J920" i="1"/>
  <c r="J926" i="1"/>
  <c r="J932" i="1"/>
  <c r="J938" i="1"/>
  <c r="J942" i="1"/>
  <c r="J948" i="1"/>
  <c r="J954" i="1"/>
  <c r="J960" i="1"/>
  <c r="J966" i="1"/>
  <c r="J970" i="1"/>
  <c r="J976" i="1"/>
  <c r="J982" i="1"/>
  <c r="J988" i="1"/>
  <c r="J994" i="1"/>
  <c r="J998" i="1"/>
  <c r="J999" i="1" s="1"/>
  <c r="J1004" i="1"/>
  <c r="J1010" i="1"/>
  <c r="J1016" i="1"/>
  <c r="J1022" i="1"/>
  <c r="J1026" i="1"/>
  <c r="J1027" i="1" s="1"/>
  <c r="J1032" i="1"/>
  <c r="J1038" i="1"/>
  <c r="J1044" i="1"/>
  <c r="J1050" i="1"/>
  <c r="J1054" i="1"/>
  <c r="J1060" i="1"/>
  <c r="J1066" i="1"/>
  <c r="J1072" i="1"/>
  <c r="J1078" i="1"/>
  <c r="J1082" i="1"/>
  <c r="J1088" i="1"/>
  <c r="J1094" i="1"/>
  <c r="J1100" i="1"/>
  <c r="J1106" i="1"/>
  <c r="J1110" i="1"/>
  <c r="J1111" i="1" s="1"/>
  <c r="J1116" i="1"/>
  <c r="J1122" i="1"/>
  <c r="J1128" i="1"/>
  <c r="J1134" i="1"/>
  <c r="J1138" i="1"/>
  <c r="J1144" i="1"/>
  <c r="J1150" i="1"/>
  <c r="J1156" i="1"/>
  <c r="J1162" i="1"/>
  <c r="J1166" i="1"/>
  <c r="J1172" i="1"/>
  <c r="J1178" i="1"/>
  <c r="J1184" i="1"/>
  <c r="J1190" i="1"/>
  <c r="J1194" i="1"/>
  <c r="J1200" i="1"/>
  <c r="J1206" i="1"/>
  <c r="J1212" i="1"/>
  <c r="J1218" i="1"/>
  <c r="J1222" i="1"/>
  <c r="J1223" i="1" s="1"/>
  <c r="J1228" i="1"/>
  <c r="J1234" i="1"/>
  <c r="J1240" i="1"/>
  <c r="J1246" i="1"/>
  <c r="J1250" i="1"/>
  <c r="J1251" i="1" s="1"/>
  <c r="J1256" i="1"/>
  <c r="J1262" i="1"/>
  <c r="J1268" i="1"/>
  <c r="J1274" i="1"/>
  <c r="J1278" i="1"/>
  <c r="J1284" i="1"/>
  <c r="J1290" i="1"/>
  <c r="J1296" i="1"/>
  <c r="J1302" i="1"/>
  <c r="J1306" i="1"/>
  <c r="J1312" i="1"/>
  <c r="J1318" i="1"/>
  <c r="J1324" i="1"/>
  <c r="J1330" i="1"/>
  <c r="J1334" i="1"/>
  <c r="J1335" i="1" s="1"/>
  <c r="J1340" i="1"/>
  <c r="J1346" i="1"/>
  <c r="J1352" i="1"/>
  <c r="J1358" i="1"/>
  <c r="J1362" i="1"/>
  <c r="J1363" i="1" s="1"/>
  <c r="J1368" i="1"/>
  <c r="J1374" i="1"/>
  <c r="J1380" i="1"/>
  <c r="J1386" i="1"/>
  <c r="J1390" i="1"/>
  <c r="J1396" i="1"/>
  <c r="J1402" i="1"/>
  <c r="J1408" i="1"/>
  <c r="J1414" i="1"/>
  <c r="J1418" i="1"/>
  <c r="J1424" i="1"/>
  <c r="J1430" i="1"/>
  <c r="J1436" i="1"/>
  <c r="J1442" i="1"/>
  <c r="J1446" i="1"/>
  <c r="J1447" i="1" s="1"/>
  <c r="J1452" i="1"/>
  <c r="J1458" i="1"/>
  <c r="J1464" i="1"/>
  <c r="J1470" i="1"/>
  <c r="J1474" i="1"/>
  <c r="J1475" i="1" s="1"/>
  <c r="J1480" i="1"/>
  <c r="J1486" i="1"/>
  <c r="J1492" i="1"/>
  <c r="J1498" i="1"/>
  <c r="J1502" i="1"/>
  <c r="J1508" i="1"/>
  <c r="J1514" i="1"/>
  <c r="J1520" i="1"/>
  <c r="J1526" i="1"/>
  <c r="J1530" i="1"/>
  <c r="J1536" i="1"/>
  <c r="J1542" i="1"/>
  <c r="J1548" i="1"/>
  <c r="J1554" i="1"/>
  <c r="J1558" i="1"/>
  <c r="J1559" i="1" s="1"/>
  <c r="J1564" i="1"/>
  <c r="J1570" i="1"/>
  <c r="J1576" i="1"/>
  <c r="J1582" i="1"/>
  <c r="J1586" i="1"/>
  <c r="J1587" i="1" s="1"/>
  <c r="J1592" i="1"/>
  <c r="J1598" i="1"/>
  <c r="J1604" i="1"/>
  <c r="J1610" i="1"/>
  <c r="J1614" i="1"/>
  <c r="J1620" i="1"/>
  <c r="J1626" i="1"/>
  <c r="J1632" i="1"/>
  <c r="J1638" i="1"/>
  <c r="J1642" i="1"/>
  <c r="J1648" i="1"/>
  <c r="J1654" i="1"/>
  <c r="J1660" i="1"/>
  <c r="J1666" i="1"/>
  <c r="J1670" i="1"/>
  <c r="J1671" i="1" s="1"/>
  <c r="J1676" i="1"/>
  <c r="J1682" i="1"/>
  <c r="J1688" i="1"/>
  <c r="J1694" i="1"/>
  <c r="J1698" i="1"/>
  <c r="J1704" i="1"/>
  <c r="J1710" i="1"/>
  <c r="J1716" i="1"/>
  <c r="J1722" i="1"/>
  <c r="J1726" i="1"/>
  <c r="J1732" i="1"/>
  <c r="J1738" i="1"/>
  <c r="J1744" i="1"/>
  <c r="J1750" i="1"/>
  <c r="J1754" i="1"/>
  <c r="J1760" i="1"/>
  <c r="J1766" i="1"/>
  <c r="J1772" i="1"/>
  <c r="J1778" i="1"/>
  <c r="J1782" i="1"/>
  <c r="J1783" i="1" s="1"/>
  <c r="J1788" i="1"/>
  <c r="J1794" i="1"/>
  <c r="J1800" i="1"/>
  <c r="J1806" i="1"/>
  <c r="J1810" i="1"/>
  <c r="J1816" i="1"/>
  <c r="J1822" i="1"/>
  <c r="J1828" i="1"/>
  <c r="J1834" i="1"/>
  <c r="J1838" i="1"/>
  <c r="J1839" i="1" s="1"/>
  <c r="J1840" i="1" s="1"/>
  <c r="J1844" i="1"/>
  <c r="J1850" i="1"/>
  <c r="J1856" i="1"/>
  <c r="J1862" i="1"/>
  <c r="J1866" i="1"/>
  <c r="J1867" i="1" s="1"/>
  <c r="J1868" i="1" s="1"/>
  <c r="J1872" i="1"/>
  <c r="J1878" i="1"/>
  <c r="J1884" i="1"/>
  <c r="J1890" i="1"/>
  <c r="J1894" i="1"/>
  <c r="J1895" i="1" s="1"/>
  <c r="J1896" i="1" s="1"/>
  <c r="J1900" i="1"/>
  <c r="J1906" i="1"/>
  <c r="J1912" i="1"/>
  <c r="J4" i="1"/>
  <c r="J5" i="1" s="1"/>
  <c r="J10" i="1"/>
  <c r="J16" i="1"/>
  <c r="J22" i="1"/>
  <c r="J28" i="1"/>
  <c r="J32" i="1"/>
  <c r="J33" i="1" s="1"/>
  <c r="J38" i="1"/>
  <c r="J44" i="1"/>
  <c r="J50" i="1"/>
  <c r="J56" i="1"/>
  <c r="J60" i="1"/>
  <c r="J66" i="1"/>
  <c r="J72" i="1"/>
  <c r="J78" i="1"/>
  <c r="J84" i="1"/>
  <c r="J88" i="1"/>
  <c r="J94" i="1"/>
  <c r="J100" i="1"/>
  <c r="J106" i="1"/>
  <c r="J112" i="1"/>
  <c r="J116" i="1"/>
  <c r="J117" i="1" s="1"/>
  <c r="J122" i="1"/>
  <c r="J128" i="1"/>
  <c r="J134" i="1"/>
  <c r="J140" i="1"/>
  <c r="J144" i="1"/>
  <c r="J145" i="1" s="1"/>
  <c r="J150" i="1"/>
  <c r="J156" i="1"/>
  <c r="J162" i="1"/>
  <c r="J168" i="1"/>
  <c r="J172" i="1"/>
  <c r="J178" i="1"/>
  <c r="J184" i="1"/>
  <c r="J190" i="1"/>
  <c r="J196" i="1"/>
  <c r="J200" i="1"/>
  <c r="J206" i="1"/>
  <c r="J212" i="1"/>
  <c r="J218" i="1"/>
  <c r="J224" i="1"/>
  <c r="J228" i="1"/>
  <c r="J229" i="1" s="1"/>
  <c r="J230" i="1" s="1"/>
  <c r="J234" i="1"/>
  <c r="J240" i="1"/>
  <c r="J246" i="1"/>
  <c r="J252" i="1"/>
  <c r="J256" i="1"/>
  <c r="J262" i="1"/>
  <c r="J268" i="1"/>
  <c r="J274" i="1"/>
  <c r="J280" i="1"/>
  <c r="J284" i="1"/>
  <c r="J290" i="1"/>
  <c r="J296" i="1"/>
  <c r="J302" i="1"/>
  <c r="J308" i="1"/>
  <c r="J312" i="1"/>
  <c r="J318" i="1"/>
  <c r="J324" i="1"/>
  <c r="J330" i="1"/>
  <c r="J336" i="1"/>
  <c r="J340" i="1"/>
  <c r="J341" i="1" s="1"/>
  <c r="J346" i="1"/>
  <c r="J352" i="1"/>
  <c r="J358" i="1"/>
  <c r="J364" i="1"/>
  <c r="J368" i="1"/>
  <c r="J374" i="1"/>
  <c r="J380" i="1"/>
  <c r="J386" i="1"/>
  <c r="J392" i="1"/>
  <c r="J396" i="1"/>
  <c r="J402" i="1"/>
  <c r="J408" i="1"/>
  <c r="J414" i="1"/>
  <c r="J420" i="1"/>
  <c r="J424" i="1"/>
  <c r="J430" i="1"/>
  <c r="J436" i="1"/>
  <c r="J442" i="1"/>
  <c r="J448" i="1"/>
  <c r="J452" i="1"/>
  <c r="J453" i="1" s="1"/>
  <c r="J458" i="1"/>
  <c r="J464" i="1"/>
  <c r="J470" i="1"/>
  <c r="J476" i="1"/>
  <c r="J480" i="1"/>
  <c r="J481" i="1" s="1"/>
  <c r="J486" i="1"/>
  <c r="J492" i="1"/>
  <c r="J498" i="1"/>
  <c r="J504" i="1"/>
  <c r="J508" i="1"/>
  <c r="J514" i="1"/>
  <c r="J520" i="1"/>
  <c r="J526" i="1"/>
  <c r="J532" i="1"/>
  <c r="J536" i="1"/>
  <c r="J542" i="1"/>
  <c r="J548" i="1"/>
  <c r="J554" i="1"/>
  <c r="J560" i="1"/>
  <c r="J564" i="1"/>
  <c r="J565" i="1" s="1"/>
  <c r="J570" i="1"/>
  <c r="J576" i="1"/>
  <c r="J582" i="1"/>
  <c r="J588" i="1"/>
  <c r="J592" i="1"/>
  <c r="J593" i="1" s="1"/>
  <c r="J598" i="1"/>
  <c r="J604" i="1"/>
  <c r="J610" i="1"/>
  <c r="J616" i="1"/>
  <c r="J620" i="1"/>
  <c r="J626" i="1"/>
  <c r="J632" i="1"/>
  <c r="J638" i="1"/>
  <c r="J644" i="1"/>
  <c r="J648" i="1"/>
  <c r="J654" i="1"/>
  <c r="J660" i="1"/>
  <c r="J666" i="1"/>
  <c r="J672" i="1"/>
  <c r="J676" i="1"/>
  <c r="J677" i="1" s="1"/>
  <c r="J682" i="1"/>
  <c r="J688" i="1"/>
  <c r="J694" i="1"/>
  <c r="J700" i="1"/>
  <c r="J704" i="1"/>
  <c r="J705" i="1" s="1"/>
  <c r="J710" i="1"/>
  <c r="J716" i="1"/>
  <c r="J722" i="1"/>
  <c r="J728" i="1"/>
  <c r="J732" i="1"/>
  <c r="J738" i="1"/>
  <c r="J744" i="1"/>
  <c r="J750" i="1"/>
  <c r="J756" i="1"/>
  <c r="J760" i="1"/>
  <c r="J766" i="1"/>
  <c r="J772" i="1"/>
  <c r="J778" i="1"/>
  <c r="J784" i="1"/>
  <c r="J788" i="1"/>
  <c r="J789" i="1" s="1"/>
  <c r="J794" i="1"/>
  <c r="J800" i="1"/>
  <c r="J806" i="1"/>
  <c r="J812" i="1"/>
  <c r="J816" i="1"/>
  <c r="J822" i="1"/>
  <c r="J828" i="1"/>
  <c r="J834" i="1"/>
  <c r="J840" i="1"/>
  <c r="J844" i="1"/>
  <c r="J850" i="1"/>
  <c r="J856" i="1"/>
  <c r="J862" i="1"/>
  <c r="J868" i="1"/>
  <c r="J872" i="1"/>
  <c r="J878" i="1"/>
  <c r="J884" i="1"/>
  <c r="J890" i="1"/>
  <c r="J896" i="1"/>
  <c r="J900" i="1"/>
  <c r="J901" i="1" s="1"/>
  <c r="J906" i="1"/>
  <c r="J912" i="1"/>
  <c r="J918" i="1"/>
  <c r="J924" i="1"/>
  <c r="J928" i="1"/>
  <c r="J929" i="1" s="1"/>
  <c r="J934" i="1"/>
  <c r="J940" i="1"/>
  <c r="J946" i="1"/>
  <c r="J952" i="1"/>
  <c r="J956" i="1"/>
  <c r="J962" i="1"/>
  <c r="J968" i="1"/>
  <c r="J974" i="1"/>
  <c r="J980" i="1"/>
  <c r="J984" i="1"/>
  <c r="J990" i="1"/>
  <c r="J996" i="1"/>
  <c r="J1002" i="1"/>
  <c r="J1008" i="1"/>
  <c r="J1012" i="1"/>
  <c r="J1013" i="1" s="1"/>
  <c r="J1018" i="1"/>
  <c r="J1024" i="1"/>
  <c r="J1030" i="1"/>
  <c r="J1036" i="1"/>
  <c r="J1040" i="1"/>
  <c r="J1046" i="1"/>
  <c r="J1052" i="1"/>
  <c r="J1058" i="1"/>
  <c r="J1064" i="1"/>
  <c r="J1068" i="1"/>
  <c r="J1074" i="1"/>
  <c r="J1080" i="1"/>
  <c r="J1086" i="1"/>
  <c r="J1092" i="1"/>
  <c r="J1096" i="1"/>
  <c r="J1102" i="1"/>
  <c r="J1108" i="1"/>
  <c r="J1114" i="1"/>
  <c r="J1120" i="1"/>
  <c r="J1124" i="1"/>
  <c r="J1125" i="1" s="1"/>
  <c r="J1130" i="1"/>
  <c r="J1136" i="1"/>
  <c r="J1142" i="1"/>
  <c r="J1148" i="1"/>
  <c r="J1152" i="1"/>
  <c r="J1153" i="1" s="1"/>
  <c r="J1158" i="1"/>
  <c r="J1164" i="1"/>
  <c r="J1170" i="1"/>
  <c r="J1176" i="1"/>
  <c r="J1180" i="1"/>
  <c r="J1186" i="1"/>
  <c r="J1192" i="1"/>
  <c r="J1198" i="1"/>
  <c r="J1204" i="1"/>
  <c r="J1208" i="1"/>
  <c r="J1214" i="1"/>
  <c r="J1220" i="1"/>
  <c r="J1226" i="1"/>
  <c r="J1232" i="1"/>
  <c r="J1236" i="1"/>
  <c r="J1237" i="1" s="1"/>
  <c r="J1242" i="1"/>
  <c r="J1248" i="1"/>
  <c r="J1254" i="1"/>
  <c r="J1260" i="1"/>
  <c r="J1264" i="1"/>
  <c r="J1270" i="1"/>
  <c r="J1276" i="1"/>
  <c r="J1282" i="1"/>
  <c r="J1288" i="1"/>
  <c r="J1292" i="1"/>
  <c r="J1293" i="1" s="1"/>
  <c r="J1298" i="1"/>
  <c r="J1304" i="1"/>
  <c r="J1310" i="1"/>
  <c r="J1316" i="1"/>
  <c r="J1320" i="1"/>
  <c r="J1326" i="1"/>
  <c r="J1332" i="1"/>
  <c r="J1338" i="1"/>
  <c r="J1344" i="1"/>
  <c r="J1348" i="1"/>
  <c r="J1349" i="1" s="1"/>
  <c r="J1354" i="1"/>
  <c r="J1360" i="1"/>
  <c r="J1366" i="1"/>
  <c r="J1372" i="1"/>
  <c r="J1376" i="1"/>
  <c r="J1377" i="1" s="1"/>
  <c r="J1382" i="1"/>
  <c r="J1388" i="1"/>
  <c r="J1394" i="1"/>
  <c r="J1400" i="1"/>
  <c r="J1404" i="1"/>
  <c r="J1410" i="1"/>
  <c r="J1416" i="1"/>
  <c r="J1422" i="1"/>
  <c r="J1428" i="1"/>
  <c r="J1432" i="1"/>
  <c r="J1438" i="1"/>
  <c r="J1444" i="1"/>
  <c r="J1450" i="1"/>
  <c r="J1456" i="1"/>
  <c r="J1460" i="1"/>
  <c r="J1461" i="1" s="1"/>
  <c r="J1466" i="1"/>
  <c r="J1472" i="1"/>
  <c r="J1478" i="1"/>
  <c r="J1484" i="1"/>
  <c r="J1488" i="1"/>
  <c r="J1494" i="1"/>
  <c r="J1500" i="1"/>
  <c r="J1506" i="1"/>
  <c r="J1512" i="1"/>
  <c r="J1516" i="1"/>
  <c r="J1522" i="1"/>
  <c r="J1528" i="1"/>
  <c r="J1534" i="1"/>
  <c r="J1540" i="1"/>
  <c r="J1544" i="1"/>
  <c r="J1545" i="1" s="1"/>
  <c r="J1550" i="1"/>
  <c r="J1556" i="1"/>
  <c r="J1562" i="1"/>
  <c r="J1568" i="1"/>
  <c r="J1572" i="1"/>
  <c r="J1573" i="1" s="1"/>
  <c r="J1578" i="1"/>
  <c r="J1584" i="1"/>
  <c r="J1590" i="1"/>
  <c r="J1596" i="1"/>
  <c r="J1600" i="1"/>
  <c r="J1601" i="1" s="1"/>
  <c r="J1606" i="1"/>
  <c r="J1612" i="1"/>
  <c r="J1618" i="1"/>
  <c r="J1624" i="1"/>
  <c r="J1628" i="1"/>
  <c r="J1634" i="1"/>
  <c r="J1640" i="1"/>
  <c r="J1646" i="1"/>
  <c r="J1652" i="1"/>
  <c r="J1656" i="1"/>
  <c r="J1657" i="1" s="1"/>
  <c r="J1662" i="1"/>
  <c r="J1668" i="1"/>
  <c r="J1674" i="1"/>
  <c r="J1680" i="1"/>
  <c r="J1684" i="1"/>
  <c r="J1685" i="1" s="1"/>
  <c r="J1690" i="1"/>
  <c r="J1696" i="1"/>
  <c r="J1702" i="1"/>
  <c r="J1708" i="1"/>
  <c r="J1712" i="1"/>
  <c r="J1713" i="1" s="1"/>
  <c r="J1718" i="1"/>
  <c r="J1724" i="1"/>
  <c r="J1730" i="1"/>
  <c r="J1736" i="1"/>
  <c r="J1740" i="1"/>
  <c r="J1741" i="1" s="1"/>
  <c r="J1746" i="1"/>
  <c r="J1752" i="1"/>
  <c r="J1758" i="1"/>
  <c r="J1764" i="1"/>
  <c r="J1768" i="1"/>
  <c r="J1769" i="1" s="1"/>
  <c r="J1774" i="1"/>
  <c r="J1780" i="1"/>
  <c r="J1786" i="1"/>
  <c r="J1792" i="1"/>
  <c r="J1796" i="1"/>
  <c r="J1797" i="1" s="1"/>
  <c r="J1802" i="1"/>
  <c r="J1808" i="1"/>
  <c r="J1814" i="1"/>
  <c r="J1820" i="1"/>
  <c r="J1824" i="1"/>
  <c r="J1825" i="1" s="1"/>
  <c r="J1830" i="1"/>
  <c r="J1836" i="1"/>
  <c r="J1842" i="1"/>
  <c r="J1848" i="1"/>
  <c r="J1852" i="1"/>
  <c r="J1853" i="1" s="1"/>
  <c r="J1858" i="1"/>
  <c r="J1864" i="1"/>
  <c r="J1870" i="1"/>
  <c r="J1876" i="1"/>
  <c r="J1880" i="1"/>
  <c r="J1886" i="1"/>
  <c r="J1892" i="1"/>
  <c r="J1898" i="1"/>
  <c r="J1904" i="1"/>
  <c r="J1908" i="1"/>
  <c r="J1909" i="1" s="1"/>
  <c r="J1914" i="1"/>
  <c r="J1762" i="1"/>
  <c r="J1818" i="1"/>
  <c r="J1846" i="1"/>
  <c r="J1958" i="1"/>
  <c r="J2014" i="1"/>
  <c r="J2070" i="1"/>
  <c r="J1734" i="1"/>
  <c r="J1874" i="1"/>
  <c r="J1986" i="1"/>
  <c r="J2042" i="1"/>
  <c r="J2098" i="1"/>
  <c r="J2126" i="1"/>
  <c r="J2154" i="1"/>
  <c r="J1748" i="1"/>
  <c r="J1776" i="1"/>
  <c r="J1832" i="1"/>
  <c r="J1861" i="1"/>
  <c r="J1917" i="1"/>
  <c r="J1944" i="1"/>
  <c r="J1973" i="1"/>
  <c r="J2000" i="1"/>
  <c r="J2029" i="1"/>
  <c r="J2056" i="1"/>
  <c r="J2085" i="1"/>
  <c r="J2141" i="1"/>
  <c r="J2168" i="1"/>
  <c r="J2197" i="1"/>
  <c r="J2225" i="1"/>
  <c r="J1727" i="1"/>
  <c r="J1755" i="1"/>
  <c r="J2182" i="1"/>
  <c r="J2210" i="1"/>
  <c r="J2238" i="1"/>
  <c r="J264" i="1"/>
  <c r="J292" i="1"/>
  <c r="J293" i="1" s="1"/>
  <c r="J348" i="1"/>
  <c r="J376" i="1"/>
  <c r="J432" i="1"/>
  <c r="J516" i="1"/>
  <c r="J517" i="1" s="1"/>
  <c r="J544" i="1"/>
  <c r="J600" i="1"/>
  <c r="J712" i="1"/>
  <c r="J740" i="1"/>
  <c r="J741" i="1" s="1"/>
  <c r="J824" i="1"/>
  <c r="J852" i="1"/>
  <c r="J853" i="1" s="1"/>
  <c r="J908" i="1"/>
  <c r="J936" i="1"/>
  <c r="J964" i="1"/>
  <c r="J1020" i="1"/>
  <c r="J1048" i="1"/>
  <c r="J1076" i="1"/>
  <c r="J1132" i="1"/>
  <c r="J1160" i="1"/>
  <c r="J1188" i="1"/>
  <c r="J187" i="1"/>
  <c r="J271" i="1"/>
  <c r="J299" i="1"/>
  <c r="J383" i="1"/>
  <c r="J411" i="1"/>
  <c r="J495" i="1"/>
  <c r="J523" i="1"/>
  <c r="J635" i="1"/>
  <c r="J747" i="1"/>
  <c r="J831" i="1"/>
  <c r="J859" i="1"/>
  <c r="J887" i="1"/>
  <c r="J971" i="1"/>
  <c r="J1083" i="1"/>
  <c r="J1139" i="1"/>
  <c r="J1167" i="1"/>
  <c r="J1195" i="1"/>
  <c r="J922" i="1"/>
  <c r="J1034" i="1"/>
  <c r="J1244" i="1"/>
  <c r="J1272" i="1"/>
  <c r="J1384" i="1"/>
  <c r="J1552" i="1"/>
  <c r="J1664" i="1"/>
  <c r="J1503" i="1"/>
  <c r="J1531" i="1"/>
  <c r="J1615" i="1"/>
  <c r="J1643" i="1"/>
  <c r="J1699" i="1"/>
  <c r="J1258" i="1"/>
  <c r="J1286" i="1"/>
  <c r="J1398" i="1"/>
  <c r="J1482" i="1"/>
  <c r="J1510" i="1"/>
  <c r="J1538" i="1"/>
  <c r="J1566" i="1"/>
  <c r="J1594" i="1"/>
  <c r="J1622" i="1"/>
  <c r="J54" i="1"/>
  <c r="J110" i="1"/>
  <c r="J250" i="1"/>
  <c r="J334" i="1"/>
  <c r="J446" i="1"/>
  <c r="J502" i="1"/>
  <c r="J726" i="1"/>
  <c r="J782" i="1"/>
  <c r="J838" i="1"/>
  <c r="J173" i="1"/>
  <c r="J285" i="1"/>
  <c r="J397" i="1"/>
  <c r="J509" i="1"/>
  <c r="J621" i="1"/>
  <c r="J733" i="1"/>
  <c r="J845" i="1"/>
  <c r="J985" i="1"/>
  <c r="J1041" i="1"/>
  <c r="J1181" i="1"/>
  <c r="J1405" i="1"/>
  <c r="J1881" i="1"/>
  <c r="J1993" i="1"/>
  <c r="J2021" i="1"/>
  <c r="J2049" i="1"/>
  <c r="J2077" i="1"/>
  <c r="J2105" i="1"/>
  <c r="J2133" i="1"/>
  <c r="J2161" i="1"/>
  <c r="J2189" i="1"/>
  <c r="J2217" i="1"/>
  <c r="J2245" i="1"/>
  <c r="J138" i="1"/>
  <c r="J166" i="1"/>
  <c r="J474" i="1"/>
  <c r="J586" i="1"/>
  <c r="J698" i="1"/>
  <c r="J810" i="1"/>
  <c r="J61" i="1"/>
  <c r="J89" i="1"/>
  <c r="J201" i="1"/>
  <c r="J313" i="1"/>
  <c r="J425" i="1"/>
  <c r="J537" i="1"/>
  <c r="J649" i="1"/>
  <c r="J761" i="1"/>
  <c r="J873" i="1"/>
  <c r="J957" i="1"/>
  <c r="J1069" i="1"/>
  <c r="J1097" i="1"/>
  <c r="J1209" i="1"/>
  <c r="J1265" i="1"/>
  <c r="J1321" i="1"/>
  <c r="J1433" i="1"/>
  <c r="J1489" i="1"/>
  <c r="J1517" i="1"/>
  <c r="J1629" i="1"/>
  <c r="J1937" i="1"/>
  <c r="J40" i="1"/>
  <c r="J96" i="1"/>
  <c r="J180" i="1"/>
  <c r="J47" i="1"/>
  <c r="J75" i="1"/>
  <c r="J159" i="1"/>
  <c r="J306" i="1"/>
  <c r="J670" i="1"/>
  <c r="J754" i="1"/>
  <c r="J1174" i="1"/>
  <c r="J1090" i="1"/>
  <c r="J1118" i="1"/>
  <c r="J1230" i="1"/>
  <c r="J26" i="1"/>
  <c r="J558" i="1"/>
  <c r="J866" i="1"/>
  <c r="J978" i="1"/>
  <c r="J1314" i="1"/>
  <c r="J1342" i="1"/>
  <c r="J1454" i="1"/>
  <c r="J257" i="1"/>
  <c r="J369" i="1"/>
  <c r="J817" i="1"/>
  <c r="J1328" i="1"/>
  <c r="J1356" i="1"/>
  <c r="J1440" i="1"/>
  <c r="J1580" i="1"/>
  <c r="J1636" i="1"/>
  <c r="J1804" i="1"/>
  <c r="J607" i="1"/>
  <c r="J691" i="1"/>
  <c r="J719" i="1"/>
  <c r="J915" i="1"/>
  <c r="J943" i="1"/>
  <c r="J1055" i="1"/>
  <c r="J1279" i="1"/>
  <c r="J1307" i="1"/>
  <c r="J1391" i="1"/>
  <c r="J1419" i="1"/>
  <c r="J1811" i="1"/>
  <c r="J2112" i="1"/>
  <c r="J1965" i="1"/>
  <c r="F17" i="1"/>
  <c r="G17" i="1" s="1"/>
  <c r="F49" i="1"/>
  <c r="G49" i="1" s="1"/>
  <c r="F76" i="1"/>
  <c r="G76" i="1" s="1"/>
  <c r="F93" i="1"/>
  <c r="G93" i="1" s="1"/>
  <c r="F117" i="1"/>
  <c r="G117" i="1" s="1"/>
  <c r="F140" i="1"/>
  <c r="G140" i="1" s="1"/>
  <c r="F157" i="1"/>
  <c r="G157" i="1" s="1"/>
  <c r="F181" i="1"/>
  <c r="G181" i="1" s="1"/>
  <c r="F204" i="1"/>
  <c r="G204" i="1" s="1"/>
  <c r="F221" i="1"/>
  <c r="G221" i="1" s="1"/>
  <c r="F245" i="1"/>
  <c r="G245" i="1" s="1"/>
  <c r="F268" i="1"/>
  <c r="G268" i="1" s="1"/>
  <c r="K374" i="1" s="1"/>
  <c r="L374" i="1" s="1"/>
  <c r="F285" i="1"/>
  <c r="G285" i="1" s="1"/>
  <c r="F309" i="1"/>
  <c r="G309" i="1" s="1"/>
  <c r="F332" i="1"/>
  <c r="G332" i="1" s="1"/>
  <c r="K464" i="1" s="1"/>
  <c r="L464" i="1" s="1"/>
  <c r="F349" i="1"/>
  <c r="G349" i="1" s="1"/>
  <c r="F371" i="1"/>
  <c r="G371" i="1" s="1"/>
  <c r="F385" i="1"/>
  <c r="G385" i="1" s="1"/>
  <c r="F397" i="1"/>
  <c r="G397" i="1" s="1"/>
  <c r="F413" i="1"/>
  <c r="G413" i="1" s="1"/>
  <c r="F428" i="1"/>
  <c r="G428" i="1" s="1"/>
  <c r="K598" i="1" s="1"/>
  <c r="L598" i="1" s="1"/>
  <c r="F440" i="1"/>
  <c r="G440" i="1" s="1"/>
  <c r="K616" i="1" s="1"/>
  <c r="L616" i="1" s="1"/>
  <c r="F456" i="1"/>
  <c r="G456" i="1" s="1"/>
  <c r="K638" i="1" s="1"/>
  <c r="F471" i="1"/>
  <c r="G471" i="1" s="1"/>
  <c r="F483" i="1"/>
  <c r="G483" i="1" s="1"/>
  <c r="F499" i="1"/>
  <c r="G499" i="1" s="1"/>
  <c r="F513" i="1"/>
  <c r="G513" i="1" s="1"/>
  <c r="F525" i="1"/>
  <c r="G525" i="1" s="1"/>
  <c r="F541" i="1"/>
  <c r="G541" i="1" s="1"/>
  <c r="F556" i="1"/>
  <c r="G556" i="1" s="1"/>
  <c r="K778" i="1" s="1"/>
  <c r="L778" i="1" s="1"/>
  <c r="F568" i="1"/>
  <c r="G568" i="1" s="1"/>
  <c r="K794" i="1" s="1"/>
  <c r="F584" i="1"/>
  <c r="G584" i="1" s="1"/>
  <c r="K816" i="1" s="1"/>
  <c r="F599" i="1"/>
  <c r="G599" i="1" s="1"/>
  <c r="F611" i="1"/>
  <c r="G611" i="1" s="1"/>
  <c r="F627" i="1"/>
  <c r="G627" i="1" s="1"/>
  <c r="F641" i="1"/>
  <c r="G641" i="1" s="1"/>
  <c r="F653" i="1"/>
  <c r="G653" i="1" s="1"/>
  <c r="F669" i="1"/>
  <c r="G669" i="1" s="1"/>
  <c r="F684" i="1"/>
  <c r="G684" i="1" s="1"/>
  <c r="K956" i="1" s="1"/>
  <c r="L956" i="1" s="1"/>
  <c r="F696" i="1"/>
  <c r="G696" i="1" s="1"/>
  <c r="K974" i="1" s="1"/>
  <c r="F712" i="1"/>
  <c r="G712" i="1" s="1"/>
  <c r="K996" i="1" s="1"/>
  <c r="L996" i="1" s="1"/>
  <c r="F721" i="1"/>
  <c r="G721" i="1" s="1"/>
  <c r="F729" i="1"/>
  <c r="G729" i="1" s="1"/>
  <c r="F740" i="1"/>
  <c r="G740" i="1" s="1"/>
  <c r="K1036" i="1" s="1"/>
  <c r="F749" i="1"/>
  <c r="G749" i="1" s="1"/>
  <c r="F759" i="1"/>
  <c r="G759" i="1" s="1"/>
  <c r="F769" i="1"/>
  <c r="G769" i="1" s="1"/>
  <c r="F777" i="1"/>
  <c r="G777" i="1" s="1"/>
  <c r="F786" i="1"/>
  <c r="G786" i="1" s="1"/>
  <c r="F794" i="1"/>
  <c r="G794" i="1" s="1"/>
  <c r="F801" i="1"/>
  <c r="G801" i="1" s="1"/>
  <c r="F807" i="1"/>
  <c r="G807" i="1" s="1"/>
  <c r="F815" i="1"/>
  <c r="G815" i="1" s="1"/>
  <c r="F822" i="1"/>
  <c r="G822" i="1" s="1"/>
  <c r="F829" i="1"/>
  <c r="G829" i="1" s="1"/>
  <c r="F837" i="1"/>
  <c r="G837" i="1" s="1"/>
  <c r="F843" i="1"/>
  <c r="G843" i="1" s="1"/>
  <c r="F850" i="1"/>
  <c r="G850" i="1" s="1"/>
  <c r="F858" i="1"/>
  <c r="G858" i="1" s="1"/>
  <c r="F865" i="1"/>
  <c r="G865" i="1" s="1"/>
  <c r="F871" i="1"/>
  <c r="G871" i="1" s="1"/>
  <c r="F879" i="1"/>
  <c r="G879" i="1" s="1"/>
  <c r="F886" i="1"/>
  <c r="G886" i="1" s="1"/>
  <c r="F893" i="1"/>
  <c r="G893" i="1" s="1"/>
  <c r="F901" i="1"/>
  <c r="G901" i="1" s="1"/>
  <c r="F907" i="1"/>
  <c r="G907" i="1" s="1"/>
  <c r="F914" i="1"/>
  <c r="G914" i="1" s="1"/>
  <c r="F922" i="1"/>
  <c r="G922" i="1" s="1"/>
  <c r="F929" i="1"/>
  <c r="G929" i="1" s="1"/>
  <c r="F935" i="1"/>
  <c r="G935" i="1" s="1"/>
  <c r="F943" i="1"/>
  <c r="G943" i="1" s="1"/>
  <c r="F950" i="1"/>
  <c r="G950" i="1" s="1"/>
  <c r="F957" i="1"/>
  <c r="G957" i="1" s="1"/>
  <c r="F965" i="1"/>
  <c r="G965" i="1" s="1"/>
  <c r="F971" i="1"/>
  <c r="G971" i="1" s="1"/>
  <c r="F978" i="1"/>
  <c r="G978" i="1" s="1"/>
  <c r="F986" i="1"/>
  <c r="G986" i="1" s="1"/>
  <c r="F993" i="1"/>
  <c r="G993" i="1" s="1"/>
  <c r="F999" i="1"/>
  <c r="G999" i="1" s="1"/>
  <c r="F1007" i="1"/>
  <c r="G1007" i="1" s="1"/>
  <c r="F1014" i="1"/>
  <c r="G1014" i="1" s="1"/>
  <c r="F1021" i="1"/>
  <c r="G1021" i="1" s="1"/>
  <c r="F1029" i="1"/>
  <c r="G1029" i="1" s="1"/>
  <c r="F1035" i="1"/>
  <c r="G1035" i="1" s="1"/>
  <c r="F1042" i="1"/>
  <c r="G1042" i="1" s="1"/>
  <c r="F1050" i="1"/>
  <c r="G1050" i="1" s="1"/>
  <c r="F1057" i="1"/>
  <c r="G1057" i="1" s="1"/>
  <c r="F1063" i="1"/>
  <c r="G1063" i="1" s="1"/>
  <c r="F1071" i="1"/>
  <c r="G1071" i="1" s="1"/>
  <c r="F1078" i="1"/>
  <c r="G1078" i="1" s="1"/>
  <c r="F1085" i="1"/>
  <c r="G1085" i="1" s="1"/>
  <c r="F1093" i="1"/>
  <c r="G1093" i="1" s="1"/>
  <c r="F1099" i="1"/>
  <c r="G1099" i="1" s="1"/>
  <c r="F1106" i="1"/>
  <c r="G1106" i="1" s="1"/>
  <c r="F1114" i="1"/>
  <c r="G1114" i="1" s="1"/>
  <c r="F1121" i="1"/>
  <c r="G1121" i="1" s="1"/>
  <c r="F1127" i="1"/>
  <c r="G1127" i="1" s="1"/>
  <c r="F1135" i="1"/>
  <c r="G1135" i="1" s="1"/>
  <c r="F1142" i="1"/>
  <c r="G1142" i="1" s="1"/>
  <c r="F1149" i="1"/>
  <c r="G1149" i="1" s="1"/>
  <c r="F1157" i="1"/>
  <c r="G1157" i="1" s="1"/>
  <c r="F1163" i="1"/>
  <c r="G1163" i="1" s="1"/>
  <c r="F1170" i="1"/>
  <c r="G1170" i="1" s="1"/>
  <c r="K1638" i="1" s="1"/>
  <c r="L1638" i="1" s="1"/>
  <c r="F1178" i="1"/>
  <c r="G1178" i="1" s="1"/>
  <c r="K1648" i="1" s="1"/>
  <c r="F1185" i="1"/>
  <c r="G1185" i="1" s="1"/>
  <c r="F1191" i="1"/>
  <c r="G1191" i="1" s="1"/>
  <c r="F1199" i="1"/>
  <c r="G1199" i="1" s="1"/>
  <c r="F1206" i="1"/>
  <c r="G1206" i="1" s="1"/>
  <c r="K1688" i="1" s="1"/>
  <c r="L1688" i="1" s="1"/>
  <c r="F1213" i="1"/>
  <c r="G1213" i="1" s="1"/>
  <c r="F1221" i="1"/>
  <c r="G1221" i="1" s="1"/>
  <c r="F1227" i="1"/>
  <c r="G1227" i="1" s="1"/>
  <c r="F1234" i="1"/>
  <c r="G1234" i="1" s="1"/>
  <c r="K1726" i="1" s="1"/>
  <c r="L1726" i="1" s="1"/>
  <c r="F1242" i="1"/>
  <c r="G1242" i="1" s="1"/>
  <c r="K1738" i="1" s="1"/>
  <c r="F1249" i="1"/>
  <c r="G1249" i="1" s="1"/>
  <c r="F1255" i="1"/>
  <c r="G1255" i="1" s="1"/>
  <c r="F1263" i="1"/>
  <c r="G1263" i="1" s="1"/>
  <c r="F1270" i="1"/>
  <c r="G1270" i="1" s="1"/>
  <c r="K1778" i="1" s="1"/>
  <c r="L1778" i="1" s="1"/>
  <c r="F1277" i="1"/>
  <c r="G1277" i="1" s="1"/>
  <c r="F1285" i="1"/>
  <c r="G1285" i="1" s="1"/>
  <c r="F1291" i="1"/>
  <c r="G1291" i="1" s="1"/>
  <c r="F1298" i="1"/>
  <c r="G1298" i="1" s="1"/>
  <c r="K1816" i="1" s="1"/>
  <c r="L1816" i="1" s="1"/>
  <c r="F1306" i="1"/>
  <c r="G1306" i="1" s="1"/>
  <c r="K1828" i="1" s="1"/>
  <c r="F1313" i="1"/>
  <c r="G1313" i="1" s="1"/>
  <c r="F1319" i="1"/>
  <c r="G1319" i="1" s="1"/>
  <c r="F1327" i="1"/>
  <c r="G1327" i="1" s="1"/>
  <c r="F1334" i="1"/>
  <c r="G1334" i="1" s="1"/>
  <c r="K1866" i="1" s="1"/>
  <c r="L1866" i="1" s="1"/>
  <c r="F1341" i="1"/>
  <c r="G1341" i="1" s="1"/>
  <c r="F1349" i="1"/>
  <c r="G1349" i="1" s="1"/>
  <c r="F1355" i="1"/>
  <c r="G1355" i="1" s="1"/>
  <c r="F1362" i="1"/>
  <c r="G1362" i="1" s="1"/>
  <c r="K1906" i="1" s="1"/>
  <c r="L1906" i="1" s="1"/>
  <c r="F1368" i="1"/>
  <c r="G1368" i="1" s="1"/>
  <c r="K1914" i="1" s="1"/>
  <c r="F1373" i="1"/>
  <c r="G1373" i="1" s="1"/>
  <c r="F1378" i="1"/>
  <c r="G1378" i="1" s="1"/>
  <c r="K1928" i="1" s="1"/>
  <c r="L1928" i="1" s="1"/>
  <c r="F1384" i="1"/>
  <c r="G1384" i="1" s="1"/>
  <c r="K1936" i="1" s="1"/>
  <c r="L1936" i="1" s="1"/>
  <c r="F1389" i="1"/>
  <c r="G1389" i="1" s="1"/>
  <c r="F1394" i="1"/>
  <c r="G1394" i="1" s="1"/>
  <c r="F1400" i="1"/>
  <c r="G1400" i="1" s="1"/>
  <c r="K1960" i="1" s="1"/>
  <c r="L1960" i="1" s="1"/>
  <c r="F1405" i="1"/>
  <c r="G1405" i="1" s="1"/>
  <c r="K1967" i="1" s="1"/>
  <c r="L1967" i="1" s="1"/>
  <c r="F1410" i="1"/>
  <c r="G1410" i="1" s="1"/>
  <c r="F1416" i="1"/>
  <c r="G1416" i="1" s="1"/>
  <c r="K1982" i="1" s="1"/>
  <c r="L1982" i="1" s="1"/>
  <c r="F1421" i="1"/>
  <c r="G1421" i="1" s="1"/>
  <c r="K1989" i="1" s="1"/>
  <c r="L1989" i="1" s="1"/>
  <c r="F1426" i="1"/>
  <c r="G1426" i="1" s="1"/>
  <c r="F1432" i="1"/>
  <c r="G1432" i="1" s="1"/>
  <c r="K2004" i="1" s="1"/>
  <c r="L2004" i="1" s="1"/>
  <c r="F1437" i="1"/>
  <c r="G1437" i="1" s="1"/>
  <c r="K2011" i="1" s="1"/>
  <c r="L2011" i="1" s="1"/>
  <c r="F1442" i="1"/>
  <c r="G1442" i="1" s="1"/>
  <c r="F1448" i="1"/>
  <c r="G1448" i="1" s="1"/>
  <c r="K2026" i="1" s="1"/>
  <c r="L2026" i="1" s="1"/>
  <c r="F1453" i="1"/>
  <c r="G1453" i="1" s="1"/>
  <c r="K2033" i="1" s="1"/>
  <c r="L2033" i="1" s="1"/>
  <c r="F1458" i="1"/>
  <c r="G1458" i="1" s="1"/>
  <c r="F1464" i="1"/>
  <c r="G1464" i="1" s="1"/>
  <c r="K2048" i="1" s="1"/>
  <c r="K2049" i="1" s="1"/>
  <c r="K2050" i="1" s="1"/>
  <c r="F1469" i="1"/>
  <c r="G1469" i="1" s="1"/>
  <c r="K2055" i="1" s="1"/>
  <c r="L2055" i="1" s="1"/>
  <c r="F1474" i="1"/>
  <c r="G1474" i="1" s="1"/>
  <c r="F1480" i="1"/>
  <c r="G1480" i="1" s="1"/>
  <c r="K2072" i="1" s="1"/>
  <c r="L2072" i="1" s="1"/>
  <c r="F1485" i="1"/>
  <c r="G1485" i="1" s="1"/>
  <c r="K2079" i="1" s="1"/>
  <c r="L2079" i="1" s="1"/>
  <c r="F1490" i="1"/>
  <c r="G1490" i="1" s="1"/>
  <c r="F1496" i="1"/>
  <c r="G1496" i="1" s="1"/>
  <c r="K2094" i="1" s="1"/>
  <c r="L2094" i="1" s="1"/>
  <c r="F1501" i="1"/>
  <c r="G1501" i="1" s="1"/>
  <c r="K2101" i="1" s="1"/>
  <c r="L2101" i="1" s="1"/>
  <c r="F1506" i="1"/>
  <c r="G1506" i="1" s="1"/>
  <c r="F1512" i="1"/>
  <c r="G1512" i="1" s="1"/>
  <c r="K2116" i="1" s="1"/>
  <c r="L2116" i="1" s="1"/>
  <c r="F1517" i="1"/>
  <c r="G1517" i="1" s="1"/>
  <c r="K2123" i="1" s="1"/>
  <c r="L2123" i="1" s="1"/>
  <c r="F1522" i="1"/>
  <c r="G1522" i="1" s="1"/>
  <c r="F1528" i="1"/>
  <c r="G1528" i="1" s="1"/>
  <c r="K2138" i="1" s="1"/>
  <c r="L2138" i="1" s="1"/>
  <c r="F1533" i="1"/>
  <c r="G1533" i="1" s="1"/>
  <c r="K2145" i="1" s="1"/>
  <c r="L2145" i="1" s="1"/>
  <c r="F1538" i="1"/>
  <c r="G1538" i="1" s="1"/>
  <c r="F1544" i="1"/>
  <c r="G1544" i="1" s="1"/>
  <c r="K2160" i="1" s="1"/>
  <c r="K2161" i="1" s="1"/>
  <c r="K2162" i="1" s="1"/>
  <c r="F1549" i="1"/>
  <c r="G1549" i="1" s="1"/>
  <c r="K2167" i="1" s="1"/>
  <c r="L2167" i="1" s="1"/>
  <c r="F1554" i="1"/>
  <c r="G1554" i="1" s="1"/>
  <c r="F1560" i="1"/>
  <c r="G1560" i="1" s="1"/>
  <c r="K2184" i="1" s="1"/>
  <c r="L2184" i="1" s="1"/>
  <c r="F1565" i="1"/>
  <c r="G1565" i="1" s="1"/>
  <c r="K2191" i="1" s="1"/>
  <c r="L2191" i="1" s="1"/>
  <c r="F1570" i="1"/>
  <c r="G1570" i="1" s="1"/>
  <c r="F1576" i="1"/>
  <c r="G1576" i="1" s="1"/>
  <c r="K2206" i="1" s="1"/>
  <c r="L2206" i="1" s="1"/>
  <c r="F1581" i="1"/>
  <c r="G1581" i="1" s="1"/>
  <c r="K2213" i="1" s="1"/>
  <c r="L2213" i="1" s="1"/>
  <c r="F1586" i="1"/>
  <c r="G1586" i="1" s="1"/>
  <c r="F1592" i="1"/>
  <c r="G1592" i="1" s="1"/>
  <c r="K2228" i="1" s="1"/>
  <c r="L2228" i="1" s="1"/>
  <c r="F1597" i="1"/>
  <c r="G1597" i="1" s="1"/>
  <c r="K2235" i="1" s="1"/>
  <c r="L2235" i="1" s="1"/>
  <c r="F1602" i="1"/>
  <c r="G1602" i="1" s="1"/>
  <c r="F1608" i="1"/>
  <c r="G1608" i="1" s="1"/>
  <c r="K2250" i="1" s="1"/>
  <c r="L2250" i="1" s="1"/>
  <c r="F1201" i="1"/>
  <c r="G1201" i="1" s="1"/>
  <c r="F1428" i="1"/>
  <c r="G1428" i="1" s="1"/>
  <c r="F1444" i="1"/>
  <c r="G1444" i="1" s="1"/>
  <c r="F1454" i="1"/>
  <c r="G1454" i="1" s="1"/>
  <c r="F1470" i="1"/>
  <c r="G1470" i="1" s="1"/>
  <c r="F1481" i="1"/>
  <c r="G1481" i="1" s="1"/>
  <c r="K2073" i="1" s="1"/>
  <c r="L2073" i="1" s="1"/>
  <c r="F1492" i="1"/>
  <c r="G1492" i="1" s="1"/>
  <c r="F1502" i="1"/>
  <c r="G1502" i="1" s="1"/>
  <c r="F1513" i="1"/>
  <c r="G1513" i="1" s="1"/>
  <c r="K2117" i="1" s="1"/>
  <c r="L2117" i="1" s="1"/>
  <c r="F1524" i="1"/>
  <c r="G1524" i="1" s="1"/>
  <c r="F1534" i="1"/>
  <c r="G1534" i="1" s="1"/>
  <c r="F1545" i="1"/>
  <c r="G1545" i="1" s="1"/>
  <c r="K2163" i="1" s="1"/>
  <c r="L2163" i="1" s="1"/>
  <c r="F1556" i="1"/>
  <c r="G1556" i="1" s="1"/>
  <c r="F1566" i="1"/>
  <c r="G1566" i="1" s="1"/>
  <c r="F1577" i="1"/>
  <c r="G1577" i="1" s="1"/>
  <c r="K2207" i="1" s="1"/>
  <c r="L2207" i="1" s="1"/>
  <c r="F1588" i="1"/>
  <c r="G1588" i="1" s="1"/>
  <c r="F1598" i="1"/>
  <c r="G1598" i="1" s="1"/>
  <c r="F1609" i="1"/>
  <c r="G1609" i="1" s="1"/>
  <c r="K2251" i="1" s="1"/>
  <c r="L2251" i="1" s="1"/>
  <c r="F6" i="1"/>
  <c r="G6" i="1" s="1"/>
  <c r="F37" i="1"/>
  <c r="G37" i="1" s="1"/>
  <c r="F59" i="1"/>
  <c r="G59" i="1" s="1"/>
  <c r="F85" i="1"/>
  <c r="G85" i="1" s="1"/>
  <c r="F108" i="1"/>
  <c r="G108" i="1" s="1"/>
  <c r="F125" i="1"/>
  <c r="G125" i="1" s="1"/>
  <c r="F149" i="1"/>
  <c r="G149" i="1" s="1"/>
  <c r="F172" i="1"/>
  <c r="G172" i="1" s="1"/>
  <c r="F189" i="1"/>
  <c r="G189" i="1" s="1"/>
  <c r="F213" i="1"/>
  <c r="G213" i="1" s="1"/>
  <c r="F236" i="1"/>
  <c r="G236" i="1" s="1"/>
  <c r="F790" i="1"/>
  <c r="G790" i="1" s="1"/>
  <c r="F818" i="1"/>
  <c r="G818" i="1" s="1"/>
  <c r="F833" i="1"/>
  <c r="G833" i="1" s="1"/>
  <c r="F847" i="1"/>
  <c r="G847" i="1" s="1"/>
  <c r="F854" i="1"/>
  <c r="G854" i="1" s="1"/>
  <c r="F861" i="1"/>
  <c r="G861" i="1" s="1"/>
  <c r="F875" i="1"/>
  <c r="G875" i="1" s="1"/>
  <c r="F882" i="1"/>
  <c r="G882" i="1" s="1"/>
  <c r="F897" i="1"/>
  <c r="G897" i="1" s="1"/>
  <c r="F903" i="1"/>
  <c r="G903" i="1" s="1"/>
  <c r="F918" i="1"/>
  <c r="G918" i="1" s="1"/>
  <c r="F925" i="1"/>
  <c r="G925" i="1" s="1"/>
  <c r="F933" i="1"/>
  <c r="G933" i="1" s="1"/>
  <c r="F946" i="1"/>
  <c r="G946" i="1" s="1"/>
  <c r="F954" i="1"/>
  <c r="G954" i="1" s="1"/>
  <c r="F967" i="1"/>
  <c r="G967" i="1" s="1"/>
  <c r="F975" i="1"/>
  <c r="G975" i="1" s="1"/>
  <c r="F989" i="1"/>
  <c r="G989" i="1" s="1"/>
  <c r="F997" i="1"/>
  <c r="G997" i="1" s="1"/>
  <c r="F1003" i="1"/>
  <c r="G1003" i="1" s="1"/>
  <c r="F1018" i="1"/>
  <c r="G1018" i="1" s="1"/>
  <c r="F1025" i="1"/>
  <c r="G1025" i="1" s="1"/>
  <c r="F1039" i="1"/>
  <c r="G1039" i="1" s="1"/>
  <c r="F1046" i="1"/>
  <c r="G1046" i="1" s="1"/>
  <c r="F1053" i="1"/>
  <c r="G1053" i="1" s="1"/>
  <c r="F1067" i="1"/>
  <c r="G1067" i="1" s="1"/>
  <c r="F1074" i="1"/>
  <c r="G1074" i="1" s="1"/>
  <c r="F1089" i="1"/>
  <c r="G1089" i="1" s="1"/>
  <c r="F1095" i="1"/>
  <c r="G1095" i="1" s="1"/>
  <c r="F1103" i="1"/>
  <c r="G1103" i="1" s="1"/>
  <c r="F1117" i="1"/>
  <c r="G1117" i="1" s="1"/>
  <c r="F1125" i="1"/>
  <c r="G1125" i="1" s="1"/>
  <c r="F1131" i="1"/>
  <c r="G1131" i="1" s="1"/>
  <c r="F1138" i="1"/>
  <c r="G1138" i="1" s="1"/>
  <c r="F1146" i="1"/>
  <c r="G1146" i="1" s="1"/>
  <c r="F1153" i="1"/>
  <c r="G1153" i="1" s="1"/>
  <c r="F1159" i="1"/>
  <c r="G1159" i="1" s="1"/>
  <c r="F1167" i="1"/>
  <c r="G1167" i="1" s="1"/>
  <c r="F1174" i="1"/>
  <c r="G1174" i="1" s="1"/>
  <c r="K1642" i="1" s="1"/>
  <c r="L1642" i="1" s="1"/>
  <c r="F1181" i="1"/>
  <c r="G1181" i="1" s="1"/>
  <c r="F1189" i="1"/>
  <c r="G1189" i="1" s="1"/>
  <c r="F1195" i="1"/>
  <c r="G1195" i="1" s="1"/>
  <c r="F1302" i="1"/>
  <c r="G1302" i="1" s="1"/>
  <c r="K1822" i="1" s="1"/>
  <c r="L1822" i="1" s="1"/>
  <c r="F1330" i="1"/>
  <c r="G1330" i="1" s="1"/>
  <c r="K1862" i="1" s="1"/>
  <c r="L1862" i="1" s="1"/>
  <c r="F1359" i="1"/>
  <c r="G1359" i="1" s="1"/>
  <c r="F1376" i="1"/>
  <c r="G1376" i="1" s="1"/>
  <c r="F1397" i="1"/>
  <c r="G1397" i="1" s="1"/>
  <c r="K1955" i="1" s="1"/>
  <c r="L1955" i="1" s="1"/>
  <c r="F1413" i="1"/>
  <c r="G1413" i="1" s="1"/>
  <c r="K1977" i="1" s="1"/>
  <c r="L1977" i="1" s="1"/>
  <c r="F1424" i="1"/>
  <c r="G1424" i="1" s="1"/>
  <c r="K1992" i="1" s="1"/>
  <c r="F1429" i="1"/>
  <c r="G1429" i="1" s="1"/>
  <c r="K1999" i="1" s="1"/>
  <c r="L1999" i="1" s="1"/>
  <c r="F1440" i="1"/>
  <c r="G1440" i="1" s="1"/>
  <c r="K2016" i="1" s="1"/>
  <c r="L2016" i="1" s="1"/>
  <c r="F1456" i="1"/>
  <c r="G1456" i="1" s="1"/>
  <c r="K2038" i="1" s="1"/>
  <c r="L2038" i="1" s="1"/>
  <c r="F1472" i="1"/>
  <c r="G1472" i="1" s="1"/>
  <c r="K2060" i="1" s="1"/>
  <c r="L2060" i="1" s="1"/>
  <c r="F1493" i="1"/>
  <c r="G1493" i="1" s="1"/>
  <c r="K2089" i="1" s="1"/>
  <c r="L2089" i="1" s="1"/>
  <c r="F1509" i="1"/>
  <c r="G1509" i="1" s="1"/>
  <c r="K2111" i="1" s="1"/>
  <c r="L2111" i="1" s="1"/>
  <c r="F1520" i="1"/>
  <c r="G1520" i="1" s="1"/>
  <c r="K2128" i="1" s="1"/>
  <c r="L2128" i="1" s="1"/>
  <c r="F1530" i="1"/>
  <c r="G1530" i="1" s="1"/>
  <c r="F1541" i="1"/>
  <c r="G1541" i="1" s="1"/>
  <c r="K2157" i="1" s="1"/>
  <c r="L2157" i="1" s="1"/>
  <c r="F1552" i="1"/>
  <c r="G1552" i="1" s="1"/>
  <c r="K2172" i="1" s="1"/>
  <c r="L2172" i="1" s="1"/>
  <c r="F1562" i="1"/>
  <c r="G1562" i="1" s="1"/>
  <c r="F1573" i="1"/>
  <c r="G1573" i="1" s="1"/>
  <c r="K2201" i="1" s="1"/>
  <c r="L2201" i="1" s="1"/>
  <c r="F1584" i="1"/>
  <c r="G1584" i="1" s="1"/>
  <c r="K2216" i="1" s="1"/>
  <c r="L2216" i="1" s="1"/>
  <c r="F1594" i="1"/>
  <c r="G1594" i="1" s="1"/>
  <c r="F1610" i="1"/>
  <c r="G1610" i="1" s="1"/>
  <c r="F27" i="1"/>
  <c r="G27" i="1" s="1"/>
  <c r="F58" i="1"/>
  <c r="G58" i="1" s="1"/>
  <c r="F77" i="1"/>
  <c r="G77" i="1" s="1"/>
  <c r="F101" i="1"/>
  <c r="G101" i="1" s="1"/>
  <c r="F124" i="1"/>
  <c r="G124" i="1" s="1"/>
  <c r="F141" i="1"/>
  <c r="G141" i="1" s="1"/>
  <c r="F165" i="1"/>
  <c r="G165" i="1" s="1"/>
  <c r="F188" i="1"/>
  <c r="G188" i="1" s="1"/>
  <c r="F205" i="1"/>
  <c r="G205" i="1" s="1"/>
  <c r="F229" i="1"/>
  <c r="G229" i="1" s="1"/>
  <c r="F252" i="1"/>
  <c r="G252" i="1" s="1"/>
  <c r="F269" i="1"/>
  <c r="G269" i="1" s="1"/>
  <c r="F293" i="1"/>
  <c r="G293" i="1" s="1"/>
  <c r="F316" i="1"/>
  <c r="G316" i="1" s="1"/>
  <c r="K442" i="1" s="1"/>
  <c r="L442" i="1" s="1"/>
  <c r="F333" i="1"/>
  <c r="G333" i="1" s="1"/>
  <c r="F357" i="1"/>
  <c r="G357" i="1" s="1"/>
  <c r="F375" i="1"/>
  <c r="G375" i="1" s="1"/>
  <c r="F387" i="1"/>
  <c r="G387" i="1" s="1"/>
  <c r="F403" i="1"/>
  <c r="G403" i="1" s="1"/>
  <c r="F417" i="1"/>
  <c r="G417" i="1" s="1"/>
  <c r="F429" i="1"/>
  <c r="G429" i="1" s="1"/>
  <c r="F445" i="1"/>
  <c r="G445" i="1" s="1"/>
  <c r="F460" i="1"/>
  <c r="G460" i="1" s="1"/>
  <c r="K644" i="1" s="1"/>
  <c r="L644" i="1" s="1"/>
  <c r="F472" i="1"/>
  <c r="G472" i="1" s="1"/>
  <c r="K660" i="1" s="1"/>
  <c r="L660" i="1" s="1"/>
  <c r="F488" i="1"/>
  <c r="G488" i="1" s="1"/>
  <c r="K682" i="1" s="1"/>
  <c r="L682" i="1" s="1"/>
  <c r="F503" i="1"/>
  <c r="G503" i="1" s="1"/>
  <c r="F515" i="1"/>
  <c r="G515" i="1" s="1"/>
  <c r="F531" i="1"/>
  <c r="G531" i="1" s="1"/>
  <c r="F545" i="1"/>
  <c r="G545" i="1" s="1"/>
  <c r="F557" i="1"/>
  <c r="G557" i="1" s="1"/>
  <c r="F573" i="1"/>
  <c r="G573" i="1" s="1"/>
  <c r="F588" i="1"/>
  <c r="G588" i="1" s="1"/>
  <c r="K822" i="1" s="1"/>
  <c r="L822" i="1" s="1"/>
  <c r="F600" i="1"/>
  <c r="G600" i="1" s="1"/>
  <c r="K840" i="1" s="1"/>
  <c r="L840" i="1" s="1"/>
  <c r="F616" i="1"/>
  <c r="G616" i="1" s="1"/>
  <c r="K862" i="1" s="1"/>
  <c r="L862" i="1" s="1"/>
  <c r="F631" i="1"/>
  <c r="G631" i="1" s="1"/>
  <c r="F643" i="1"/>
  <c r="G643" i="1" s="1"/>
  <c r="F659" i="1"/>
  <c r="G659" i="1" s="1"/>
  <c r="F673" i="1"/>
  <c r="G673" i="1" s="1"/>
  <c r="F685" i="1"/>
  <c r="G685" i="1" s="1"/>
  <c r="F701" i="1"/>
  <c r="G701" i="1" s="1"/>
  <c r="F713" i="1"/>
  <c r="G713" i="1" s="1"/>
  <c r="F723" i="1"/>
  <c r="G723" i="1" s="1"/>
  <c r="F733" i="1"/>
  <c r="G733" i="1" s="1"/>
  <c r="F743" i="1"/>
  <c r="G743" i="1" s="1"/>
  <c r="F751" i="1"/>
  <c r="G751" i="1" s="1"/>
  <c r="F761" i="1"/>
  <c r="G761" i="1" s="1"/>
  <c r="F771" i="1"/>
  <c r="G771" i="1" s="1"/>
  <c r="F780" i="1"/>
  <c r="G780" i="1" s="1"/>
  <c r="K1092" i="1" s="1"/>
  <c r="L1092" i="1" s="1"/>
  <c r="F789" i="1"/>
  <c r="G789" i="1" s="1"/>
  <c r="F795" i="1"/>
  <c r="G795" i="1" s="1"/>
  <c r="F802" i="1"/>
  <c r="G802" i="1" s="1"/>
  <c r="F810" i="1"/>
  <c r="G810" i="1" s="1"/>
  <c r="F817" i="1"/>
  <c r="G817" i="1" s="1"/>
  <c r="F823" i="1"/>
  <c r="G823" i="1" s="1"/>
  <c r="F831" i="1"/>
  <c r="G831" i="1" s="1"/>
  <c r="F838" i="1"/>
  <c r="G838" i="1" s="1"/>
  <c r="F845" i="1"/>
  <c r="G845" i="1" s="1"/>
  <c r="F853" i="1"/>
  <c r="G853" i="1" s="1"/>
  <c r="F859" i="1"/>
  <c r="G859" i="1" s="1"/>
  <c r="F866" i="1"/>
  <c r="G866" i="1" s="1"/>
  <c r="F874" i="1"/>
  <c r="G874" i="1" s="1"/>
  <c r="F881" i="1"/>
  <c r="G881" i="1" s="1"/>
  <c r="F887" i="1"/>
  <c r="G887" i="1" s="1"/>
  <c r="F895" i="1"/>
  <c r="G895" i="1" s="1"/>
  <c r="F902" i="1"/>
  <c r="G902" i="1" s="1"/>
  <c r="F909" i="1"/>
  <c r="G909" i="1" s="1"/>
  <c r="F917" i="1"/>
  <c r="G917" i="1" s="1"/>
  <c r="F923" i="1"/>
  <c r="G923" i="1" s="1"/>
  <c r="F930" i="1"/>
  <c r="G930" i="1" s="1"/>
  <c r="F938" i="1"/>
  <c r="G938" i="1" s="1"/>
  <c r="F945" i="1"/>
  <c r="G945" i="1" s="1"/>
  <c r="F951" i="1"/>
  <c r="G951" i="1" s="1"/>
  <c r="F959" i="1"/>
  <c r="G959" i="1" s="1"/>
  <c r="F966" i="1"/>
  <c r="G966" i="1" s="1"/>
  <c r="F973" i="1"/>
  <c r="G973" i="1" s="1"/>
  <c r="F981" i="1"/>
  <c r="G981" i="1" s="1"/>
  <c r="F987" i="1"/>
  <c r="G987" i="1" s="1"/>
  <c r="F994" i="1"/>
  <c r="G994" i="1" s="1"/>
  <c r="F1002" i="1"/>
  <c r="G1002" i="1" s="1"/>
  <c r="F1009" i="1"/>
  <c r="G1009" i="1" s="1"/>
  <c r="F1015" i="1"/>
  <c r="G1015" i="1" s="1"/>
  <c r="F1023" i="1"/>
  <c r="G1023" i="1" s="1"/>
  <c r="F1030" i="1"/>
  <c r="G1030" i="1" s="1"/>
  <c r="F1037" i="1"/>
  <c r="G1037" i="1" s="1"/>
  <c r="F1045" i="1"/>
  <c r="G1045" i="1" s="1"/>
  <c r="F1051" i="1"/>
  <c r="G1051" i="1" s="1"/>
  <c r="F1058" i="1"/>
  <c r="G1058" i="1" s="1"/>
  <c r="F1066" i="1"/>
  <c r="G1066" i="1" s="1"/>
  <c r="F1073" i="1"/>
  <c r="G1073" i="1" s="1"/>
  <c r="F1079" i="1"/>
  <c r="G1079" i="1" s="1"/>
  <c r="F1087" i="1"/>
  <c r="G1087" i="1" s="1"/>
  <c r="F1094" i="1"/>
  <c r="G1094" i="1" s="1"/>
  <c r="F1101" i="1"/>
  <c r="G1101" i="1" s="1"/>
  <c r="F1109" i="1"/>
  <c r="G1109" i="1" s="1"/>
  <c r="F1115" i="1"/>
  <c r="G1115" i="1" s="1"/>
  <c r="F1122" i="1"/>
  <c r="G1122" i="1" s="1"/>
  <c r="F1130" i="1"/>
  <c r="G1130" i="1" s="1"/>
  <c r="F1137" i="1"/>
  <c r="G1137" i="1" s="1"/>
  <c r="F1143" i="1"/>
  <c r="G1143" i="1" s="1"/>
  <c r="F1151" i="1"/>
  <c r="G1151" i="1" s="1"/>
  <c r="F1158" i="1"/>
  <c r="G1158" i="1" s="1"/>
  <c r="F1165" i="1"/>
  <c r="G1165" i="1" s="1"/>
  <c r="F1173" i="1"/>
  <c r="G1173" i="1" s="1"/>
  <c r="F1179" i="1"/>
  <c r="G1179" i="1" s="1"/>
  <c r="F1186" i="1"/>
  <c r="G1186" i="1" s="1"/>
  <c r="K1660" i="1" s="1"/>
  <c r="L1660" i="1" s="1"/>
  <c r="F1194" i="1"/>
  <c r="G1194" i="1" s="1"/>
  <c r="K1670" i="1" s="1"/>
  <c r="F1207" i="1"/>
  <c r="G1207" i="1" s="1"/>
  <c r="F1215" i="1"/>
  <c r="G1215" i="1" s="1"/>
  <c r="F1222" i="1"/>
  <c r="G1222" i="1" s="1"/>
  <c r="K1710" i="1" s="1"/>
  <c r="L1710" i="1" s="1"/>
  <c r="F1229" i="1"/>
  <c r="G1229" i="1" s="1"/>
  <c r="F1237" i="1"/>
  <c r="G1237" i="1" s="1"/>
  <c r="F1243" i="1"/>
  <c r="G1243" i="1" s="1"/>
  <c r="F1250" i="1"/>
  <c r="G1250" i="1" s="1"/>
  <c r="K1750" i="1" s="1"/>
  <c r="L1750" i="1" s="1"/>
  <c r="F1258" i="1"/>
  <c r="G1258" i="1" s="1"/>
  <c r="K1760" i="1" s="1"/>
  <c r="F1265" i="1"/>
  <c r="G1265" i="1" s="1"/>
  <c r="F1271" i="1"/>
  <c r="G1271" i="1" s="1"/>
  <c r="F1279" i="1"/>
  <c r="G1279" i="1" s="1"/>
  <c r="F1286" i="1"/>
  <c r="G1286" i="1" s="1"/>
  <c r="K1800" i="1" s="1"/>
  <c r="L1800" i="1" s="1"/>
  <c r="F1293" i="1"/>
  <c r="G1293" i="1" s="1"/>
  <c r="F1301" i="1"/>
  <c r="G1301" i="1" s="1"/>
  <c r="F1307" i="1"/>
  <c r="G1307" i="1" s="1"/>
  <c r="F1314" i="1"/>
  <c r="G1314" i="1" s="1"/>
  <c r="K1838" i="1" s="1"/>
  <c r="L1838" i="1" s="1"/>
  <c r="F1322" i="1"/>
  <c r="G1322" i="1" s="1"/>
  <c r="K1850" i="1" s="1"/>
  <c r="F1329" i="1"/>
  <c r="G1329" i="1" s="1"/>
  <c r="F1335" i="1"/>
  <c r="G1335" i="1" s="1"/>
  <c r="F1343" i="1"/>
  <c r="G1343" i="1" s="1"/>
  <c r="F1350" i="1"/>
  <c r="G1350" i="1" s="1"/>
  <c r="K1890" i="1" s="1"/>
  <c r="L1890" i="1" s="1"/>
  <c r="F1357" i="1"/>
  <c r="G1357" i="1" s="1"/>
  <c r="F1364" i="1"/>
  <c r="G1364" i="1" s="1"/>
  <c r="K1908" i="1" s="1"/>
  <c r="F1369" i="1"/>
  <c r="G1369" i="1" s="1"/>
  <c r="F1374" i="1"/>
  <c r="G1374" i="1" s="1"/>
  <c r="F1380" i="1"/>
  <c r="G1380" i="1" s="1"/>
  <c r="K1932" i="1" s="1"/>
  <c r="L1932" i="1" s="1"/>
  <c r="F1385" i="1"/>
  <c r="G1385" i="1" s="1"/>
  <c r="F1390" i="1"/>
  <c r="G1390" i="1" s="1"/>
  <c r="K1946" i="1" s="1"/>
  <c r="L1946" i="1" s="1"/>
  <c r="F1396" i="1"/>
  <c r="G1396" i="1" s="1"/>
  <c r="F1401" i="1"/>
  <c r="G1401" i="1" s="1"/>
  <c r="K1961" i="1" s="1"/>
  <c r="L1961" i="1" s="1"/>
  <c r="F1406" i="1"/>
  <c r="G1406" i="1" s="1"/>
  <c r="F1412" i="1"/>
  <c r="G1412" i="1" s="1"/>
  <c r="F1417" i="1"/>
  <c r="G1417" i="1" s="1"/>
  <c r="K1983" i="1" s="1"/>
  <c r="L1983" i="1" s="1"/>
  <c r="F1422" i="1"/>
  <c r="G1422" i="1" s="1"/>
  <c r="F1433" i="1"/>
  <c r="G1433" i="1" s="1"/>
  <c r="K2005" i="1" s="1"/>
  <c r="L2005" i="1" s="1"/>
  <c r="F1438" i="1"/>
  <c r="G1438" i="1" s="1"/>
  <c r="F1449" i="1"/>
  <c r="G1449" i="1" s="1"/>
  <c r="K2027" i="1" s="1"/>
  <c r="L2027" i="1" s="1"/>
  <c r="F1460" i="1"/>
  <c r="G1460" i="1" s="1"/>
  <c r="F1465" i="1"/>
  <c r="G1465" i="1" s="1"/>
  <c r="K2051" i="1" s="1"/>
  <c r="L2051" i="1" s="1"/>
  <c r="F1476" i="1"/>
  <c r="G1476" i="1" s="1"/>
  <c r="F1486" i="1"/>
  <c r="G1486" i="1" s="1"/>
  <c r="F1497" i="1"/>
  <c r="G1497" i="1" s="1"/>
  <c r="K2095" i="1" s="1"/>
  <c r="L2095" i="1" s="1"/>
  <c r="F1508" i="1"/>
  <c r="G1508" i="1" s="1"/>
  <c r="F1518" i="1"/>
  <c r="G1518" i="1" s="1"/>
  <c r="F1529" i="1"/>
  <c r="G1529" i="1" s="1"/>
  <c r="K2139" i="1" s="1"/>
  <c r="L2139" i="1" s="1"/>
  <c r="F1540" i="1"/>
  <c r="G1540" i="1" s="1"/>
  <c r="F1550" i="1"/>
  <c r="G1550" i="1" s="1"/>
  <c r="F1561" i="1"/>
  <c r="G1561" i="1" s="1"/>
  <c r="K2185" i="1" s="1"/>
  <c r="L2185" i="1" s="1"/>
  <c r="F1572" i="1"/>
  <c r="G1572" i="1" s="1"/>
  <c r="F1582" i="1"/>
  <c r="G1582" i="1" s="1"/>
  <c r="F1593" i="1"/>
  <c r="G1593" i="1" s="1"/>
  <c r="K2229" i="1" s="1"/>
  <c r="L2229" i="1" s="1"/>
  <c r="F1604" i="1"/>
  <c r="G1604" i="1" s="1"/>
  <c r="F253" i="1"/>
  <c r="G253" i="1" s="1"/>
  <c r="F277" i="1"/>
  <c r="G277" i="1" s="1"/>
  <c r="F300" i="1"/>
  <c r="G300" i="1" s="1"/>
  <c r="K420" i="1" s="1"/>
  <c r="L420" i="1" s="1"/>
  <c r="F317" i="1"/>
  <c r="G317" i="1" s="1"/>
  <c r="F341" i="1"/>
  <c r="G341" i="1" s="1"/>
  <c r="F364" i="1"/>
  <c r="G364" i="1" s="1"/>
  <c r="K508" i="1" s="1"/>
  <c r="L508" i="1" s="1"/>
  <c r="F376" i="1"/>
  <c r="G376" i="1" s="1"/>
  <c r="K526" i="1" s="1"/>
  <c r="L526" i="1" s="1"/>
  <c r="F392" i="1"/>
  <c r="G392" i="1" s="1"/>
  <c r="K548" i="1" s="1"/>
  <c r="L548" i="1" s="1"/>
  <c r="F407" i="1"/>
  <c r="G407" i="1" s="1"/>
  <c r="F419" i="1"/>
  <c r="G419" i="1" s="1"/>
  <c r="F435" i="1"/>
  <c r="G435" i="1" s="1"/>
  <c r="F449" i="1"/>
  <c r="G449" i="1" s="1"/>
  <c r="F461" i="1"/>
  <c r="G461" i="1" s="1"/>
  <c r="F477" i="1"/>
  <c r="G477" i="1" s="1"/>
  <c r="F492" i="1"/>
  <c r="G492" i="1" s="1"/>
  <c r="K688" i="1" s="1"/>
  <c r="L688" i="1" s="1"/>
  <c r="F504" i="1"/>
  <c r="G504" i="1" s="1"/>
  <c r="K704" i="1" s="1"/>
  <c r="L704" i="1" s="1"/>
  <c r="F520" i="1"/>
  <c r="G520" i="1" s="1"/>
  <c r="K728" i="1" s="1"/>
  <c r="L728" i="1" s="1"/>
  <c r="F535" i="1"/>
  <c r="G535" i="1" s="1"/>
  <c r="F547" i="1"/>
  <c r="G547" i="1" s="1"/>
  <c r="F563" i="1"/>
  <c r="G563" i="1" s="1"/>
  <c r="F577" i="1"/>
  <c r="G577" i="1" s="1"/>
  <c r="F589" i="1"/>
  <c r="G589" i="1" s="1"/>
  <c r="F605" i="1"/>
  <c r="G605" i="1" s="1"/>
  <c r="F620" i="1"/>
  <c r="G620" i="1" s="1"/>
  <c r="K868" i="1" s="1"/>
  <c r="L868" i="1" s="1"/>
  <c r="F632" i="1"/>
  <c r="G632" i="1" s="1"/>
  <c r="K884" i="1" s="1"/>
  <c r="L884" i="1" s="1"/>
  <c r="F648" i="1"/>
  <c r="G648" i="1" s="1"/>
  <c r="K906" i="1" s="1"/>
  <c r="L906" i="1" s="1"/>
  <c r="F663" i="1"/>
  <c r="G663" i="1" s="1"/>
  <c r="F675" i="1"/>
  <c r="G675" i="1" s="1"/>
  <c r="F691" i="1"/>
  <c r="G691" i="1" s="1"/>
  <c r="F705" i="1"/>
  <c r="G705" i="1" s="1"/>
  <c r="F716" i="1"/>
  <c r="G716" i="1" s="1"/>
  <c r="K1002" i="1" s="1"/>
  <c r="L1002" i="1" s="1"/>
  <c r="F727" i="1"/>
  <c r="G727" i="1" s="1"/>
  <c r="F735" i="1"/>
  <c r="G735" i="1" s="1"/>
  <c r="F744" i="1"/>
  <c r="G744" i="1" s="1"/>
  <c r="K1040" i="1" s="1"/>
  <c r="L1040" i="1" s="1"/>
  <c r="F755" i="1"/>
  <c r="G755" i="1" s="1"/>
  <c r="F764" i="1"/>
  <c r="G764" i="1" s="1"/>
  <c r="K1068" i="1" s="1"/>
  <c r="L1068" i="1" s="1"/>
  <c r="F772" i="1"/>
  <c r="G772" i="1" s="1"/>
  <c r="K1080" i="1" s="1"/>
  <c r="F783" i="1"/>
  <c r="G783" i="1" s="1"/>
  <c r="F797" i="1"/>
  <c r="G797" i="1" s="1"/>
  <c r="F805" i="1"/>
  <c r="G805" i="1" s="1"/>
  <c r="F811" i="1"/>
  <c r="G811" i="1" s="1"/>
  <c r="F826" i="1"/>
  <c r="G826" i="1" s="1"/>
  <c r="F839" i="1"/>
  <c r="G839" i="1" s="1"/>
  <c r="F869" i="1"/>
  <c r="G869" i="1" s="1"/>
  <c r="F890" i="1"/>
  <c r="G890" i="1" s="1"/>
  <c r="F911" i="1"/>
  <c r="G911" i="1" s="1"/>
  <c r="F939" i="1"/>
  <c r="G939" i="1" s="1"/>
  <c r="F961" i="1"/>
  <c r="G961" i="1" s="1"/>
  <c r="F982" i="1"/>
  <c r="G982" i="1" s="1"/>
  <c r="F1010" i="1"/>
  <c r="G1010" i="1" s="1"/>
  <c r="F1031" i="1"/>
  <c r="G1031" i="1" s="1"/>
  <c r="F1061" i="1"/>
  <c r="G1061" i="1" s="1"/>
  <c r="F1082" i="1"/>
  <c r="G1082" i="1" s="1"/>
  <c r="F1110" i="1"/>
  <c r="G1110" i="1" s="1"/>
  <c r="F1202" i="1"/>
  <c r="G1202" i="1" s="1"/>
  <c r="K1682" i="1" s="1"/>
  <c r="L1682" i="1" s="1"/>
  <c r="F1210" i="1"/>
  <c r="G1210" i="1" s="1"/>
  <c r="K1694" i="1" s="1"/>
  <c r="F1217" i="1"/>
  <c r="G1217" i="1" s="1"/>
  <c r="F1223" i="1"/>
  <c r="G1223" i="1" s="1"/>
  <c r="F1231" i="1"/>
  <c r="G1231" i="1" s="1"/>
  <c r="F1238" i="1"/>
  <c r="G1238" i="1" s="1"/>
  <c r="K1732" i="1" s="1"/>
  <c r="L1732" i="1" s="1"/>
  <c r="F1245" i="1"/>
  <c r="G1245" i="1" s="1"/>
  <c r="F1253" i="1"/>
  <c r="G1253" i="1" s="1"/>
  <c r="F1259" i="1"/>
  <c r="G1259" i="1" s="1"/>
  <c r="F1266" i="1"/>
  <c r="G1266" i="1" s="1"/>
  <c r="K1772" i="1" s="1"/>
  <c r="L1772" i="1" s="1"/>
  <c r="F1274" i="1"/>
  <c r="G1274" i="1" s="1"/>
  <c r="K1782" i="1" s="1"/>
  <c r="F1281" i="1"/>
  <c r="G1281" i="1" s="1"/>
  <c r="F1287" i="1"/>
  <c r="G1287" i="1" s="1"/>
  <c r="F1295" i="1"/>
  <c r="G1295" i="1" s="1"/>
  <c r="F1309" i="1"/>
  <c r="G1309" i="1" s="1"/>
  <c r="F1317" i="1"/>
  <c r="G1317" i="1" s="1"/>
  <c r="F1323" i="1"/>
  <c r="G1323" i="1" s="1"/>
  <c r="F1338" i="1"/>
  <c r="G1338" i="1" s="1"/>
  <c r="K1872" i="1" s="1"/>
  <c r="F1345" i="1"/>
  <c r="G1345" i="1" s="1"/>
  <c r="F1351" i="1"/>
  <c r="G1351" i="1" s="1"/>
  <c r="F1365" i="1"/>
  <c r="G1365" i="1" s="1"/>
  <c r="F1370" i="1"/>
  <c r="G1370" i="1" s="1"/>
  <c r="F1381" i="1"/>
  <c r="G1381" i="1" s="1"/>
  <c r="F1386" i="1"/>
  <c r="G1386" i="1" s="1"/>
  <c r="F1392" i="1"/>
  <c r="G1392" i="1" s="1"/>
  <c r="K1948" i="1" s="1"/>
  <c r="L1948" i="1" s="1"/>
  <c r="F1402" i="1"/>
  <c r="G1402" i="1" s="1"/>
  <c r="F1408" i="1"/>
  <c r="G1408" i="1" s="1"/>
  <c r="K1970" i="1" s="1"/>
  <c r="L1970" i="1" s="1"/>
  <c r="F1418" i="1"/>
  <c r="G1418" i="1" s="1"/>
  <c r="F1434" i="1"/>
  <c r="G1434" i="1" s="1"/>
  <c r="F1445" i="1"/>
  <c r="G1445" i="1" s="1"/>
  <c r="K2023" i="1" s="1"/>
  <c r="L2023" i="1" s="1"/>
  <c r="F1450" i="1"/>
  <c r="G1450" i="1" s="1"/>
  <c r="F1461" i="1"/>
  <c r="G1461" i="1" s="1"/>
  <c r="K2045" i="1" s="1"/>
  <c r="L2045" i="1" s="1"/>
  <c r="F1466" i="1"/>
  <c r="G1466" i="1" s="1"/>
  <c r="F1477" i="1"/>
  <c r="G1477" i="1" s="1"/>
  <c r="K2067" i="1" s="1"/>
  <c r="L2067" i="1" s="1"/>
  <c r="F1482" i="1"/>
  <c r="G1482" i="1" s="1"/>
  <c r="F1488" i="1"/>
  <c r="G1488" i="1" s="1"/>
  <c r="K2082" i="1" s="1"/>
  <c r="L2082" i="1" s="1"/>
  <c r="F1498" i="1"/>
  <c r="G1498" i="1" s="1"/>
  <c r="F1504" i="1"/>
  <c r="G1504" i="1" s="1"/>
  <c r="K2104" i="1" s="1"/>
  <c r="L2104" i="1" s="1"/>
  <c r="F1514" i="1"/>
  <c r="G1514" i="1" s="1"/>
  <c r="F1525" i="1"/>
  <c r="G1525" i="1" s="1"/>
  <c r="K2135" i="1" s="1"/>
  <c r="L2135" i="1" s="1"/>
  <c r="F1536" i="1"/>
  <c r="G1536" i="1" s="1"/>
  <c r="K2150" i="1" s="1"/>
  <c r="L2150" i="1" s="1"/>
  <c r="F1546" i="1"/>
  <c r="G1546" i="1" s="1"/>
  <c r="F1557" i="1"/>
  <c r="G1557" i="1" s="1"/>
  <c r="K2179" i="1" s="1"/>
  <c r="L2179" i="1" s="1"/>
  <c r="F1568" i="1"/>
  <c r="G1568" i="1" s="1"/>
  <c r="K2194" i="1" s="1"/>
  <c r="L2194" i="1" s="1"/>
  <c r="F1578" i="1"/>
  <c r="G1578" i="1" s="1"/>
  <c r="F1589" i="1"/>
  <c r="G1589" i="1" s="1"/>
  <c r="K2223" i="1" s="1"/>
  <c r="L2223" i="1" s="1"/>
  <c r="F1600" i="1"/>
  <c r="G1600" i="1" s="1"/>
  <c r="K2240" i="1" s="1"/>
  <c r="L2240" i="1" s="1"/>
  <c r="F1605" i="1"/>
  <c r="G1605" i="1" s="1"/>
  <c r="K2247" i="1" s="1"/>
  <c r="L2247" i="1" s="1"/>
  <c r="F1606" i="1"/>
  <c r="G1606" i="1" s="1"/>
  <c r="F1585" i="1"/>
  <c r="G1585" i="1" s="1"/>
  <c r="K2219" i="1" s="1"/>
  <c r="L2219" i="1" s="1"/>
  <c r="F1564" i="1"/>
  <c r="G1564" i="1" s="1"/>
  <c r="F1542" i="1"/>
  <c r="G1542" i="1" s="1"/>
  <c r="F1521" i="1"/>
  <c r="G1521" i="1" s="1"/>
  <c r="K2129" i="1" s="1"/>
  <c r="L2129" i="1" s="1"/>
  <c r="F1500" i="1"/>
  <c r="G1500" i="1" s="1"/>
  <c r="F1478" i="1"/>
  <c r="G1478" i="1" s="1"/>
  <c r="F1457" i="1"/>
  <c r="G1457" i="1" s="1"/>
  <c r="K2039" i="1" s="1"/>
  <c r="L2039" i="1" s="1"/>
  <c r="F1436" i="1"/>
  <c r="G1436" i="1" s="1"/>
  <c r="F1414" i="1"/>
  <c r="G1414" i="1" s="1"/>
  <c r="F1393" i="1"/>
  <c r="G1393" i="1" s="1"/>
  <c r="K1949" i="1" s="1"/>
  <c r="L1949" i="1" s="1"/>
  <c r="F1372" i="1"/>
  <c r="G1372" i="1" s="1"/>
  <c r="K1920" i="1" s="1"/>
  <c r="L1920" i="1" s="1"/>
  <c r="F1346" i="1"/>
  <c r="G1346" i="1" s="1"/>
  <c r="K1884" i="1" s="1"/>
  <c r="L1884" i="1" s="1"/>
  <c r="F1318" i="1"/>
  <c r="G1318" i="1" s="1"/>
  <c r="K1844" i="1" s="1"/>
  <c r="L1844" i="1" s="1"/>
  <c r="F1290" i="1"/>
  <c r="G1290" i="1" s="1"/>
  <c r="K1806" i="1" s="1"/>
  <c r="F1261" i="1"/>
  <c r="G1261" i="1" s="1"/>
  <c r="F1233" i="1"/>
  <c r="G1233" i="1" s="1"/>
  <c r="F1205" i="1"/>
  <c r="G1205" i="1" s="1"/>
  <c r="F1175" i="1"/>
  <c r="G1175" i="1" s="1"/>
  <c r="F1147" i="1"/>
  <c r="G1147" i="1" s="1"/>
  <c r="F1119" i="1"/>
  <c r="G1119" i="1" s="1"/>
  <c r="F1090" i="1"/>
  <c r="G1090" i="1" s="1"/>
  <c r="F1062" i="1"/>
  <c r="G1062" i="1" s="1"/>
  <c r="F1034" i="1"/>
  <c r="G1034" i="1" s="1"/>
  <c r="F1005" i="1"/>
  <c r="G1005" i="1" s="1"/>
  <c r="F977" i="1"/>
  <c r="G977" i="1" s="1"/>
  <c r="F949" i="1"/>
  <c r="G949" i="1" s="1"/>
  <c r="F919" i="1"/>
  <c r="G919" i="1" s="1"/>
  <c r="F891" i="1"/>
  <c r="G891" i="1" s="1"/>
  <c r="F863" i="1"/>
  <c r="G863" i="1" s="1"/>
  <c r="F834" i="1"/>
  <c r="G834" i="1" s="1"/>
  <c r="F806" i="1"/>
  <c r="G806" i="1" s="1"/>
  <c r="F776" i="1"/>
  <c r="G776" i="1" s="1"/>
  <c r="K1086" i="1" s="1"/>
  <c r="L1086" i="1" s="1"/>
  <c r="F737" i="1"/>
  <c r="G737" i="1" s="1"/>
  <c r="F695" i="1"/>
  <c r="G695" i="1" s="1"/>
  <c r="F637" i="1"/>
  <c r="G637" i="1" s="1"/>
  <c r="F579" i="1"/>
  <c r="G579" i="1" s="1"/>
  <c r="F524" i="1"/>
  <c r="G524" i="1" s="1"/>
  <c r="K732" i="1" s="1"/>
  <c r="L732" i="1" s="1"/>
  <c r="F467" i="1"/>
  <c r="G467" i="1" s="1"/>
  <c r="F408" i="1"/>
  <c r="G408" i="1" s="1"/>
  <c r="K570" i="1" s="1"/>
  <c r="L570" i="1" s="1"/>
  <c r="F348" i="1"/>
  <c r="G348" i="1" s="1"/>
  <c r="K486" i="1" s="1"/>
  <c r="L486" i="1" s="1"/>
  <c r="F261" i="1"/>
  <c r="G261" i="1" s="1"/>
  <c r="F173" i="1"/>
  <c r="G173" i="1" s="1"/>
  <c r="F92" i="1"/>
  <c r="G92" i="1" s="1"/>
  <c r="F1601" i="1"/>
  <c r="G1601" i="1" s="1"/>
  <c r="K2241" i="1" s="1"/>
  <c r="L2241" i="1" s="1"/>
  <c r="F1580" i="1"/>
  <c r="G1580" i="1" s="1"/>
  <c r="F1558" i="1"/>
  <c r="G1558" i="1" s="1"/>
  <c r="F1537" i="1"/>
  <c r="G1537" i="1" s="1"/>
  <c r="K2151" i="1" s="1"/>
  <c r="L2151" i="1" s="1"/>
  <c r="F1516" i="1"/>
  <c r="G1516" i="1" s="1"/>
  <c r="F1494" i="1"/>
  <c r="G1494" i="1" s="1"/>
  <c r="F1473" i="1"/>
  <c r="G1473" i="1" s="1"/>
  <c r="K2061" i="1" s="1"/>
  <c r="L2061" i="1" s="1"/>
  <c r="F1452" i="1"/>
  <c r="G1452" i="1" s="1"/>
  <c r="F1430" i="1"/>
  <c r="G1430" i="1" s="1"/>
  <c r="F1409" i="1"/>
  <c r="G1409" i="1" s="1"/>
  <c r="K1971" i="1" s="1"/>
  <c r="L1971" i="1" s="1"/>
  <c r="F1388" i="1"/>
  <c r="G1388" i="1" s="1"/>
  <c r="K1942" i="1" s="1"/>
  <c r="L1942" i="1" s="1"/>
  <c r="F1366" i="1"/>
  <c r="G1366" i="1" s="1"/>
  <c r="K1912" i="1" s="1"/>
  <c r="L1912" i="1" s="1"/>
  <c r="F1339" i="1"/>
  <c r="G1339" i="1" s="1"/>
  <c r="F1311" i="1"/>
  <c r="G1311" i="1" s="1"/>
  <c r="F1282" i="1"/>
  <c r="G1282" i="1" s="1"/>
  <c r="K1794" i="1" s="1"/>
  <c r="L1794" i="1" s="1"/>
  <c r="F1254" i="1"/>
  <c r="G1254" i="1" s="1"/>
  <c r="K1754" i="1" s="1"/>
  <c r="L1754" i="1" s="1"/>
  <c r="F1226" i="1"/>
  <c r="G1226" i="1" s="1"/>
  <c r="K1716" i="1" s="1"/>
  <c r="F1197" i="1"/>
  <c r="G1197" i="1" s="1"/>
  <c r="F1169" i="1"/>
  <c r="G1169" i="1" s="1"/>
  <c r="F1141" i="1"/>
  <c r="G1141" i="1" s="1"/>
  <c r="F1111" i="1"/>
  <c r="G1111" i="1" s="1"/>
  <c r="F1083" i="1"/>
  <c r="G1083" i="1" s="1"/>
  <c r="F1055" i="1"/>
  <c r="G1055" i="1" s="1"/>
  <c r="F1026" i="1"/>
  <c r="G1026" i="1" s="1"/>
  <c r="F998" i="1"/>
  <c r="G998" i="1" s="1"/>
  <c r="F970" i="1"/>
  <c r="G970" i="1" s="1"/>
  <c r="F941" i="1"/>
  <c r="G941" i="1" s="1"/>
  <c r="F913" i="1"/>
  <c r="G913" i="1" s="1"/>
  <c r="F885" i="1"/>
  <c r="G885" i="1" s="1"/>
  <c r="F855" i="1"/>
  <c r="G855" i="1" s="1"/>
  <c r="F827" i="1"/>
  <c r="G827" i="1" s="1"/>
  <c r="F799" i="1"/>
  <c r="G799" i="1" s="1"/>
  <c r="F765" i="1"/>
  <c r="G765" i="1" s="1"/>
  <c r="F728" i="1"/>
  <c r="G728" i="1" s="1"/>
  <c r="K1018" i="1" s="1"/>
  <c r="L1018" i="1" s="1"/>
  <c r="F680" i="1"/>
  <c r="G680" i="1" s="1"/>
  <c r="K952" i="1" s="1"/>
  <c r="L952" i="1" s="1"/>
  <c r="F621" i="1"/>
  <c r="G621" i="1" s="1"/>
  <c r="F567" i="1"/>
  <c r="G567" i="1" s="1"/>
  <c r="F509" i="1"/>
  <c r="G509" i="1" s="1"/>
  <c r="F451" i="1"/>
  <c r="G451" i="1" s="1"/>
  <c r="F396" i="1"/>
  <c r="G396" i="1" s="1"/>
  <c r="K554" i="1" s="1"/>
  <c r="L554" i="1" s="1"/>
  <c r="F325" i="1"/>
  <c r="G325" i="1" s="1"/>
  <c r="F237" i="1"/>
  <c r="G237" i="1" s="1"/>
  <c r="F156" i="1"/>
  <c r="G156" i="1" s="1"/>
  <c r="F69" i="1"/>
  <c r="G69" i="1" s="1"/>
  <c r="F1596" i="1"/>
  <c r="G1596" i="1" s="1"/>
  <c r="F1574" i="1"/>
  <c r="G1574" i="1" s="1"/>
  <c r="F1553" i="1"/>
  <c r="G1553" i="1" s="1"/>
  <c r="K2173" i="1" s="1"/>
  <c r="L2173" i="1" s="1"/>
  <c r="F1532" i="1"/>
  <c r="G1532" i="1" s="1"/>
  <c r="F1510" i="1"/>
  <c r="G1510" i="1" s="1"/>
  <c r="F1489" i="1"/>
  <c r="G1489" i="1" s="1"/>
  <c r="K2083" i="1" s="1"/>
  <c r="L2083" i="1" s="1"/>
  <c r="F1468" i="1"/>
  <c r="G1468" i="1" s="1"/>
  <c r="F1446" i="1"/>
  <c r="G1446" i="1" s="1"/>
  <c r="F1425" i="1"/>
  <c r="G1425" i="1" s="1"/>
  <c r="K1995" i="1" s="1"/>
  <c r="L1995" i="1" s="1"/>
  <c r="F1404" i="1"/>
  <c r="G1404" i="1" s="1"/>
  <c r="F1382" i="1"/>
  <c r="G1382" i="1" s="1"/>
  <c r="F1361" i="1"/>
  <c r="G1361" i="1" s="1"/>
  <c r="F1333" i="1"/>
  <c r="G1333" i="1" s="1"/>
  <c r="F1303" i="1"/>
  <c r="G1303" i="1" s="1"/>
  <c r="F1275" i="1"/>
  <c r="G1275" i="1" s="1"/>
  <c r="F1247" i="1"/>
  <c r="G1247" i="1" s="1"/>
  <c r="F1218" i="1"/>
  <c r="G1218" i="1" s="1"/>
  <c r="K1704" i="1" s="1"/>
  <c r="L1704" i="1" s="1"/>
  <c r="F1190" i="1"/>
  <c r="G1190" i="1" s="1"/>
  <c r="K1666" i="1" s="1"/>
  <c r="L1666" i="1" s="1"/>
  <c r="F1162" i="1"/>
  <c r="G1162" i="1" s="1"/>
  <c r="K1626" i="1" s="1"/>
  <c r="F1133" i="1"/>
  <c r="G1133" i="1" s="1"/>
  <c r="F1105" i="1"/>
  <c r="G1105" i="1" s="1"/>
  <c r="F1077" i="1"/>
  <c r="G1077" i="1" s="1"/>
  <c r="F1047" i="1"/>
  <c r="G1047" i="1" s="1"/>
  <c r="F1019" i="1"/>
  <c r="G1019" i="1" s="1"/>
  <c r="F991" i="1"/>
  <c r="G991" i="1" s="1"/>
  <c r="F962" i="1"/>
  <c r="G962" i="1" s="1"/>
  <c r="F934" i="1"/>
  <c r="G934" i="1" s="1"/>
  <c r="F906" i="1"/>
  <c r="G906" i="1" s="1"/>
  <c r="F877" i="1"/>
  <c r="G877" i="1" s="1"/>
  <c r="F849" i="1"/>
  <c r="G849" i="1" s="1"/>
  <c r="F821" i="1"/>
  <c r="G821" i="1" s="1"/>
  <c r="F791" i="1"/>
  <c r="G791" i="1" s="1"/>
  <c r="F756" i="1"/>
  <c r="G756" i="1" s="1"/>
  <c r="K1058" i="1" s="1"/>
  <c r="F719" i="1"/>
  <c r="G719" i="1" s="1"/>
  <c r="F664" i="1"/>
  <c r="G664" i="1" s="1"/>
  <c r="K928" i="1" s="1"/>
  <c r="L928" i="1" s="1"/>
  <c r="F609" i="1"/>
  <c r="G609" i="1" s="1"/>
  <c r="F552" i="1"/>
  <c r="G552" i="1" s="1"/>
  <c r="K772" i="1" s="1"/>
  <c r="L772" i="1" s="1"/>
  <c r="F493" i="1"/>
  <c r="G493" i="1" s="1"/>
  <c r="F439" i="1"/>
  <c r="G439" i="1" s="1"/>
  <c r="F381" i="1"/>
  <c r="G381" i="1" s="1"/>
  <c r="F301" i="1"/>
  <c r="G301" i="1" s="1"/>
  <c r="F220" i="1"/>
  <c r="G220" i="1" s="1"/>
  <c r="F133" i="1"/>
  <c r="G133" i="1" s="1"/>
  <c r="F38" i="1"/>
  <c r="G38" i="1" s="1"/>
  <c r="F1590" i="1"/>
  <c r="G1590" i="1" s="1"/>
  <c r="F1569" i="1"/>
  <c r="G1569" i="1" s="1"/>
  <c r="K2195" i="1" s="1"/>
  <c r="L2195" i="1" s="1"/>
  <c r="F1548" i="1"/>
  <c r="G1548" i="1" s="1"/>
  <c r="F1526" i="1"/>
  <c r="G1526" i="1" s="1"/>
  <c r="F1505" i="1"/>
  <c r="G1505" i="1" s="1"/>
  <c r="K2107" i="1" s="1"/>
  <c r="L2107" i="1" s="1"/>
  <c r="F1484" i="1"/>
  <c r="G1484" i="1" s="1"/>
  <c r="F1462" i="1"/>
  <c r="G1462" i="1" s="1"/>
  <c r="F1441" i="1"/>
  <c r="G1441" i="1" s="1"/>
  <c r="K2017" i="1" s="1"/>
  <c r="L2017" i="1" s="1"/>
  <c r="F1420" i="1"/>
  <c r="G1420" i="1" s="1"/>
  <c r="F1398" i="1"/>
  <c r="G1398" i="1" s="1"/>
  <c r="F1377" i="1"/>
  <c r="G1377" i="1" s="1"/>
  <c r="F1354" i="1"/>
  <c r="G1354" i="1" s="1"/>
  <c r="K1894" i="1" s="1"/>
  <c r="L1894" i="1" s="1"/>
  <c r="F1325" i="1"/>
  <c r="G1325" i="1" s="1"/>
  <c r="F1297" i="1"/>
  <c r="G1297" i="1" s="1"/>
  <c r="F1269" i="1"/>
  <c r="G1269" i="1" s="1"/>
  <c r="F1239" i="1"/>
  <c r="G1239" i="1" s="1"/>
  <c r="F1211" i="1"/>
  <c r="G1211" i="1" s="1"/>
  <c r="F1183" i="1"/>
  <c r="G1183" i="1" s="1"/>
  <c r="F1154" i="1"/>
  <c r="G1154" i="1" s="1"/>
  <c r="F1126" i="1"/>
  <c r="G1126" i="1" s="1"/>
  <c r="F1098" i="1"/>
  <c r="G1098" i="1" s="1"/>
  <c r="F1069" i="1"/>
  <c r="G1069" i="1" s="1"/>
  <c r="F1041" i="1"/>
  <c r="G1041" i="1" s="1"/>
  <c r="F1013" i="1"/>
  <c r="G1013" i="1" s="1"/>
  <c r="F983" i="1"/>
  <c r="G983" i="1" s="1"/>
  <c r="F955" i="1"/>
  <c r="G955" i="1" s="1"/>
  <c r="F927" i="1"/>
  <c r="G927" i="1" s="1"/>
  <c r="F898" i="1"/>
  <c r="G898" i="1" s="1"/>
  <c r="F870" i="1"/>
  <c r="G870" i="1" s="1"/>
  <c r="F842" i="1"/>
  <c r="G842" i="1" s="1"/>
  <c r="F813" i="1"/>
  <c r="G813" i="1" s="1"/>
  <c r="F785" i="1"/>
  <c r="G785" i="1" s="1"/>
  <c r="F748" i="1"/>
  <c r="G748" i="1" s="1"/>
  <c r="K1046" i="1" s="1"/>
  <c r="L1046" i="1" s="1"/>
  <c r="F707" i="1"/>
  <c r="G707" i="1" s="1"/>
  <c r="F652" i="1"/>
  <c r="G652" i="1" s="1"/>
  <c r="K912" i="1" s="1"/>
  <c r="L912" i="1" s="1"/>
  <c r="F595" i="1"/>
  <c r="G595" i="1" s="1"/>
  <c r="F536" i="1"/>
  <c r="G536" i="1" s="1"/>
  <c r="K750" i="1" s="1"/>
  <c r="L750" i="1" s="1"/>
  <c r="F481" i="1"/>
  <c r="G481" i="1" s="1"/>
  <c r="F424" i="1"/>
  <c r="G424" i="1" s="1"/>
  <c r="K592" i="1" s="1"/>
  <c r="L592" i="1" s="1"/>
  <c r="F365" i="1"/>
  <c r="G365" i="1" s="1"/>
  <c r="F284" i="1"/>
  <c r="G284" i="1" s="1"/>
  <c r="K396" i="1" s="1"/>
  <c r="L396" i="1" s="1"/>
  <c r="F197" i="1"/>
  <c r="G197" i="1" s="1"/>
  <c r="F109" i="1"/>
  <c r="G109" i="1" s="1"/>
  <c r="F15" i="1"/>
  <c r="G15" i="1" s="1"/>
  <c r="F4" i="1"/>
  <c r="G4" i="1" s="1"/>
  <c r="F8" i="1"/>
  <c r="G8" i="1" s="1"/>
  <c r="F12" i="1"/>
  <c r="G12" i="1" s="1"/>
  <c r="F16" i="1"/>
  <c r="G16" i="1" s="1"/>
  <c r="F20" i="1"/>
  <c r="G20" i="1" s="1"/>
  <c r="F24" i="1"/>
  <c r="G24" i="1" s="1"/>
  <c r="F28" i="1"/>
  <c r="G28" i="1" s="1"/>
  <c r="F32" i="1"/>
  <c r="G32" i="1" s="1"/>
  <c r="F36" i="1"/>
  <c r="G36" i="1" s="1"/>
  <c r="F40" i="1"/>
  <c r="G40" i="1" s="1"/>
  <c r="F44" i="1"/>
  <c r="G44" i="1" s="1"/>
  <c r="F48" i="1"/>
  <c r="G48" i="1" s="1"/>
  <c r="F52" i="1"/>
  <c r="G52" i="1" s="1"/>
  <c r="F56" i="1"/>
  <c r="G56" i="1" s="1"/>
  <c r="F60" i="1"/>
  <c r="G60" i="1" s="1"/>
  <c r="F64" i="1"/>
  <c r="G64" i="1" s="1"/>
  <c r="F2" i="1"/>
  <c r="G2" i="1" s="1"/>
  <c r="F7" i="1"/>
  <c r="G7" i="1" s="1"/>
  <c r="F13" i="1"/>
  <c r="G13" i="1" s="1"/>
  <c r="F18" i="1"/>
  <c r="G18" i="1" s="1"/>
  <c r="F23" i="1"/>
  <c r="G23" i="1" s="1"/>
  <c r="F29" i="1"/>
  <c r="G29" i="1" s="1"/>
  <c r="F34" i="1"/>
  <c r="G34" i="1" s="1"/>
  <c r="F39" i="1"/>
  <c r="G39" i="1" s="1"/>
  <c r="F45" i="1"/>
  <c r="G45" i="1" s="1"/>
  <c r="F50" i="1"/>
  <c r="G50" i="1" s="1"/>
  <c r="F55" i="1"/>
  <c r="G55" i="1" s="1"/>
  <c r="F61" i="1"/>
  <c r="G61" i="1" s="1"/>
  <c r="F66" i="1"/>
  <c r="G66" i="1" s="1"/>
  <c r="F70" i="1"/>
  <c r="G70" i="1" s="1"/>
  <c r="F74" i="1"/>
  <c r="G74" i="1" s="1"/>
  <c r="F78" i="1"/>
  <c r="G78" i="1" s="1"/>
  <c r="F82" i="1"/>
  <c r="G82" i="1" s="1"/>
  <c r="F86" i="1"/>
  <c r="G86" i="1" s="1"/>
  <c r="F90" i="1"/>
  <c r="G90" i="1" s="1"/>
  <c r="F94" i="1"/>
  <c r="G94" i="1" s="1"/>
  <c r="F98" i="1"/>
  <c r="G98" i="1" s="1"/>
  <c r="F102" i="1"/>
  <c r="G102" i="1" s="1"/>
  <c r="F106" i="1"/>
  <c r="G106" i="1" s="1"/>
  <c r="F110" i="1"/>
  <c r="G110" i="1" s="1"/>
  <c r="F114" i="1"/>
  <c r="G114" i="1" s="1"/>
  <c r="F118" i="1"/>
  <c r="G118" i="1" s="1"/>
  <c r="F122" i="1"/>
  <c r="G122" i="1" s="1"/>
  <c r="F126" i="1"/>
  <c r="G126" i="1" s="1"/>
  <c r="F130" i="1"/>
  <c r="G130" i="1" s="1"/>
  <c r="F134" i="1"/>
  <c r="G134" i="1" s="1"/>
  <c r="F138" i="1"/>
  <c r="G138" i="1" s="1"/>
  <c r="F142" i="1"/>
  <c r="G142" i="1" s="1"/>
  <c r="F146" i="1"/>
  <c r="G146" i="1" s="1"/>
  <c r="F150" i="1"/>
  <c r="G150" i="1" s="1"/>
  <c r="F154" i="1"/>
  <c r="G154" i="1" s="1"/>
  <c r="F158" i="1"/>
  <c r="G158" i="1" s="1"/>
  <c r="F162" i="1"/>
  <c r="G162" i="1" s="1"/>
  <c r="F166" i="1"/>
  <c r="G166" i="1" s="1"/>
  <c r="F170" i="1"/>
  <c r="G170" i="1" s="1"/>
  <c r="F174" i="1"/>
  <c r="G174" i="1" s="1"/>
  <c r="F178" i="1"/>
  <c r="G178" i="1" s="1"/>
  <c r="F182" i="1"/>
  <c r="G182" i="1" s="1"/>
  <c r="F186" i="1"/>
  <c r="G186" i="1" s="1"/>
  <c r="F190" i="1"/>
  <c r="G190" i="1" s="1"/>
  <c r="F194" i="1"/>
  <c r="G194" i="1" s="1"/>
  <c r="F198" i="1"/>
  <c r="G198" i="1" s="1"/>
  <c r="F202" i="1"/>
  <c r="G202" i="1" s="1"/>
  <c r="F206" i="1"/>
  <c r="G206" i="1" s="1"/>
  <c r="F210" i="1"/>
  <c r="G210" i="1" s="1"/>
  <c r="F214" i="1"/>
  <c r="G214" i="1" s="1"/>
  <c r="F218" i="1"/>
  <c r="G218" i="1" s="1"/>
  <c r="F222" i="1"/>
  <c r="G222" i="1" s="1"/>
  <c r="F226" i="1"/>
  <c r="G226" i="1" s="1"/>
  <c r="F230" i="1"/>
  <c r="G230" i="1" s="1"/>
  <c r="F234" i="1"/>
  <c r="G234" i="1" s="1"/>
  <c r="F238" i="1"/>
  <c r="G238" i="1" s="1"/>
  <c r="F242" i="1"/>
  <c r="G242" i="1" s="1"/>
  <c r="F246" i="1"/>
  <c r="G246" i="1" s="1"/>
  <c r="F250" i="1"/>
  <c r="G250" i="1" s="1"/>
  <c r="F254" i="1"/>
  <c r="G254" i="1" s="1"/>
  <c r="F258" i="1"/>
  <c r="G258" i="1" s="1"/>
  <c r="F262" i="1"/>
  <c r="G262" i="1" s="1"/>
  <c r="F266" i="1"/>
  <c r="G266" i="1" s="1"/>
  <c r="F270" i="1"/>
  <c r="G270" i="1" s="1"/>
  <c r="F274" i="1"/>
  <c r="G274" i="1" s="1"/>
  <c r="F278" i="1"/>
  <c r="G278" i="1" s="1"/>
  <c r="F282" i="1"/>
  <c r="G282" i="1" s="1"/>
  <c r="F286" i="1"/>
  <c r="G286" i="1" s="1"/>
  <c r="F290" i="1"/>
  <c r="G290" i="1" s="1"/>
  <c r="F294" i="1"/>
  <c r="G294" i="1" s="1"/>
  <c r="F298" i="1"/>
  <c r="G298" i="1" s="1"/>
  <c r="F302" i="1"/>
  <c r="G302" i="1" s="1"/>
  <c r="F306" i="1"/>
  <c r="G306" i="1" s="1"/>
  <c r="F310" i="1"/>
  <c r="G310" i="1" s="1"/>
  <c r="F314" i="1"/>
  <c r="G314" i="1" s="1"/>
  <c r="F318" i="1"/>
  <c r="G318" i="1" s="1"/>
  <c r="F322" i="1"/>
  <c r="G322" i="1" s="1"/>
  <c r="F326" i="1"/>
  <c r="G326" i="1" s="1"/>
  <c r="F330" i="1"/>
  <c r="G330" i="1" s="1"/>
  <c r="F334" i="1"/>
  <c r="G334" i="1" s="1"/>
  <c r="F338" i="1"/>
  <c r="G338" i="1" s="1"/>
  <c r="F342" i="1"/>
  <c r="G342" i="1" s="1"/>
  <c r="F346" i="1"/>
  <c r="G346" i="1" s="1"/>
  <c r="F350" i="1"/>
  <c r="G350" i="1" s="1"/>
  <c r="F354" i="1"/>
  <c r="G354" i="1" s="1"/>
  <c r="F358" i="1"/>
  <c r="G358" i="1" s="1"/>
  <c r="F362" i="1"/>
  <c r="G362" i="1" s="1"/>
  <c r="F366" i="1"/>
  <c r="G366" i="1" s="1"/>
  <c r="F370" i="1"/>
  <c r="G370" i="1" s="1"/>
  <c r="F374" i="1"/>
  <c r="G374" i="1" s="1"/>
  <c r="F378" i="1"/>
  <c r="G378" i="1" s="1"/>
  <c r="F382" i="1"/>
  <c r="G382" i="1" s="1"/>
  <c r="F386" i="1"/>
  <c r="G386" i="1" s="1"/>
  <c r="F390" i="1"/>
  <c r="G390" i="1" s="1"/>
  <c r="F394" i="1"/>
  <c r="G394" i="1" s="1"/>
  <c r="F398" i="1"/>
  <c r="G398" i="1" s="1"/>
  <c r="F402" i="1"/>
  <c r="G402" i="1" s="1"/>
  <c r="F406" i="1"/>
  <c r="G406" i="1" s="1"/>
  <c r="F410" i="1"/>
  <c r="G410" i="1" s="1"/>
  <c r="F414" i="1"/>
  <c r="G414" i="1" s="1"/>
  <c r="F418" i="1"/>
  <c r="G418" i="1" s="1"/>
  <c r="F422" i="1"/>
  <c r="G422" i="1" s="1"/>
  <c r="F426" i="1"/>
  <c r="G426" i="1" s="1"/>
  <c r="F430" i="1"/>
  <c r="G430" i="1" s="1"/>
  <c r="F434" i="1"/>
  <c r="G434" i="1" s="1"/>
  <c r="F438" i="1"/>
  <c r="G438" i="1" s="1"/>
  <c r="F442" i="1"/>
  <c r="G442" i="1" s="1"/>
  <c r="F446" i="1"/>
  <c r="G446" i="1" s="1"/>
  <c r="F450" i="1"/>
  <c r="G450" i="1" s="1"/>
  <c r="F454" i="1"/>
  <c r="G454" i="1" s="1"/>
  <c r="F458" i="1"/>
  <c r="G458" i="1" s="1"/>
  <c r="F462" i="1"/>
  <c r="G462" i="1" s="1"/>
  <c r="F466" i="1"/>
  <c r="G466" i="1" s="1"/>
  <c r="F470" i="1"/>
  <c r="G470" i="1" s="1"/>
  <c r="F474" i="1"/>
  <c r="G474" i="1" s="1"/>
  <c r="F478" i="1"/>
  <c r="G478" i="1" s="1"/>
  <c r="F482" i="1"/>
  <c r="G482" i="1" s="1"/>
  <c r="F486" i="1"/>
  <c r="G486" i="1" s="1"/>
  <c r="F490" i="1"/>
  <c r="G490" i="1" s="1"/>
  <c r="F494" i="1"/>
  <c r="G494" i="1" s="1"/>
  <c r="F498" i="1"/>
  <c r="G498" i="1" s="1"/>
  <c r="F502" i="1"/>
  <c r="G502" i="1" s="1"/>
  <c r="F506" i="1"/>
  <c r="G506" i="1" s="1"/>
  <c r="F510" i="1"/>
  <c r="G510" i="1" s="1"/>
  <c r="F514" i="1"/>
  <c r="G514" i="1" s="1"/>
  <c r="F518" i="1"/>
  <c r="G518" i="1" s="1"/>
  <c r="F522" i="1"/>
  <c r="G522" i="1" s="1"/>
  <c r="F526" i="1"/>
  <c r="G526" i="1" s="1"/>
  <c r="F530" i="1"/>
  <c r="G530" i="1" s="1"/>
  <c r="F534" i="1"/>
  <c r="G534" i="1" s="1"/>
  <c r="F538" i="1"/>
  <c r="G538" i="1" s="1"/>
  <c r="F542" i="1"/>
  <c r="G542" i="1" s="1"/>
  <c r="F546" i="1"/>
  <c r="G546" i="1" s="1"/>
  <c r="F550" i="1"/>
  <c r="G550" i="1" s="1"/>
  <c r="F554" i="1"/>
  <c r="G554" i="1" s="1"/>
  <c r="F558" i="1"/>
  <c r="G558" i="1" s="1"/>
  <c r="F562" i="1"/>
  <c r="G562" i="1" s="1"/>
  <c r="F566" i="1"/>
  <c r="G566" i="1" s="1"/>
  <c r="F570" i="1"/>
  <c r="G570" i="1" s="1"/>
  <c r="F574" i="1"/>
  <c r="G574" i="1" s="1"/>
  <c r="F578" i="1"/>
  <c r="G578" i="1" s="1"/>
  <c r="F582" i="1"/>
  <c r="G582" i="1" s="1"/>
  <c r="F586" i="1"/>
  <c r="G586" i="1" s="1"/>
  <c r="F590" i="1"/>
  <c r="G590" i="1" s="1"/>
  <c r="F594" i="1"/>
  <c r="G594" i="1" s="1"/>
  <c r="F598" i="1"/>
  <c r="G598" i="1" s="1"/>
  <c r="F602" i="1"/>
  <c r="G602" i="1" s="1"/>
  <c r="F606" i="1"/>
  <c r="G606" i="1" s="1"/>
  <c r="F610" i="1"/>
  <c r="G610" i="1" s="1"/>
  <c r="F614" i="1"/>
  <c r="G614" i="1" s="1"/>
  <c r="F618" i="1"/>
  <c r="G618" i="1" s="1"/>
  <c r="F622" i="1"/>
  <c r="G622" i="1" s="1"/>
  <c r="F626" i="1"/>
  <c r="G626" i="1" s="1"/>
  <c r="F630" i="1"/>
  <c r="G630" i="1" s="1"/>
  <c r="F634" i="1"/>
  <c r="G634" i="1" s="1"/>
  <c r="F638" i="1"/>
  <c r="G638" i="1" s="1"/>
  <c r="F642" i="1"/>
  <c r="G642" i="1" s="1"/>
  <c r="F646" i="1"/>
  <c r="G646" i="1" s="1"/>
  <c r="F650" i="1"/>
  <c r="G650" i="1" s="1"/>
  <c r="F654" i="1"/>
  <c r="G654" i="1" s="1"/>
  <c r="F658" i="1"/>
  <c r="G658" i="1" s="1"/>
  <c r="F662" i="1"/>
  <c r="G662" i="1" s="1"/>
  <c r="F666" i="1"/>
  <c r="G666" i="1" s="1"/>
  <c r="F670" i="1"/>
  <c r="G670" i="1" s="1"/>
  <c r="F674" i="1"/>
  <c r="G674" i="1" s="1"/>
  <c r="F678" i="1"/>
  <c r="G678" i="1" s="1"/>
  <c r="F682" i="1"/>
  <c r="G682" i="1" s="1"/>
  <c r="F686" i="1"/>
  <c r="G686" i="1" s="1"/>
  <c r="F690" i="1"/>
  <c r="G690" i="1" s="1"/>
  <c r="F694" i="1"/>
  <c r="G694" i="1" s="1"/>
  <c r="F698" i="1"/>
  <c r="G698" i="1" s="1"/>
  <c r="F702" i="1"/>
  <c r="G702" i="1" s="1"/>
  <c r="F706" i="1"/>
  <c r="G706" i="1" s="1"/>
  <c r="F710" i="1"/>
  <c r="G710" i="1" s="1"/>
  <c r="F714" i="1"/>
  <c r="G714" i="1" s="1"/>
  <c r="F718" i="1"/>
  <c r="G718" i="1" s="1"/>
  <c r="F722" i="1"/>
  <c r="G722" i="1" s="1"/>
  <c r="F726" i="1"/>
  <c r="G726" i="1" s="1"/>
  <c r="F730" i="1"/>
  <c r="G730" i="1" s="1"/>
  <c r="F734" i="1"/>
  <c r="G734" i="1" s="1"/>
  <c r="F738" i="1"/>
  <c r="G738" i="1" s="1"/>
  <c r="F742" i="1"/>
  <c r="G742" i="1" s="1"/>
  <c r="F746" i="1"/>
  <c r="G746" i="1" s="1"/>
  <c r="F750" i="1"/>
  <c r="G750" i="1" s="1"/>
  <c r="F754" i="1"/>
  <c r="G754" i="1" s="1"/>
  <c r="F758" i="1"/>
  <c r="G758" i="1" s="1"/>
  <c r="F762" i="1"/>
  <c r="G762" i="1" s="1"/>
  <c r="F766" i="1"/>
  <c r="G766" i="1" s="1"/>
  <c r="F770" i="1"/>
  <c r="G770" i="1" s="1"/>
  <c r="F774" i="1"/>
  <c r="G774" i="1" s="1"/>
  <c r="F778" i="1"/>
  <c r="G778" i="1" s="1"/>
  <c r="F782" i="1"/>
  <c r="G782" i="1" s="1"/>
  <c r="F3" i="1"/>
  <c r="G3" i="1" s="1"/>
  <c r="F9" i="1"/>
  <c r="G9" i="1" s="1"/>
  <c r="F14" i="1"/>
  <c r="G14" i="1" s="1"/>
  <c r="F19" i="1"/>
  <c r="G19" i="1" s="1"/>
  <c r="F25" i="1"/>
  <c r="G25" i="1" s="1"/>
  <c r="F30" i="1"/>
  <c r="G30" i="1" s="1"/>
  <c r="F35" i="1"/>
  <c r="G35" i="1" s="1"/>
  <c r="F41" i="1"/>
  <c r="G41" i="1" s="1"/>
  <c r="F46" i="1"/>
  <c r="G46" i="1" s="1"/>
  <c r="F51" i="1"/>
  <c r="G51" i="1" s="1"/>
  <c r="F57" i="1"/>
  <c r="G57" i="1" s="1"/>
  <c r="F62" i="1"/>
  <c r="G62" i="1" s="1"/>
  <c r="F67" i="1"/>
  <c r="G67" i="1" s="1"/>
  <c r="F71" i="1"/>
  <c r="G71" i="1" s="1"/>
  <c r="F75" i="1"/>
  <c r="G75" i="1" s="1"/>
  <c r="F79" i="1"/>
  <c r="G79" i="1" s="1"/>
  <c r="F83" i="1"/>
  <c r="G83" i="1" s="1"/>
  <c r="F87" i="1"/>
  <c r="G87" i="1" s="1"/>
  <c r="F91" i="1"/>
  <c r="G91" i="1" s="1"/>
  <c r="F95" i="1"/>
  <c r="G95" i="1" s="1"/>
  <c r="F99" i="1"/>
  <c r="G99" i="1" s="1"/>
  <c r="F103" i="1"/>
  <c r="G103" i="1" s="1"/>
  <c r="F107" i="1"/>
  <c r="G107" i="1" s="1"/>
  <c r="F111" i="1"/>
  <c r="G111" i="1" s="1"/>
  <c r="F115" i="1"/>
  <c r="G115" i="1" s="1"/>
  <c r="F119" i="1"/>
  <c r="G119" i="1" s="1"/>
  <c r="F123" i="1"/>
  <c r="G123" i="1" s="1"/>
  <c r="F127" i="1"/>
  <c r="G127" i="1" s="1"/>
  <c r="F131" i="1"/>
  <c r="G131" i="1" s="1"/>
  <c r="F135" i="1"/>
  <c r="G135" i="1" s="1"/>
  <c r="F139" i="1"/>
  <c r="G139" i="1" s="1"/>
  <c r="F143" i="1"/>
  <c r="G143" i="1" s="1"/>
  <c r="F147" i="1"/>
  <c r="G147" i="1" s="1"/>
  <c r="F151" i="1"/>
  <c r="G151" i="1" s="1"/>
  <c r="F155" i="1"/>
  <c r="G155" i="1" s="1"/>
  <c r="F159" i="1"/>
  <c r="G159" i="1" s="1"/>
  <c r="F163" i="1"/>
  <c r="G163" i="1" s="1"/>
  <c r="F167" i="1"/>
  <c r="G167" i="1" s="1"/>
  <c r="F171" i="1"/>
  <c r="G171" i="1" s="1"/>
  <c r="F175" i="1"/>
  <c r="G175" i="1" s="1"/>
  <c r="F179" i="1"/>
  <c r="G179" i="1" s="1"/>
  <c r="F183" i="1"/>
  <c r="G183" i="1" s="1"/>
  <c r="F187" i="1"/>
  <c r="G187" i="1" s="1"/>
  <c r="F191" i="1"/>
  <c r="G191" i="1" s="1"/>
  <c r="F195" i="1"/>
  <c r="G195" i="1" s="1"/>
  <c r="F199" i="1"/>
  <c r="G199" i="1" s="1"/>
  <c r="F203" i="1"/>
  <c r="G203" i="1" s="1"/>
  <c r="F207" i="1"/>
  <c r="G207" i="1" s="1"/>
  <c r="F211" i="1"/>
  <c r="G211" i="1" s="1"/>
  <c r="F215" i="1"/>
  <c r="G215" i="1" s="1"/>
  <c r="F219" i="1"/>
  <c r="G219" i="1" s="1"/>
  <c r="F223" i="1"/>
  <c r="G223" i="1" s="1"/>
  <c r="F227" i="1"/>
  <c r="G227" i="1" s="1"/>
  <c r="F231" i="1"/>
  <c r="G231" i="1" s="1"/>
  <c r="F235" i="1"/>
  <c r="G235" i="1" s="1"/>
  <c r="F239" i="1"/>
  <c r="G239" i="1" s="1"/>
  <c r="F243" i="1"/>
  <c r="G243" i="1" s="1"/>
  <c r="F247" i="1"/>
  <c r="G247" i="1" s="1"/>
  <c r="F251" i="1"/>
  <c r="G251" i="1" s="1"/>
  <c r="F255" i="1"/>
  <c r="G255" i="1" s="1"/>
  <c r="F259" i="1"/>
  <c r="G259" i="1" s="1"/>
  <c r="F263" i="1"/>
  <c r="G263" i="1" s="1"/>
  <c r="F267" i="1"/>
  <c r="G267" i="1" s="1"/>
  <c r="F271" i="1"/>
  <c r="G271" i="1" s="1"/>
  <c r="F275" i="1"/>
  <c r="G275" i="1" s="1"/>
  <c r="F279" i="1"/>
  <c r="G279" i="1" s="1"/>
  <c r="F283" i="1"/>
  <c r="G283" i="1" s="1"/>
  <c r="F287" i="1"/>
  <c r="G287" i="1" s="1"/>
  <c r="F291" i="1"/>
  <c r="G291" i="1" s="1"/>
  <c r="F295" i="1"/>
  <c r="G295" i="1" s="1"/>
  <c r="F299" i="1"/>
  <c r="G299" i="1" s="1"/>
  <c r="F303" i="1"/>
  <c r="G303" i="1" s="1"/>
  <c r="F307" i="1"/>
  <c r="G307" i="1" s="1"/>
  <c r="F311" i="1"/>
  <c r="G311" i="1" s="1"/>
  <c r="F315" i="1"/>
  <c r="G315" i="1" s="1"/>
  <c r="F319" i="1"/>
  <c r="G319" i="1" s="1"/>
  <c r="F323" i="1"/>
  <c r="G323" i="1" s="1"/>
  <c r="F327" i="1"/>
  <c r="G327" i="1" s="1"/>
  <c r="F331" i="1"/>
  <c r="G331" i="1" s="1"/>
  <c r="F335" i="1"/>
  <c r="G335" i="1" s="1"/>
  <c r="F339" i="1"/>
  <c r="G339" i="1" s="1"/>
  <c r="F343" i="1"/>
  <c r="G343" i="1" s="1"/>
  <c r="F347" i="1"/>
  <c r="G347" i="1" s="1"/>
  <c r="F351" i="1"/>
  <c r="G351" i="1" s="1"/>
  <c r="F355" i="1"/>
  <c r="G355" i="1" s="1"/>
  <c r="F359" i="1"/>
  <c r="G359" i="1" s="1"/>
  <c r="F363" i="1"/>
  <c r="G363" i="1" s="1"/>
  <c r="F10" i="1"/>
  <c r="G10" i="1" s="1"/>
  <c r="F21" i="1"/>
  <c r="G21" i="1" s="1"/>
  <c r="F31" i="1"/>
  <c r="G31" i="1" s="1"/>
  <c r="F42" i="1"/>
  <c r="G42" i="1" s="1"/>
  <c r="F53" i="1"/>
  <c r="G53" i="1" s="1"/>
  <c r="F63" i="1"/>
  <c r="G63" i="1" s="1"/>
  <c r="F72" i="1"/>
  <c r="G72" i="1" s="1"/>
  <c r="F80" i="1"/>
  <c r="G80" i="1" s="1"/>
  <c r="F88" i="1"/>
  <c r="G88" i="1" s="1"/>
  <c r="F96" i="1"/>
  <c r="G96" i="1" s="1"/>
  <c r="F104" i="1"/>
  <c r="G104" i="1" s="1"/>
  <c r="F112" i="1"/>
  <c r="G112" i="1" s="1"/>
  <c r="F120" i="1"/>
  <c r="G120" i="1" s="1"/>
  <c r="F128" i="1"/>
  <c r="G128" i="1" s="1"/>
  <c r="F136" i="1"/>
  <c r="G136" i="1" s="1"/>
  <c r="F144" i="1"/>
  <c r="G144" i="1" s="1"/>
  <c r="F152" i="1"/>
  <c r="G152" i="1" s="1"/>
  <c r="F160" i="1"/>
  <c r="G160" i="1" s="1"/>
  <c r="F168" i="1"/>
  <c r="G168" i="1" s="1"/>
  <c r="F176" i="1"/>
  <c r="G176" i="1" s="1"/>
  <c r="F184" i="1"/>
  <c r="G184" i="1" s="1"/>
  <c r="F192" i="1"/>
  <c r="G192" i="1" s="1"/>
  <c r="F200" i="1"/>
  <c r="G200" i="1" s="1"/>
  <c r="F208" i="1"/>
  <c r="G208" i="1" s="1"/>
  <c r="F216" i="1"/>
  <c r="G216" i="1" s="1"/>
  <c r="F224" i="1"/>
  <c r="G224" i="1" s="1"/>
  <c r="F232" i="1"/>
  <c r="G232" i="1" s="1"/>
  <c r="F240" i="1"/>
  <c r="G240" i="1" s="1"/>
  <c r="F248" i="1"/>
  <c r="G248" i="1" s="1"/>
  <c r="F256" i="1"/>
  <c r="G256" i="1" s="1"/>
  <c r="F264" i="1"/>
  <c r="G264" i="1" s="1"/>
  <c r="F272" i="1"/>
  <c r="G272" i="1" s="1"/>
  <c r="K380" i="1" s="1"/>
  <c r="L380" i="1" s="1"/>
  <c r="F280" i="1"/>
  <c r="G280" i="1" s="1"/>
  <c r="K392" i="1" s="1"/>
  <c r="L392" i="1" s="1"/>
  <c r="F288" i="1"/>
  <c r="G288" i="1" s="1"/>
  <c r="K402" i="1" s="1"/>
  <c r="L402" i="1" s="1"/>
  <c r="F296" i="1"/>
  <c r="G296" i="1" s="1"/>
  <c r="K414" i="1" s="1"/>
  <c r="L414" i="1" s="1"/>
  <c r="F304" i="1"/>
  <c r="G304" i="1" s="1"/>
  <c r="K424" i="1" s="1"/>
  <c r="L424" i="1" s="1"/>
  <c r="F312" i="1"/>
  <c r="G312" i="1" s="1"/>
  <c r="K436" i="1" s="1"/>
  <c r="L436" i="1" s="1"/>
  <c r="F320" i="1"/>
  <c r="G320" i="1" s="1"/>
  <c r="K448" i="1" s="1"/>
  <c r="L448" i="1" s="1"/>
  <c r="F328" i="1"/>
  <c r="G328" i="1" s="1"/>
  <c r="K458" i="1" s="1"/>
  <c r="L458" i="1" s="1"/>
  <c r="F336" i="1"/>
  <c r="G336" i="1" s="1"/>
  <c r="K470" i="1" s="1"/>
  <c r="L470" i="1" s="1"/>
  <c r="F344" i="1"/>
  <c r="G344" i="1" s="1"/>
  <c r="K480" i="1" s="1"/>
  <c r="L480" i="1" s="1"/>
  <c r="F352" i="1"/>
  <c r="G352" i="1" s="1"/>
  <c r="K492" i="1" s="1"/>
  <c r="L492" i="1" s="1"/>
  <c r="F360" i="1"/>
  <c r="G360" i="1" s="1"/>
  <c r="K504" i="1" s="1"/>
  <c r="L504" i="1" s="1"/>
  <c r="F367" i="1"/>
  <c r="G367" i="1" s="1"/>
  <c r="F372" i="1"/>
  <c r="G372" i="1" s="1"/>
  <c r="K520" i="1" s="1"/>
  <c r="L520" i="1" s="1"/>
  <c r="F377" i="1"/>
  <c r="G377" i="1" s="1"/>
  <c r="F383" i="1"/>
  <c r="G383" i="1" s="1"/>
  <c r="F388" i="1"/>
  <c r="G388" i="1" s="1"/>
  <c r="K542" i="1" s="1"/>
  <c r="F393" i="1"/>
  <c r="G393" i="1" s="1"/>
  <c r="F399" i="1"/>
  <c r="G399" i="1" s="1"/>
  <c r="F404" i="1"/>
  <c r="G404" i="1" s="1"/>
  <c r="K564" i="1" s="1"/>
  <c r="F409" i="1"/>
  <c r="G409" i="1" s="1"/>
  <c r="F415" i="1"/>
  <c r="G415" i="1" s="1"/>
  <c r="F420" i="1"/>
  <c r="G420" i="1" s="1"/>
  <c r="K588" i="1" s="1"/>
  <c r="F425" i="1"/>
  <c r="G425" i="1" s="1"/>
  <c r="F431" i="1"/>
  <c r="G431" i="1" s="1"/>
  <c r="F436" i="1"/>
  <c r="G436" i="1" s="1"/>
  <c r="K610" i="1" s="1"/>
  <c r="L610" i="1" s="1"/>
  <c r="F441" i="1"/>
  <c r="G441" i="1" s="1"/>
  <c r="F447" i="1"/>
  <c r="G447" i="1" s="1"/>
  <c r="F452" i="1"/>
  <c r="G452" i="1" s="1"/>
  <c r="K632" i="1" s="1"/>
  <c r="F457" i="1"/>
  <c r="G457" i="1" s="1"/>
  <c r="F463" i="1"/>
  <c r="G463" i="1" s="1"/>
  <c r="F468" i="1"/>
  <c r="G468" i="1" s="1"/>
  <c r="K654" i="1" s="1"/>
  <c r="F473" i="1"/>
  <c r="G473" i="1" s="1"/>
  <c r="F479" i="1"/>
  <c r="G479" i="1" s="1"/>
  <c r="F484" i="1"/>
  <c r="G484" i="1" s="1"/>
  <c r="K676" i="1" s="1"/>
  <c r="F489" i="1"/>
  <c r="G489" i="1" s="1"/>
  <c r="F495" i="1"/>
  <c r="G495" i="1" s="1"/>
  <c r="F500" i="1"/>
  <c r="G500" i="1" s="1"/>
  <c r="K700" i="1" s="1"/>
  <c r="L700" i="1" s="1"/>
  <c r="F505" i="1"/>
  <c r="G505" i="1" s="1"/>
  <c r="F511" i="1"/>
  <c r="G511" i="1" s="1"/>
  <c r="F516" i="1"/>
  <c r="G516" i="1" s="1"/>
  <c r="K722" i="1" s="1"/>
  <c r="F521" i="1"/>
  <c r="G521" i="1" s="1"/>
  <c r="F527" i="1"/>
  <c r="G527" i="1" s="1"/>
  <c r="F532" i="1"/>
  <c r="G532" i="1" s="1"/>
  <c r="K744" i="1" s="1"/>
  <c r="F537" i="1"/>
  <c r="G537" i="1" s="1"/>
  <c r="F543" i="1"/>
  <c r="G543" i="1" s="1"/>
  <c r="F548" i="1"/>
  <c r="G548" i="1" s="1"/>
  <c r="K766" i="1" s="1"/>
  <c r="F553" i="1"/>
  <c r="G553" i="1" s="1"/>
  <c r="F559" i="1"/>
  <c r="G559" i="1" s="1"/>
  <c r="F564" i="1"/>
  <c r="G564" i="1" s="1"/>
  <c r="K788" i="1" s="1"/>
  <c r="L788" i="1" s="1"/>
  <c r="F569" i="1"/>
  <c r="G569" i="1" s="1"/>
  <c r="F575" i="1"/>
  <c r="G575" i="1" s="1"/>
  <c r="F580" i="1"/>
  <c r="G580" i="1" s="1"/>
  <c r="K812" i="1" s="1"/>
  <c r="F585" i="1"/>
  <c r="G585" i="1" s="1"/>
  <c r="F591" i="1"/>
  <c r="G591" i="1" s="1"/>
  <c r="F596" i="1"/>
  <c r="G596" i="1" s="1"/>
  <c r="K834" i="1" s="1"/>
  <c r="F601" i="1"/>
  <c r="G601" i="1" s="1"/>
  <c r="F607" i="1"/>
  <c r="G607" i="1" s="1"/>
  <c r="F612" i="1"/>
  <c r="G612" i="1" s="1"/>
  <c r="K856" i="1" s="1"/>
  <c r="F617" i="1"/>
  <c r="G617" i="1" s="1"/>
  <c r="F623" i="1"/>
  <c r="G623" i="1" s="1"/>
  <c r="F628" i="1"/>
  <c r="G628" i="1" s="1"/>
  <c r="K878" i="1" s="1"/>
  <c r="L878" i="1" s="1"/>
  <c r="F633" i="1"/>
  <c r="G633" i="1" s="1"/>
  <c r="F639" i="1"/>
  <c r="G639" i="1" s="1"/>
  <c r="F644" i="1"/>
  <c r="G644" i="1" s="1"/>
  <c r="K900" i="1" s="1"/>
  <c r="F649" i="1"/>
  <c r="G649" i="1" s="1"/>
  <c r="F655" i="1"/>
  <c r="G655" i="1" s="1"/>
  <c r="F660" i="1"/>
  <c r="G660" i="1" s="1"/>
  <c r="K924" i="1" s="1"/>
  <c r="F665" i="1"/>
  <c r="G665" i="1" s="1"/>
  <c r="F671" i="1"/>
  <c r="G671" i="1" s="1"/>
  <c r="F676" i="1"/>
  <c r="G676" i="1" s="1"/>
  <c r="K946" i="1" s="1"/>
  <c r="F681" i="1"/>
  <c r="G681" i="1" s="1"/>
  <c r="F687" i="1"/>
  <c r="G687" i="1" s="1"/>
  <c r="F692" i="1"/>
  <c r="G692" i="1" s="1"/>
  <c r="K968" i="1" s="1"/>
  <c r="L968" i="1" s="1"/>
  <c r="F697" i="1"/>
  <c r="G697" i="1" s="1"/>
  <c r="F703" i="1"/>
  <c r="G703" i="1" s="1"/>
  <c r="F708" i="1"/>
  <c r="G708" i="1" s="1"/>
  <c r="K990" i="1" s="1"/>
  <c r="F11" i="1"/>
  <c r="G11" i="1" s="1"/>
  <c r="F22" i="1"/>
  <c r="G22" i="1" s="1"/>
  <c r="F33" i="1"/>
  <c r="G33" i="1" s="1"/>
  <c r="F43" i="1"/>
  <c r="G43" i="1" s="1"/>
  <c r="F54" i="1"/>
  <c r="G54" i="1" s="1"/>
  <c r="F65" i="1"/>
  <c r="G65" i="1" s="1"/>
  <c r="F73" i="1"/>
  <c r="G73" i="1" s="1"/>
  <c r="F81" i="1"/>
  <c r="G81" i="1" s="1"/>
  <c r="F89" i="1"/>
  <c r="G89" i="1" s="1"/>
  <c r="F97" i="1"/>
  <c r="G97" i="1" s="1"/>
  <c r="F105" i="1"/>
  <c r="G105" i="1" s="1"/>
  <c r="F113" i="1"/>
  <c r="G113" i="1" s="1"/>
  <c r="F121" i="1"/>
  <c r="G121" i="1" s="1"/>
  <c r="F129" i="1"/>
  <c r="G129" i="1" s="1"/>
  <c r="F137" i="1"/>
  <c r="G137" i="1" s="1"/>
  <c r="F145" i="1"/>
  <c r="G145" i="1" s="1"/>
  <c r="F153" i="1"/>
  <c r="G153" i="1" s="1"/>
  <c r="F161" i="1"/>
  <c r="G161" i="1" s="1"/>
  <c r="F169" i="1"/>
  <c r="G169" i="1" s="1"/>
  <c r="F177" i="1"/>
  <c r="G177" i="1" s="1"/>
  <c r="F185" i="1"/>
  <c r="G185" i="1" s="1"/>
  <c r="F193" i="1"/>
  <c r="G193" i="1" s="1"/>
  <c r="F201" i="1"/>
  <c r="G201" i="1" s="1"/>
  <c r="F209" i="1"/>
  <c r="G209" i="1" s="1"/>
  <c r="F217" i="1"/>
  <c r="G217" i="1" s="1"/>
  <c r="F225" i="1"/>
  <c r="G225" i="1" s="1"/>
  <c r="F233" i="1"/>
  <c r="G233" i="1" s="1"/>
  <c r="F241" i="1"/>
  <c r="G241" i="1" s="1"/>
  <c r="F249" i="1"/>
  <c r="G249" i="1" s="1"/>
  <c r="F257" i="1"/>
  <c r="G257" i="1" s="1"/>
  <c r="F265" i="1"/>
  <c r="G265" i="1" s="1"/>
  <c r="F273" i="1"/>
  <c r="G273" i="1" s="1"/>
  <c r="F281" i="1"/>
  <c r="G281" i="1" s="1"/>
  <c r="F289" i="1"/>
  <c r="G289" i="1" s="1"/>
  <c r="F297" i="1"/>
  <c r="G297" i="1" s="1"/>
  <c r="F305" i="1"/>
  <c r="G305" i="1" s="1"/>
  <c r="F313" i="1"/>
  <c r="G313" i="1" s="1"/>
  <c r="F321" i="1"/>
  <c r="G321" i="1" s="1"/>
  <c r="F329" i="1"/>
  <c r="G329" i="1" s="1"/>
  <c r="F337" i="1"/>
  <c r="G337" i="1" s="1"/>
  <c r="F345" i="1"/>
  <c r="G345" i="1" s="1"/>
  <c r="F353" i="1"/>
  <c r="G353" i="1" s="1"/>
  <c r="F361" i="1"/>
  <c r="G361" i="1" s="1"/>
  <c r="F368" i="1"/>
  <c r="G368" i="1" s="1"/>
  <c r="K514" i="1" s="1"/>
  <c r="L514" i="1" s="1"/>
  <c r="F373" i="1"/>
  <c r="G373" i="1" s="1"/>
  <c r="F379" i="1"/>
  <c r="G379" i="1" s="1"/>
  <c r="F384" i="1"/>
  <c r="G384" i="1" s="1"/>
  <c r="K536" i="1" s="1"/>
  <c r="L536" i="1" s="1"/>
  <c r="F389" i="1"/>
  <c r="G389" i="1" s="1"/>
  <c r="F395" i="1"/>
  <c r="G395" i="1" s="1"/>
  <c r="F400" i="1"/>
  <c r="G400" i="1" s="1"/>
  <c r="K560" i="1" s="1"/>
  <c r="L560" i="1" s="1"/>
  <c r="F405" i="1"/>
  <c r="G405" i="1" s="1"/>
  <c r="F411" i="1"/>
  <c r="G411" i="1" s="1"/>
  <c r="F416" i="1"/>
  <c r="G416" i="1" s="1"/>
  <c r="K582" i="1" s="1"/>
  <c r="L582" i="1" s="1"/>
  <c r="F421" i="1"/>
  <c r="G421" i="1" s="1"/>
  <c r="F427" i="1"/>
  <c r="G427" i="1" s="1"/>
  <c r="F432" i="1"/>
  <c r="G432" i="1" s="1"/>
  <c r="K604" i="1" s="1"/>
  <c r="L604" i="1" s="1"/>
  <c r="F437" i="1"/>
  <c r="G437" i="1" s="1"/>
  <c r="F443" i="1"/>
  <c r="G443" i="1" s="1"/>
  <c r="F448" i="1"/>
  <c r="G448" i="1" s="1"/>
  <c r="K626" i="1" s="1"/>
  <c r="L626" i="1" s="1"/>
  <c r="F453" i="1"/>
  <c r="G453" i="1" s="1"/>
  <c r="F459" i="1"/>
  <c r="G459" i="1" s="1"/>
  <c r="F464" i="1"/>
  <c r="G464" i="1" s="1"/>
  <c r="K648" i="1" s="1"/>
  <c r="L648" i="1" s="1"/>
  <c r="F469" i="1"/>
  <c r="G469" i="1" s="1"/>
  <c r="F475" i="1"/>
  <c r="G475" i="1" s="1"/>
  <c r="F480" i="1"/>
  <c r="G480" i="1" s="1"/>
  <c r="K672" i="1" s="1"/>
  <c r="L672" i="1" s="1"/>
  <c r="F485" i="1"/>
  <c r="G485" i="1" s="1"/>
  <c r="F491" i="1"/>
  <c r="G491" i="1" s="1"/>
  <c r="F496" i="1"/>
  <c r="G496" i="1" s="1"/>
  <c r="K694" i="1" s="1"/>
  <c r="L694" i="1" s="1"/>
  <c r="F501" i="1"/>
  <c r="G501" i="1" s="1"/>
  <c r="F507" i="1"/>
  <c r="G507" i="1" s="1"/>
  <c r="F512" i="1"/>
  <c r="G512" i="1" s="1"/>
  <c r="K716" i="1" s="1"/>
  <c r="L716" i="1" s="1"/>
  <c r="F517" i="1"/>
  <c r="G517" i="1" s="1"/>
  <c r="F523" i="1"/>
  <c r="G523" i="1" s="1"/>
  <c r="F528" i="1"/>
  <c r="G528" i="1" s="1"/>
  <c r="K738" i="1" s="1"/>
  <c r="L738" i="1" s="1"/>
  <c r="F533" i="1"/>
  <c r="G533" i="1" s="1"/>
  <c r="F539" i="1"/>
  <c r="G539" i="1" s="1"/>
  <c r="F544" i="1"/>
  <c r="G544" i="1" s="1"/>
  <c r="K760" i="1" s="1"/>
  <c r="L760" i="1" s="1"/>
  <c r="F549" i="1"/>
  <c r="G549" i="1" s="1"/>
  <c r="F555" i="1"/>
  <c r="G555" i="1" s="1"/>
  <c r="F560" i="1"/>
  <c r="G560" i="1" s="1"/>
  <c r="K784" i="1" s="1"/>
  <c r="L784" i="1" s="1"/>
  <c r="F565" i="1"/>
  <c r="G565" i="1" s="1"/>
  <c r="F571" i="1"/>
  <c r="G571" i="1" s="1"/>
  <c r="F576" i="1"/>
  <c r="G576" i="1" s="1"/>
  <c r="K806" i="1" s="1"/>
  <c r="L806" i="1" s="1"/>
  <c r="F581" i="1"/>
  <c r="G581" i="1" s="1"/>
  <c r="F587" i="1"/>
  <c r="G587" i="1" s="1"/>
  <c r="F592" i="1"/>
  <c r="G592" i="1" s="1"/>
  <c r="K828" i="1" s="1"/>
  <c r="L828" i="1" s="1"/>
  <c r="F597" i="1"/>
  <c r="G597" i="1" s="1"/>
  <c r="F603" i="1"/>
  <c r="G603" i="1" s="1"/>
  <c r="F608" i="1"/>
  <c r="G608" i="1" s="1"/>
  <c r="K850" i="1" s="1"/>
  <c r="L850" i="1" s="1"/>
  <c r="F613" i="1"/>
  <c r="G613" i="1" s="1"/>
  <c r="F619" i="1"/>
  <c r="G619" i="1" s="1"/>
  <c r="F624" i="1"/>
  <c r="G624" i="1" s="1"/>
  <c r="K872" i="1" s="1"/>
  <c r="L872" i="1" s="1"/>
  <c r="F629" i="1"/>
  <c r="G629" i="1" s="1"/>
  <c r="F635" i="1"/>
  <c r="G635" i="1" s="1"/>
  <c r="F640" i="1"/>
  <c r="G640" i="1" s="1"/>
  <c r="K896" i="1" s="1"/>
  <c r="L896" i="1" s="1"/>
  <c r="F645" i="1"/>
  <c r="G645" i="1" s="1"/>
  <c r="F651" i="1"/>
  <c r="G651" i="1" s="1"/>
  <c r="F656" i="1"/>
  <c r="G656" i="1" s="1"/>
  <c r="K918" i="1" s="1"/>
  <c r="L918" i="1" s="1"/>
  <c r="F661" i="1"/>
  <c r="G661" i="1" s="1"/>
  <c r="F667" i="1"/>
  <c r="G667" i="1" s="1"/>
  <c r="F672" i="1"/>
  <c r="G672" i="1" s="1"/>
  <c r="K940" i="1" s="1"/>
  <c r="L940" i="1" s="1"/>
  <c r="F677" i="1"/>
  <c r="G677" i="1" s="1"/>
  <c r="F683" i="1"/>
  <c r="G683" i="1" s="1"/>
  <c r="F688" i="1"/>
  <c r="G688" i="1" s="1"/>
  <c r="K962" i="1" s="1"/>
  <c r="L962" i="1" s="1"/>
  <c r="F693" i="1"/>
  <c r="G693" i="1" s="1"/>
  <c r="F699" i="1"/>
  <c r="G699" i="1" s="1"/>
  <c r="F704" i="1"/>
  <c r="G704" i="1" s="1"/>
  <c r="K984" i="1" s="1"/>
  <c r="L984" i="1" s="1"/>
  <c r="F709" i="1"/>
  <c r="G709" i="1" s="1"/>
  <c r="F715" i="1"/>
  <c r="G715" i="1" s="1"/>
  <c r="F720" i="1"/>
  <c r="G720" i="1" s="1"/>
  <c r="K1008" i="1" s="1"/>
  <c r="L1008" i="1" s="1"/>
  <c r="F725" i="1"/>
  <c r="G725" i="1" s="1"/>
  <c r="F731" i="1"/>
  <c r="G731" i="1" s="1"/>
  <c r="F736" i="1"/>
  <c r="G736" i="1" s="1"/>
  <c r="K1030" i="1" s="1"/>
  <c r="L1030" i="1" s="1"/>
  <c r="F741" i="1"/>
  <c r="G741" i="1" s="1"/>
  <c r="F747" i="1"/>
  <c r="G747" i="1" s="1"/>
  <c r="F752" i="1"/>
  <c r="G752" i="1" s="1"/>
  <c r="K1052" i="1" s="1"/>
  <c r="L1052" i="1" s="1"/>
  <c r="F757" i="1"/>
  <c r="G757" i="1" s="1"/>
  <c r="F763" i="1"/>
  <c r="G763" i="1" s="1"/>
  <c r="F768" i="1"/>
  <c r="G768" i="1" s="1"/>
  <c r="K1074" i="1" s="1"/>
  <c r="L1074" i="1" s="1"/>
  <c r="F773" i="1"/>
  <c r="G773" i="1" s="1"/>
  <c r="F779" i="1"/>
  <c r="G779" i="1" s="1"/>
  <c r="F784" i="1"/>
  <c r="G784" i="1" s="1"/>
  <c r="K1096" i="1" s="1"/>
  <c r="L1096" i="1" s="1"/>
  <c r="F788" i="1"/>
  <c r="G788" i="1" s="1"/>
  <c r="K1102" i="1" s="1"/>
  <c r="F792" i="1"/>
  <c r="G792" i="1" s="1"/>
  <c r="K1108" i="1" s="1"/>
  <c r="L1108" i="1" s="1"/>
  <c r="F796" i="1"/>
  <c r="G796" i="1" s="1"/>
  <c r="K1114" i="1" s="1"/>
  <c r="L1114" i="1" s="1"/>
  <c r="F800" i="1"/>
  <c r="G800" i="1" s="1"/>
  <c r="K1120" i="1" s="1"/>
  <c r="L1120" i="1" s="1"/>
  <c r="F804" i="1"/>
  <c r="G804" i="1" s="1"/>
  <c r="K1124" i="1" s="1"/>
  <c r="F808" i="1"/>
  <c r="G808" i="1" s="1"/>
  <c r="K1130" i="1" s="1"/>
  <c r="L1130" i="1" s="1"/>
  <c r="F812" i="1"/>
  <c r="G812" i="1" s="1"/>
  <c r="K1136" i="1" s="1"/>
  <c r="L1136" i="1" s="1"/>
  <c r="F816" i="1"/>
  <c r="G816" i="1" s="1"/>
  <c r="K1142" i="1" s="1"/>
  <c r="L1142" i="1" s="1"/>
  <c r="F820" i="1"/>
  <c r="G820" i="1" s="1"/>
  <c r="K1148" i="1" s="1"/>
  <c r="F824" i="1"/>
  <c r="G824" i="1" s="1"/>
  <c r="K1152" i="1" s="1"/>
  <c r="L1152" i="1" s="1"/>
  <c r="F828" i="1"/>
  <c r="G828" i="1" s="1"/>
  <c r="K1158" i="1" s="1"/>
  <c r="L1158" i="1" s="1"/>
  <c r="F832" i="1"/>
  <c r="G832" i="1" s="1"/>
  <c r="K1164" i="1" s="1"/>
  <c r="L1164" i="1" s="1"/>
  <c r="F836" i="1"/>
  <c r="G836" i="1" s="1"/>
  <c r="K1170" i="1" s="1"/>
  <c r="F840" i="1"/>
  <c r="G840" i="1" s="1"/>
  <c r="K1176" i="1" s="1"/>
  <c r="L1176" i="1" s="1"/>
  <c r="F844" i="1"/>
  <c r="G844" i="1" s="1"/>
  <c r="K1180" i="1" s="1"/>
  <c r="L1180" i="1" s="1"/>
  <c r="F848" i="1"/>
  <c r="G848" i="1" s="1"/>
  <c r="K1186" i="1" s="1"/>
  <c r="L1186" i="1" s="1"/>
  <c r="F852" i="1"/>
  <c r="G852" i="1" s="1"/>
  <c r="K1192" i="1" s="1"/>
  <c r="F856" i="1"/>
  <c r="G856" i="1" s="1"/>
  <c r="K1198" i="1" s="1"/>
  <c r="L1198" i="1" s="1"/>
  <c r="F860" i="1"/>
  <c r="G860" i="1" s="1"/>
  <c r="K1204" i="1" s="1"/>
  <c r="L1204" i="1" s="1"/>
  <c r="F864" i="1"/>
  <c r="G864" i="1" s="1"/>
  <c r="K1208" i="1" s="1"/>
  <c r="F868" i="1"/>
  <c r="G868" i="1" s="1"/>
  <c r="K1214" i="1" s="1"/>
  <c r="F872" i="1"/>
  <c r="G872" i="1" s="1"/>
  <c r="K1220" i="1" s="1"/>
  <c r="L1220" i="1" s="1"/>
  <c r="F876" i="1"/>
  <c r="G876" i="1" s="1"/>
  <c r="K1226" i="1" s="1"/>
  <c r="L1226" i="1" s="1"/>
  <c r="F880" i="1"/>
  <c r="G880" i="1" s="1"/>
  <c r="K1232" i="1" s="1"/>
  <c r="L1232" i="1" s="1"/>
  <c r="F884" i="1"/>
  <c r="G884" i="1" s="1"/>
  <c r="K1236" i="1" s="1"/>
  <c r="F888" i="1"/>
  <c r="G888" i="1" s="1"/>
  <c r="K1242" i="1" s="1"/>
  <c r="L1242" i="1" s="1"/>
  <c r="F892" i="1"/>
  <c r="G892" i="1" s="1"/>
  <c r="K1248" i="1" s="1"/>
  <c r="L1248" i="1" s="1"/>
  <c r="F896" i="1"/>
  <c r="G896" i="1" s="1"/>
  <c r="K1254" i="1" s="1"/>
  <c r="L1254" i="1" s="1"/>
  <c r="F900" i="1"/>
  <c r="G900" i="1" s="1"/>
  <c r="K1260" i="1" s="1"/>
  <c r="F904" i="1"/>
  <c r="G904" i="1" s="1"/>
  <c r="K1264" i="1" s="1"/>
  <c r="L1264" i="1" s="1"/>
  <c r="F908" i="1"/>
  <c r="G908" i="1" s="1"/>
  <c r="K1270" i="1" s="1"/>
  <c r="L1270" i="1" s="1"/>
  <c r="F912" i="1"/>
  <c r="G912" i="1" s="1"/>
  <c r="K1276" i="1" s="1"/>
  <c r="L1276" i="1" s="1"/>
  <c r="F916" i="1"/>
  <c r="G916" i="1" s="1"/>
  <c r="K1282" i="1" s="1"/>
  <c r="F920" i="1"/>
  <c r="G920" i="1" s="1"/>
  <c r="K1288" i="1" s="1"/>
  <c r="L1288" i="1" s="1"/>
  <c r="F924" i="1"/>
  <c r="G924" i="1" s="1"/>
  <c r="K1292" i="1" s="1"/>
  <c r="L1292" i="1" s="1"/>
  <c r="F928" i="1"/>
  <c r="G928" i="1" s="1"/>
  <c r="K1298" i="1" s="1"/>
  <c r="L1298" i="1" s="1"/>
  <c r="F932" i="1"/>
  <c r="G932" i="1" s="1"/>
  <c r="K1304" i="1" s="1"/>
  <c r="F936" i="1"/>
  <c r="G936" i="1" s="1"/>
  <c r="K1310" i="1" s="1"/>
  <c r="L1310" i="1" s="1"/>
  <c r="F940" i="1"/>
  <c r="G940" i="1" s="1"/>
  <c r="K1316" i="1" s="1"/>
  <c r="L1316" i="1" s="1"/>
  <c r="F944" i="1"/>
  <c r="G944" i="1" s="1"/>
  <c r="K1320" i="1" s="1"/>
  <c r="L1320" i="1" s="1"/>
  <c r="F948" i="1"/>
  <c r="G948" i="1" s="1"/>
  <c r="K1326" i="1" s="1"/>
  <c r="F952" i="1"/>
  <c r="G952" i="1" s="1"/>
  <c r="K1332" i="1" s="1"/>
  <c r="L1332" i="1" s="1"/>
  <c r="F956" i="1"/>
  <c r="G956" i="1" s="1"/>
  <c r="K1338" i="1" s="1"/>
  <c r="L1338" i="1" s="1"/>
  <c r="F960" i="1"/>
  <c r="G960" i="1" s="1"/>
  <c r="K1344" i="1" s="1"/>
  <c r="L1344" i="1" s="1"/>
  <c r="F964" i="1"/>
  <c r="G964" i="1" s="1"/>
  <c r="K1348" i="1" s="1"/>
  <c r="F968" i="1"/>
  <c r="G968" i="1" s="1"/>
  <c r="K1354" i="1" s="1"/>
  <c r="L1354" i="1" s="1"/>
  <c r="F972" i="1"/>
  <c r="G972" i="1" s="1"/>
  <c r="K1360" i="1" s="1"/>
  <c r="L1360" i="1" s="1"/>
  <c r="F976" i="1"/>
  <c r="G976" i="1" s="1"/>
  <c r="K1366" i="1" s="1"/>
  <c r="L1366" i="1" s="1"/>
  <c r="F980" i="1"/>
  <c r="G980" i="1" s="1"/>
  <c r="K1372" i="1" s="1"/>
  <c r="F984" i="1"/>
  <c r="G984" i="1" s="1"/>
  <c r="K1376" i="1" s="1"/>
  <c r="L1376" i="1" s="1"/>
  <c r="F988" i="1"/>
  <c r="G988" i="1" s="1"/>
  <c r="K1382" i="1" s="1"/>
  <c r="L1382" i="1" s="1"/>
  <c r="F992" i="1"/>
  <c r="G992" i="1" s="1"/>
  <c r="K1388" i="1" s="1"/>
  <c r="L1388" i="1" s="1"/>
  <c r="F996" i="1"/>
  <c r="G996" i="1" s="1"/>
  <c r="K1394" i="1" s="1"/>
  <c r="F1000" i="1"/>
  <c r="G1000" i="1" s="1"/>
  <c r="K1400" i="1" s="1"/>
  <c r="L1400" i="1" s="1"/>
  <c r="F1004" i="1"/>
  <c r="G1004" i="1" s="1"/>
  <c r="K1404" i="1" s="1"/>
  <c r="L1404" i="1" s="1"/>
  <c r="F1008" i="1"/>
  <c r="G1008" i="1" s="1"/>
  <c r="K1410" i="1" s="1"/>
  <c r="L1410" i="1" s="1"/>
  <c r="F1012" i="1"/>
  <c r="G1012" i="1" s="1"/>
  <c r="K1416" i="1" s="1"/>
  <c r="F1016" i="1"/>
  <c r="G1016" i="1" s="1"/>
  <c r="K1422" i="1" s="1"/>
  <c r="L1422" i="1" s="1"/>
  <c r="F1020" i="1"/>
  <c r="G1020" i="1" s="1"/>
  <c r="K1428" i="1" s="1"/>
  <c r="L1428" i="1" s="1"/>
  <c r="F1024" i="1"/>
  <c r="G1024" i="1" s="1"/>
  <c r="K1432" i="1" s="1"/>
  <c r="L1432" i="1" s="1"/>
  <c r="F1028" i="1"/>
  <c r="G1028" i="1" s="1"/>
  <c r="K1438" i="1" s="1"/>
  <c r="F1032" i="1"/>
  <c r="G1032" i="1" s="1"/>
  <c r="K1444" i="1" s="1"/>
  <c r="L1444" i="1" s="1"/>
  <c r="F1036" i="1"/>
  <c r="G1036" i="1" s="1"/>
  <c r="K1450" i="1" s="1"/>
  <c r="L1450" i="1" s="1"/>
  <c r="F1040" i="1"/>
  <c r="G1040" i="1" s="1"/>
  <c r="K1456" i="1" s="1"/>
  <c r="L1456" i="1" s="1"/>
  <c r="F1044" i="1"/>
  <c r="G1044" i="1" s="1"/>
  <c r="K1460" i="1" s="1"/>
  <c r="F1048" i="1"/>
  <c r="G1048" i="1" s="1"/>
  <c r="K1466" i="1" s="1"/>
  <c r="L1466" i="1" s="1"/>
  <c r="F1052" i="1"/>
  <c r="G1052" i="1" s="1"/>
  <c r="K1472" i="1" s="1"/>
  <c r="L1472" i="1" s="1"/>
  <c r="F1056" i="1"/>
  <c r="G1056" i="1" s="1"/>
  <c r="K1478" i="1" s="1"/>
  <c r="L1478" i="1" s="1"/>
  <c r="F1060" i="1"/>
  <c r="G1060" i="1" s="1"/>
  <c r="K1484" i="1" s="1"/>
  <c r="F1064" i="1"/>
  <c r="G1064" i="1" s="1"/>
  <c r="K1488" i="1" s="1"/>
  <c r="F1068" i="1"/>
  <c r="G1068" i="1" s="1"/>
  <c r="K1494" i="1" s="1"/>
  <c r="L1494" i="1" s="1"/>
  <c r="F1072" i="1"/>
  <c r="G1072" i="1" s="1"/>
  <c r="K1500" i="1" s="1"/>
  <c r="L1500" i="1" s="1"/>
  <c r="F1076" i="1"/>
  <c r="G1076" i="1" s="1"/>
  <c r="K1506" i="1" s="1"/>
  <c r="F1080" i="1"/>
  <c r="G1080" i="1" s="1"/>
  <c r="K1512" i="1" s="1"/>
  <c r="L1512" i="1" s="1"/>
  <c r="F1084" i="1"/>
  <c r="G1084" i="1" s="1"/>
  <c r="K1516" i="1" s="1"/>
  <c r="F1088" i="1"/>
  <c r="G1088" i="1" s="1"/>
  <c r="K1522" i="1" s="1"/>
  <c r="L1522" i="1" s="1"/>
  <c r="F1092" i="1"/>
  <c r="G1092" i="1" s="1"/>
  <c r="K1528" i="1" s="1"/>
  <c r="F1096" i="1"/>
  <c r="G1096" i="1" s="1"/>
  <c r="K1534" i="1" s="1"/>
  <c r="L1534" i="1" s="1"/>
  <c r="F1100" i="1"/>
  <c r="G1100" i="1" s="1"/>
  <c r="K1540" i="1" s="1"/>
  <c r="L1540" i="1" s="1"/>
  <c r="F1104" i="1"/>
  <c r="G1104" i="1" s="1"/>
  <c r="K1544" i="1" s="1"/>
  <c r="L1544" i="1" s="1"/>
  <c r="F1108" i="1"/>
  <c r="G1108" i="1" s="1"/>
  <c r="K1550" i="1" s="1"/>
  <c r="F1112" i="1"/>
  <c r="G1112" i="1" s="1"/>
  <c r="K1556" i="1" s="1"/>
  <c r="L1556" i="1" s="1"/>
  <c r="F1116" i="1"/>
  <c r="G1116" i="1" s="1"/>
  <c r="K1562" i="1" s="1"/>
  <c r="L1562" i="1" s="1"/>
  <c r="F1120" i="1"/>
  <c r="G1120" i="1" s="1"/>
  <c r="K1568" i="1" s="1"/>
  <c r="L1568" i="1" s="1"/>
  <c r="F1124" i="1"/>
  <c r="G1124" i="1" s="1"/>
  <c r="K1572" i="1" s="1"/>
  <c r="F1128" i="1"/>
  <c r="G1128" i="1" s="1"/>
  <c r="K1578" i="1" s="1"/>
  <c r="L1578" i="1" s="1"/>
  <c r="F1132" i="1"/>
  <c r="G1132" i="1" s="1"/>
  <c r="K1584" i="1" s="1"/>
  <c r="L1584" i="1" s="1"/>
  <c r="F1136" i="1"/>
  <c r="G1136" i="1" s="1"/>
  <c r="K1590" i="1" s="1"/>
  <c r="L1590" i="1" s="1"/>
  <c r="F1140" i="1"/>
  <c r="G1140" i="1" s="1"/>
  <c r="K1596" i="1" s="1"/>
  <c r="F1144" i="1"/>
  <c r="G1144" i="1" s="1"/>
  <c r="K1600" i="1" s="1"/>
  <c r="L1600" i="1" s="1"/>
  <c r="F1148" i="1"/>
  <c r="G1148" i="1" s="1"/>
  <c r="K1606" i="1" s="1"/>
  <c r="L1606" i="1" s="1"/>
  <c r="F1152" i="1"/>
  <c r="G1152" i="1" s="1"/>
  <c r="K1612" i="1" s="1"/>
  <c r="L1612" i="1" s="1"/>
  <c r="F1156" i="1"/>
  <c r="G1156" i="1" s="1"/>
  <c r="K1618" i="1" s="1"/>
  <c r="F1160" i="1"/>
  <c r="G1160" i="1" s="1"/>
  <c r="K1624" i="1" s="1"/>
  <c r="L1624" i="1" s="1"/>
  <c r="F1164" i="1"/>
  <c r="G1164" i="1" s="1"/>
  <c r="K1628" i="1" s="1"/>
  <c r="L1628" i="1" s="1"/>
  <c r="F1168" i="1"/>
  <c r="G1168" i="1" s="1"/>
  <c r="K1634" i="1" s="1"/>
  <c r="L1634" i="1" s="1"/>
  <c r="F1172" i="1"/>
  <c r="G1172" i="1" s="1"/>
  <c r="K1640" i="1" s="1"/>
  <c r="F1176" i="1"/>
  <c r="G1176" i="1" s="1"/>
  <c r="K1646" i="1" s="1"/>
  <c r="L1646" i="1" s="1"/>
  <c r="F1180" i="1"/>
  <c r="G1180" i="1" s="1"/>
  <c r="K1652" i="1" s="1"/>
  <c r="L1652" i="1" s="1"/>
  <c r="F1184" i="1"/>
  <c r="G1184" i="1" s="1"/>
  <c r="K1656" i="1" s="1"/>
  <c r="F1188" i="1"/>
  <c r="G1188" i="1" s="1"/>
  <c r="K1662" i="1" s="1"/>
  <c r="F1192" i="1"/>
  <c r="G1192" i="1" s="1"/>
  <c r="K1668" i="1" s="1"/>
  <c r="L1668" i="1" s="1"/>
  <c r="F1196" i="1"/>
  <c r="G1196" i="1" s="1"/>
  <c r="K1674" i="1" s="1"/>
  <c r="L1674" i="1" s="1"/>
  <c r="F1200" i="1"/>
  <c r="G1200" i="1" s="1"/>
  <c r="K1680" i="1" s="1"/>
  <c r="L1680" i="1" s="1"/>
  <c r="F1204" i="1"/>
  <c r="G1204" i="1" s="1"/>
  <c r="K1684" i="1" s="1"/>
  <c r="F1208" i="1"/>
  <c r="G1208" i="1" s="1"/>
  <c r="K1690" i="1" s="1"/>
  <c r="L1690" i="1" s="1"/>
  <c r="F1212" i="1"/>
  <c r="G1212" i="1" s="1"/>
  <c r="K1696" i="1" s="1"/>
  <c r="L1696" i="1" s="1"/>
  <c r="F1216" i="1"/>
  <c r="G1216" i="1" s="1"/>
  <c r="K1702" i="1" s="1"/>
  <c r="L1702" i="1" s="1"/>
  <c r="F1220" i="1"/>
  <c r="G1220" i="1" s="1"/>
  <c r="K1708" i="1" s="1"/>
  <c r="F1224" i="1"/>
  <c r="G1224" i="1" s="1"/>
  <c r="K1712" i="1" s="1"/>
  <c r="L1712" i="1" s="1"/>
  <c r="F1228" i="1"/>
  <c r="G1228" i="1" s="1"/>
  <c r="K1718" i="1" s="1"/>
  <c r="L1718" i="1" s="1"/>
  <c r="F1232" i="1"/>
  <c r="G1232" i="1" s="1"/>
  <c r="K1724" i="1" s="1"/>
  <c r="L1724" i="1" s="1"/>
  <c r="F1236" i="1"/>
  <c r="G1236" i="1" s="1"/>
  <c r="K1730" i="1" s="1"/>
  <c r="F1240" i="1"/>
  <c r="G1240" i="1" s="1"/>
  <c r="K1736" i="1" s="1"/>
  <c r="L1736" i="1" s="1"/>
  <c r="F1244" i="1"/>
  <c r="G1244" i="1" s="1"/>
  <c r="K1740" i="1" s="1"/>
  <c r="L1740" i="1" s="1"/>
  <c r="F1248" i="1"/>
  <c r="G1248" i="1" s="1"/>
  <c r="K1746" i="1" s="1"/>
  <c r="L1746" i="1" s="1"/>
  <c r="F1252" i="1"/>
  <c r="G1252" i="1" s="1"/>
  <c r="K1752" i="1" s="1"/>
  <c r="F1256" i="1"/>
  <c r="G1256" i="1" s="1"/>
  <c r="K1758" i="1" s="1"/>
  <c r="L1758" i="1" s="1"/>
  <c r="F1260" i="1"/>
  <c r="G1260" i="1" s="1"/>
  <c r="K1764" i="1" s="1"/>
  <c r="L1764" i="1" s="1"/>
  <c r="F1264" i="1"/>
  <c r="G1264" i="1" s="1"/>
  <c r="K1768" i="1" s="1"/>
  <c r="L1768" i="1" s="1"/>
  <c r="F1268" i="1"/>
  <c r="G1268" i="1" s="1"/>
  <c r="K1774" i="1" s="1"/>
  <c r="F1272" i="1"/>
  <c r="G1272" i="1" s="1"/>
  <c r="K1780" i="1" s="1"/>
  <c r="L1780" i="1" s="1"/>
  <c r="F1276" i="1"/>
  <c r="G1276" i="1" s="1"/>
  <c r="K1786" i="1" s="1"/>
  <c r="L1786" i="1" s="1"/>
  <c r="F1280" i="1"/>
  <c r="G1280" i="1" s="1"/>
  <c r="K1792" i="1" s="1"/>
  <c r="L1792" i="1" s="1"/>
  <c r="F1284" i="1"/>
  <c r="G1284" i="1" s="1"/>
  <c r="K1796" i="1" s="1"/>
  <c r="F1288" i="1"/>
  <c r="G1288" i="1" s="1"/>
  <c r="K1802" i="1" s="1"/>
  <c r="L1802" i="1" s="1"/>
  <c r="F1292" i="1"/>
  <c r="G1292" i="1" s="1"/>
  <c r="K1808" i="1" s="1"/>
  <c r="L1808" i="1" s="1"/>
  <c r="F1296" i="1"/>
  <c r="G1296" i="1" s="1"/>
  <c r="K1814" i="1" s="1"/>
  <c r="L1814" i="1" s="1"/>
  <c r="F1300" i="1"/>
  <c r="G1300" i="1" s="1"/>
  <c r="K1820" i="1" s="1"/>
  <c r="F1304" i="1"/>
  <c r="G1304" i="1" s="1"/>
  <c r="K1824" i="1" s="1"/>
  <c r="L1824" i="1" s="1"/>
  <c r="F1308" i="1"/>
  <c r="G1308" i="1" s="1"/>
  <c r="K1830" i="1" s="1"/>
  <c r="L1830" i="1" s="1"/>
  <c r="F1312" i="1"/>
  <c r="G1312" i="1" s="1"/>
  <c r="K1836" i="1" s="1"/>
  <c r="L1836" i="1" s="1"/>
  <c r="F1316" i="1"/>
  <c r="G1316" i="1" s="1"/>
  <c r="K1842" i="1" s="1"/>
  <c r="F1320" i="1"/>
  <c r="G1320" i="1" s="1"/>
  <c r="K1848" i="1" s="1"/>
  <c r="L1848" i="1" s="1"/>
  <c r="F1324" i="1"/>
  <c r="G1324" i="1" s="1"/>
  <c r="K1852" i="1" s="1"/>
  <c r="L1852" i="1" s="1"/>
  <c r="F1328" i="1"/>
  <c r="G1328" i="1" s="1"/>
  <c r="K1858" i="1" s="1"/>
  <c r="L1858" i="1" s="1"/>
  <c r="F1332" i="1"/>
  <c r="G1332" i="1" s="1"/>
  <c r="K1864" i="1" s="1"/>
  <c r="F1336" i="1"/>
  <c r="G1336" i="1" s="1"/>
  <c r="K1870" i="1" s="1"/>
  <c r="L1870" i="1" s="1"/>
  <c r="F1340" i="1"/>
  <c r="G1340" i="1" s="1"/>
  <c r="K1876" i="1" s="1"/>
  <c r="L1876" i="1" s="1"/>
  <c r="F1344" i="1"/>
  <c r="G1344" i="1" s="1"/>
  <c r="K1880" i="1" s="1"/>
  <c r="L1880" i="1" s="1"/>
  <c r="F1348" i="1"/>
  <c r="G1348" i="1" s="1"/>
  <c r="K1886" i="1" s="1"/>
  <c r="F1352" i="1"/>
  <c r="G1352" i="1" s="1"/>
  <c r="K1892" i="1" s="1"/>
  <c r="L1892" i="1" s="1"/>
  <c r="F1356" i="1"/>
  <c r="G1356" i="1" s="1"/>
  <c r="K1898" i="1" s="1"/>
  <c r="L1898" i="1" s="1"/>
  <c r="F1360" i="1"/>
  <c r="G1360" i="1" s="1"/>
  <c r="K1904" i="1" s="1"/>
  <c r="L1904" i="1" s="1"/>
  <c r="F1607" i="1"/>
  <c r="G1607" i="1" s="1"/>
  <c r="F1603" i="1"/>
  <c r="G1603" i="1" s="1"/>
  <c r="K2243" i="1" s="1"/>
  <c r="L2243" i="1" s="1"/>
  <c r="F1599" i="1"/>
  <c r="G1599" i="1" s="1"/>
  <c r="F1595" i="1"/>
  <c r="G1595" i="1" s="1"/>
  <c r="K2233" i="1" s="1"/>
  <c r="L2233" i="1" s="1"/>
  <c r="F1591" i="1"/>
  <c r="G1591" i="1" s="1"/>
  <c r="F1587" i="1"/>
  <c r="G1587" i="1" s="1"/>
  <c r="K2221" i="1" s="1"/>
  <c r="L2221" i="1" s="1"/>
  <c r="F1583" i="1"/>
  <c r="G1583" i="1" s="1"/>
  <c r="F1579" i="1"/>
  <c r="G1579" i="1" s="1"/>
  <c r="K2209" i="1" s="1"/>
  <c r="L2209" i="1" s="1"/>
  <c r="F1575" i="1"/>
  <c r="G1575" i="1" s="1"/>
  <c r="F1571" i="1"/>
  <c r="G1571" i="1" s="1"/>
  <c r="K2199" i="1" s="1"/>
  <c r="L2199" i="1" s="1"/>
  <c r="F1567" i="1"/>
  <c r="G1567" i="1" s="1"/>
  <c r="F1563" i="1"/>
  <c r="G1563" i="1" s="1"/>
  <c r="K2187" i="1" s="1"/>
  <c r="L2187" i="1" s="1"/>
  <c r="F1559" i="1"/>
  <c r="G1559" i="1" s="1"/>
  <c r="F1555" i="1"/>
  <c r="G1555" i="1" s="1"/>
  <c r="K2177" i="1" s="1"/>
  <c r="L2177" i="1" s="1"/>
  <c r="F1551" i="1"/>
  <c r="G1551" i="1" s="1"/>
  <c r="F1547" i="1"/>
  <c r="G1547" i="1" s="1"/>
  <c r="K2165" i="1" s="1"/>
  <c r="L2165" i="1" s="1"/>
  <c r="F1543" i="1"/>
  <c r="G1543" i="1" s="1"/>
  <c r="F1539" i="1"/>
  <c r="G1539" i="1" s="1"/>
  <c r="K2153" i="1" s="1"/>
  <c r="L2153" i="1" s="1"/>
  <c r="F1535" i="1"/>
  <c r="G1535" i="1" s="1"/>
  <c r="F1531" i="1"/>
  <c r="G1531" i="1" s="1"/>
  <c r="K2143" i="1" s="1"/>
  <c r="L2143" i="1" s="1"/>
  <c r="F1527" i="1"/>
  <c r="G1527" i="1" s="1"/>
  <c r="F1523" i="1"/>
  <c r="G1523" i="1" s="1"/>
  <c r="K2131" i="1" s="1"/>
  <c r="L2131" i="1" s="1"/>
  <c r="F1519" i="1"/>
  <c r="G1519" i="1" s="1"/>
  <c r="F1515" i="1"/>
  <c r="G1515" i="1" s="1"/>
  <c r="K2121" i="1" s="1"/>
  <c r="L2121" i="1" s="1"/>
  <c r="F1511" i="1"/>
  <c r="G1511" i="1" s="1"/>
  <c r="F1507" i="1"/>
  <c r="G1507" i="1" s="1"/>
  <c r="K2109" i="1" s="1"/>
  <c r="L2109" i="1" s="1"/>
  <c r="F1503" i="1"/>
  <c r="G1503" i="1" s="1"/>
  <c r="F1499" i="1"/>
  <c r="G1499" i="1" s="1"/>
  <c r="K2097" i="1" s="1"/>
  <c r="L2097" i="1" s="1"/>
  <c r="F1495" i="1"/>
  <c r="G1495" i="1" s="1"/>
  <c r="F1491" i="1"/>
  <c r="G1491" i="1" s="1"/>
  <c r="K2087" i="1" s="1"/>
  <c r="L2087" i="1" s="1"/>
  <c r="F1487" i="1"/>
  <c r="G1487" i="1" s="1"/>
  <c r="F1483" i="1"/>
  <c r="G1483" i="1" s="1"/>
  <c r="K2075" i="1" s="1"/>
  <c r="L2075" i="1" s="1"/>
  <c r="F1479" i="1"/>
  <c r="G1479" i="1" s="1"/>
  <c r="F1475" i="1"/>
  <c r="G1475" i="1" s="1"/>
  <c r="K2065" i="1" s="1"/>
  <c r="L2065" i="1" s="1"/>
  <c r="F1471" i="1"/>
  <c r="G1471" i="1" s="1"/>
  <c r="F1467" i="1"/>
  <c r="G1467" i="1" s="1"/>
  <c r="K2053" i="1" s="1"/>
  <c r="L2053" i="1" s="1"/>
  <c r="F1463" i="1"/>
  <c r="G1463" i="1" s="1"/>
  <c r="F1459" i="1"/>
  <c r="G1459" i="1" s="1"/>
  <c r="K2041" i="1" s="1"/>
  <c r="L2041" i="1" s="1"/>
  <c r="F1455" i="1"/>
  <c r="G1455" i="1" s="1"/>
  <c r="F1451" i="1"/>
  <c r="G1451" i="1" s="1"/>
  <c r="K2031" i="1" s="1"/>
  <c r="L2031" i="1" s="1"/>
  <c r="F1447" i="1"/>
  <c r="G1447" i="1" s="1"/>
  <c r="F1443" i="1"/>
  <c r="G1443" i="1" s="1"/>
  <c r="K2019" i="1" s="1"/>
  <c r="L2019" i="1" s="1"/>
  <c r="F1439" i="1"/>
  <c r="G1439" i="1" s="1"/>
  <c r="F1435" i="1"/>
  <c r="G1435" i="1" s="1"/>
  <c r="K2009" i="1" s="1"/>
  <c r="L2009" i="1" s="1"/>
  <c r="F1431" i="1"/>
  <c r="G1431" i="1" s="1"/>
  <c r="F1427" i="1"/>
  <c r="G1427" i="1" s="1"/>
  <c r="K1997" i="1" s="1"/>
  <c r="L1997" i="1" s="1"/>
  <c r="F1423" i="1"/>
  <c r="G1423" i="1" s="1"/>
  <c r="F1419" i="1"/>
  <c r="G1419" i="1" s="1"/>
  <c r="K1985" i="1" s="1"/>
  <c r="L1985" i="1" s="1"/>
  <c r="F1415" i="1"/>
  <c r="G1415" i="1" s="1"/>
  <c r="F1411" i="1"/>
  <c r="G1411" i="1" s="1"/>
  <c r="K1975" i="1" s="1"/>
  <c r="L1975" i="1" s="1"/>
  <c r="F1407" i="1"/>
  <c r="G1407" i="1" s="1"/>
  <c r="F1403" i="1"/>
  <c r="G1403" i="1" s="1"/>
  <c r="K1963" i="1" s="1"/>
  <c r="L1963" i="1" s="1"/>
  <c r="F1399" i="1"/>
  <c r="G1399" i="1" s="1"/>
  <c r="F1395" i="1"/>
  <c r="G1395" i="1" s="1"/>
  <c r="K1953" i="1" s="1"/>
  <c r="L1953" i="1" s="1"/>
  <c r="F1391" i="1"/>
  <c r="G1391" i="1" s="1"/>
  <c r="F1387" i="1"/>
  <c r="G1387" i="1" s="1"/>
  <c r="F1383" i="1"/>
  <c r="G1383" i="1" s="1"/>
  <c r="F1379" i="1"/>
  <c r="G1379" i="1" s="1"/>
  <c r="F1375" i="1"/>
  <c r="G1375" i="1" s="1"/>
  <c r="F1371" i="1"/>
  <c r="G1371" i="1" s="1"/>
  <c r="F1367" i="1"/>
  <c r="G1367" i="1" s="1"/>
  <c r="F1363" i="1"/>
  <c r="G1363" i="1" s="1"/>
  <c r="F1358" i="1"/>
  <c r="G1358" i="1" s="1"/>
  <c r="K1900" i="1" s="1"/>
  <c r="L1900" i="1" s="1"/>
  <c r="F1353" i="1"/>
  <c r="G1353" i="1" s="1"/>
  <c r="F1347" i="1"/>
  <c r="G1347" i="1" s="1"/>
  <c r="F1342" i="1"/>
  <c r="G1342" i="1" s="1"/>
  <c r="K1878" i="1" s="1"/>
  <c r="L1878" i="1" s="1"/>
  <c r="F1337" i="1"/>
  <c r="G1337" i="1" s="1"/>
  <c r="F1331" i="1"/>
  <c r="G1331" i="1" s="1"/>
  <c r="F1326" i="1"/>
  <c r="G1326" i="1" s="1"/>
  <c r="K1856" i="1" s="1"/>
  <c r="L1856" i="1" s="1"/>
  <c r="F1321" i="1"/>
  <c r="G1321" i="1" s="1"/>
  <c r="F1315" i="1"/>
  <c r="G1315" i="1" s="1"/>
  <c r="F1310" i="1"/>
  <c r="G1310" i="1" s="1"/>
  <c r="K1834" i="1" s="1"/>
  <c r="L1834" i="1" s="1"/>
  <c r="F1305" i="1"/>
  <c r="G1305" i="1" s="1"/>
  <c r="F1299" i="1"/>
  <c r="G1299" i="1" s="1"/>
  <c r="F1294" i="1"/>
  <c r="G1294" i="1" s="1"/>
  <c r="K1810" i="1" s="1"/>
  <c r="L1810" i="1" s="1"/>
  <c r="F1289" i="1"/>
  <c r="G1289" i="1" s="1"/>
  <c r="F1283" i="1"/>
  <c r="G1283" i="1" s="1"/>
  <c r="F1278" i="1"/>
  <c r="G1278" i="1" s="1"/>
  <c r="K1788" i="1" s="1"/>
  <c r="L1788" i="1" s="1"/>
  <c r="F1273" i="1"/>
  <c r="G1273" i="1" s="1"/>
  <c r="F1267" i="1"/>
  <c r="G1267" i="1" s="1"/>
  <c r="F1262" i="1"/>
  <c r="G1262" i="1" s="1"/>
  <c r="K1766" i="1" s="1"/>
  <c r="L1766" i="1" s="1"/>
  <c r="F1257" i="1"/>
  <c r="G1257" i="1" s="1"/>
  <c r="F1251" i="1"/>
  <c r="G1251" i="1" s="1"/>
  <c r="F1246" i="1"/>
  <c r="G1246" i="1" s="1"/>
  <c r="K1744" i="1" s="1"/>
  <c r="L1744" i="1" s="1"/>
  <c r="F1241" i="1"/>
  <c r="G1241" i="1" s="1"/>
  <c r="F1235" i="1"/>
  <c r="G1235" i="1" s="1"/>
  <c r="F1230" i="1"/>
  <c r="G1230" i="1" s="1"/>
  <c r="K1722" i="1" s="1"/>
  <c r="L1722" i="1" s="1"/>
  <c r="F1225" i="1"/>
  <c r="G1225" i="1" s="1"/>
  <c r="F1219" i="1"/>
  <c r="G1219" i="1" s="1"/>
  <c r="F1214" i="1"/>
  <c r="G1214" i="1" s="1"/>
  <c r="K1698" i="1" s="1"/>
  <c r="L1698" i="1" s="1"/>
  <c r="F1209" i="1"/>
  <c r="G1209" i="1" s="1"/>
  <c r="F1203" i="1"/>
  <c r="G1203" i="1" s="1"/>
  <c r="F1198" i="1"/>
  <c r="G1198" i="1" s="1"/>
  <c r="K1676" i="1" s="1"/>
  <c r="L1676" i="1" s="1"/>
  <c r="F1193" i="1"/>
  <c r="G1193" i="1" s="1"/>
  <c r="F1187" i="1"/>
  <c r="G1187" i="1" s="1"/>
  <c r="F1182" i="1"/>
  <c r="G1182" i="1" s="1"/>
  <c r="K1654" i="1" s="1"/>
  <c r="L1654" i="1" s="1"/>
  <c r="F1177" i="1"/>
  <c r="G1177" i="1" s="1"/>
  <c r="F1171" i="1"/>
  <c r="G1171" i="1" s="1"/>
  <c r="F1166" i="1"/>
  <c r="G1166" i="1" s="1"/>
  <c r="K1632" i="1" s="1"/>
  <c r="L1632" i="1" s="1"/>
  <c r="F1161" i="1"/>
  <c r="G1161" i="1" s="1"/>
  <c r="F1155" i="1"/>
  <c r="G1155" i="1" s="1"/>
  <c r="F1150" i="1"/>
  <c r="G1150" i="1" s="1"/>
  <c r="F1145" i="1"/>
  <c r="G1145" i="1" s="1"/>
  <c r="F1139" i="1"/>
  <c r="G1139" i="1" s="1"/>
  <c r="F1134" i="1"/>
  <c r="G1134" i="1" s="1"/>
  <c r="F1129" i="1"/>
  <c r="G1129" i="1" s="1"/>
  <c r="F1123" i="1"/>
  <c r="G1123" i="1" s="1"/>
  <c r="F1118" i="1"/>
  <c r="G1118" i="1" s="1"/>
  <c r="F1113" i="1"/>
  <c r="G1113" i="1" s="1"/>
  <c r="F1107" i="1"/>
  <c r="G1107" i="1" s="1"/>
  <c r="F1102" i="1"/>
  <c r="G1102" i="1" s="1"/>
  <c r="F1097" i="1"/>
  <c r="G1097" i="1" s="1"/>
  <c r="F1091" i="1"/>
  <c r="G1091" i="1" s="1"/>
  <c r="F1086" i="1"/>
  <c r="G1086" i="1" s="1"/>
  <c r="F1081" i="1"/>
  <c r="G1081" i="1" s="1"/>
  <c r="F1075" i="1"/>
  <c r="G1075" i="1" s="1"/>
  <c r="F1070" i="1"/>
  <c r="G1070" i="1" s="1"/>
  <c r="F1065" i="1"/>
  <c r="G1065" i="1" s="1"/>
  <c r="F1059" i="1"/>
  <c r="G1059" i="1" s="1"/>
  <c r="F1054" i="1"/>
  <c r="G1054" i="1" s="1"/>
  <c r="F1049" i="1"/>
  <c r="G1049" i="1" s="1"/>
  <c r="F1043" i="1"/>
  <c r="G1043" i="1" s="1"/>
  <c r="F1038" i="1"/>
  <c r="G1038" i="1" s="1"/>
  <c r="F1033" i="1"/>
  <c r="G1033" i="1" s="1"/>
  <c r="F1027" i="1"/>
  <c r="G1027" i="1" s="1"/>
  <c r="F1022" i="1"/>
  <c r="G1022" i="1" s="1"/>
  <c r="F1017" i="1"/>
  <c r="G1017" i="1" s="1"/>
  <c r="F1011" i="1"/>
  <c r="G1011" i="1" s="1"/>
  <c r="F1006" i="1"/>
  <c r="G1006" i="1" s="1"/>
  <c r="F1001" i="1"/>
  <c r="G1001" i="1" s="1"/>
  <c r="F995" i="1"/>
  <c r="G995" i="1" s="1"/>
  <c r="F990" i="1"/>
  <c r="G990" i="1" s="1"/>
  <c r="F985" i="1"/>
  <c r="G985" i="1" s="1"/>
  <c r="F979" i="1"/>
  <c r="G979" i="1" s="1"/>
  <c r="F974" i="1"/>
  <c r="G974" i="1" s="1"/>
  <c r="F969" i="1"/>
  <c r="G969" i="1" s="1"/>
  <c r="F963" i="1"/>
  <c r="G963" i="1" s="1"/>
  <c r="F958" i="1"/>
  <c r="G958" i="1" s="1"/>
  <c r="F953" i="1"/>
  <c r="G953" i="1" s="1"/>
  <c r="F947" i="1"/>
  <c r="G947" i="1" s="1"/>
  <c r="F942" i="1"/>
  <c r="G942" i="1" s="1"/>
  <c r="F937" i="1"/>
  <c r="G937" i="1" s="1"/>
  <c r="F931" i="1"/>
  <c r="G931" i="1" s="1"/>
  <c r="F926" i="1"/>
  <c r="G926" i="1" s="1"/>
  <c r="F921" i="1"/>
  <c r="G921" i="1" s="1"/>
  <c r="F915" i="1"/>
  <c r="G915" i="1" s="1"/>
  <c r="F910" i="1"/>
  <c r="G910" i="1" s="1"/>
  <c r="F905" i="1"/>
  <c r="G905" i="1" s="1"/>
  <c r="F899" i="1"/>
  <c r="G899" i="1" s="1"/>
  <c r="F894" i="1"/>
  <c r="G894" i="1" s="1"/>
  <c r="F889" i="1"/>
  <c r="G889" i="1" s="1"/>
  <c r="F883" i="1"/>
  <c r="G883" i="1" s="1"/>
  <c r="F878" i="1"/>
  <c r="G878" i="1" s="1"/>
  <c r="F873" i="1"/>
  <c r="G873" i="1" s="1"/>
  <c r="F867" i="1"/>
  <c r="G867" i="1" s="1"/>
  <c r="F862" i="1"/>
  <c r="G862" i="1" s="1"/>
  <c r="F857" i="1"/>
  <c r="G857" i="1" s="1"/>
  <c r="F851" i="1"/>
  <c r="G851" i="1" s="1"/>
  <c r="F846" i="1"/>
  <c r="G846" i="1" s="1"/>
  <c r="F841" i="1"/>
  <c r="G841" i="1" s="1"/>
  <c r="F835" i="1"/>
  <c r="G835" i="1" s="1"/>
  <c r="F830" i="1"/>
  <c r="G830" i="1" s="1"/>
  <c r="F825" i="1"/>
  <c r="G825" i="1" s="1"/>
  <c r="F819" i="1"/>
  <c r="G819" i="1" s="1"/>
  <c r="F814" i="1"/>
  <c r="G814" i="1" s="1"/>
  <c r="F809" i="1"/>
  <c r="G809" i="1" s="1"/>
  <c r="F803" i="1"/>
  <c r="G803" i="1" s="1"/>
  <c r="F798" i="1"/>
  <c r="G798" i="1" s="1"/>
  <c r="F793" i="1"/>
  <c r="G793" i="1" s="1"/>
  <c r="F787" i="1"/>
  <c r="G787" i="1" s="1"/>
  <c r="F781" i="1"/>
  <c r="G781" i="1" s="1"/>
  <c r="F775" i="1"/>
  <c r="G775" i="1" s="1"/>
  <c r="F767" i="1"/>
  <c r="G767" i="1" s="1"/>
  <c r="F760" i="1"/>
  <c r="G760" i="1" s="1"/>
  <c r="K1064" i="1" s="1"/>
  <c r="L1064" i="1" s="1"/>
  <c r="F753" i="1"/>
  <c r="G753" i="1" s="1"/>
  <c r="F745" i="1"/>
  <c r="G745" i="1" s="1"/>
  <c r="F739" i="1"/>
  <c r="G739" i="1" s="1"/>
  <c r="F732" i="1"/>
  <c r="G732" i="1" s="1"/>
  <c r="K1024" i="1" s="1"/>
  <c r="L1024" i="1" s="1"/>
  <c r="F724" i="1"/>
  <c r="G724" i="1" s="1"/>
  <c r="K1012" i="1" s="1"/>
  <c r="L1012" i="1" s="1"/>
  <c r="F717" i="1"/>
  <c r="G717" i="1" s="1"/>
  <c r="F711" i="1"/>
  <c r="G711" i="1" s="1"/>
  <c r="F700" i="1"/>
  <c r="G700" i="1" s="1"/>
  <c r="K980" i="1" s="1"/>
  <c r="L980" i="1" s="1"/>
  <c r="F689" i="1"/>
  <c r="G689" i="1" s="1"/>
  <c r="F679" i="1"/>
  <c r="G679" i="1" s="1"/>
  <c r="F668" i="1"/>
  <c r="G668" i="1" s="1"/>
  <c r="K934" i="1" s="1"/>
  <c r="L934" i="1" s="1"/>
  <c r="F657" i="1"/>
  <c r="G657" i="1" s="1"/>
  <c r="F647" i="1"/>
  <c r="G647" i="1" s="1"/>
  <c r="F636" i="1"/>
  <c r="G636" i="1" s="1"/>
  <c r="K890" i="1" s="1"/>
  <c r="L890" i="1" s="1"/>
  <c r="F625" i="1"/>
  <c r="G625" i="1" s="1"/>
  <c r="F615" i="1"/>
  <c r="G615" i="1" s="1"/>
  <c r="F604" i="1"/>
  <c r="G604" i="1" s="1"/>
  <c r="K844" i="1" s="1"/>
  <c r="L844" i="1" s="1"/>
  <c r="F593" i="1"/>
  <c r="G593" i="1" s="1"/>
  <c r="F583" i="1"/>
  <c r="G583" i="1" s="1"/>
  <c r="F572" i="1"/>
  <c r="G572" i="1" s="1"/>
  <c r="K800" i="1" s="1"/>
  <c r="L800" i="1" s="1"/>
  <c r="F561" i="1"/>
  <c r="G561" i="1" s="1"/>
  <c r="F551" i="1"/>
  <c r="G551" i="1" s="1"/>
  <c r="F540" i="1"/>
  <c r="G540" i="1" s="1"/>
  <c r="K756" i="1" s="1"/>
  <c r="L756" i="1" s="1"/>
  <c r="F529" i="1"/>
  <c r="G529" i="1" s="1"/>
  <c r="F519" i="1"/>
  <c r="G519" i="1" s="1"/>
  <c r="F508" i="1"/>
  <c r="G508" i="1" s="1"/>
  <c r="K710" i="1" s="1"/>
  <c r="L710" i="1" s="1"/>
  <c r="F497" i="1"/>
  <c r="G497" i="1" s="1"/>
  <c r="F487" i="1"/>
  <c r="G487" i="1" s="1"/>
  <c r="F476" i="1"/>
  <c r="G476" i="1" s="1"/>
  <c r="K666" i="1" s="1"/>
  <c r="L666" i="1" s="1"/>
  <c r="F465" i="1"/>
  <c r="G465" i="1" s="1"/>
  <c r="F455" i="1"/>
  <c r="G455" i="1" s="1"/>
  <c r="F444" i="1"/>
  <c r="G444" i="1" s="1"/>
  <c r="K620" i="1" s="1"/>
  <c r="L620" i="1" s="1"/>
  <c r="F433" i="1"/>
  <c r="G433" i="1" s="1"/>
  <c r="F423" i="1"/>
  <c r="G423" i="1" s="1"/>
  <c r="F412" i="1"/>
  <c r="G412" i="1" s="1"/>
  <c r="K576" i="1" s="1"/>
  <c r="L576" i="1" s="1"/>
  <c r="F401" i="1"/>
  <c r="G401" i="1" s="1"/>
  <c r="F391" i="1"/>
  <c r="G391" i="1" s="1"/>
  <c r="F380" i="1"/>
  <c r="G380" i="1" s="1"/>
  <c r="K532" i="1" s="1"/>
  <c r="L532" i="1" s="1"/>
  <c r="F369" i="1"/>
  <c r="G369" i="1" s="1"/>
  <c r="F356" i="1"/>
  <c r="G356" i="1" s="1"/>
  <c r="K498" i="1" s="1"/>
  <c r="L498" i="1" s="1"/>
  <c r="F340" i="1"/>
  <c r="G340" i="1" s="1"/>
  <c r="K476" i="1" s="1"/>
  <c r="L476" i="1" s="1"/>
  <c r="F324" i="1"/>
  <c r="G324" i="1" s="1"/>
  <c r="K452" i="1" s="1"/>
  <c r="F308" i="1"/>
  <c r="G308" i="1" s="1"/>
  <c r="K430" i="1" s="1"/>
  <c r="F292" i="1"/>
  <c r="G292" i="1" s="1"/>
  <c r="K408" i="1" s="1"/>
  <c r="L408" i="1" s="1"/>
  <c r="F276" i="1"/>
  <c r="G276" i="1" s="1"/>
  <c r="K386" i="1" s="1"/>
  <c r="L386" i="1" s="1"/>
  <c r="F260" i="1"/>
  <c r="G260" i="1" s="1"/>
  <c r="K364" i="1" s="1"/>
  <c r="F244" i="1"/>
  <c r="G244" i="1" s="1"/>
  <c r="F228" i="1"/>
  <c r="G228" i="1" s="1"/>
  <c r="F212" i="1"/>
  <c r="G212" i="1" s="1"/>
  <c r="F196" i="1"/>
  <c r="G196" i="1" s="1"/>
  <c r="F180" i="1"/>
  <c r="G180" i="1" s="1"/>
  <c r="F164" i="1"/>
  <c r="G164" i="1" s="1"/>
  <c r="F148" i="1"/>
  <c r="G148" i="1" s="1"/>
  <c r="F132" i="1"/>
  <c r="G132" i="1" s="1"/>
  <c r="F116" i="1"/>
  <c r="G116" i="1" s="1"/>
  <c r="F100" i="1"/>
  <c r="G100" i="1" s="1"/>
  <c r="F84" i="1"/>
  <c r="G84" i="1" s="1"/>
  <c r="F68" i="1"/>
  <c r="G68" i="1" s="1"/>
  <c r="F47" i="1"/>
  <c r="G47" i="1" s="1"/>
  <c r="F26" i="1"/>
  <c r="G26" i="1" s="1"/>
  <c r="F5" i="1"/>
  <c r="G5" i="1" s="1"/>
  <c r="L990" i="1" l="1"/>
  <c r="L900" i="1"/>
  <c r="L812" i="1"/>
  <c r="L722" i="1"/>
  <c r="L632" i="1"/>
  <c r="L542" i="1"/>
  <c r="L1626" i="1"/>
  <c r="L1806" i="1"/>
  <c r="L1782" i="1"/>
  <c r="L1080" i="1"/>
  <c r="L1850" i="1"/>
  <c r="L1648" i="1"/>
  <c r="L1036" i="1"/>
  <c r="L974" i="1"/>
  <c r="L816" i="1"/>
  <c r="L430" i="1"/>
  <c r="L364" i="1"/>
  <c r="L452" i="1"/>
  <c r="L1886" i="1"/>
  <c r="L1864" i="1"/>
  <c r="L1842" i="1"/>
  <c r="L1820" i="1"/>
  <c r="L1774" i="1"/>
  <c r="L1752" i="1"/>
  <c r="L1730" i="1"/>
  <c r="L1708" i="1"/>
  <c r="L1684" i="1"/>
  <c r="L1662" i="1"/>
  <c r="L1640" i="1"/>
  <c r="L1618" i="1"/>
  <c r="L1596" i="1"/>
  <c r="L1550" i="1"/>
  <c r="L1528" i="1"/>
  <c r="L1506" i="1"/>
  <c r="L1484" i="1"/>
  <c r="L1460" i="1"/>
  <c r="L1438" i="1"/>
  <c r="L1416" i="1"/>
  <c r="L1394" i="1"/>
  <c r="L1372" i="1"/>
  <c r="L1326" i="1"/>
  <c r="L1304" i="1"/>
  <c r="L1282" i="1"/>
  <c r="L1260" i="1"/>
  <c r="L1236" i="1"/>
  <c r="L1214" i="1"/>
  <c r="L1192" i="1"/>
  <c r="L1170" i="1"/>
  <c r="L1148" i="1"/>
  <c r="L1124" i="1"/>
  <c r="L1102" i="1"/>
  <c r="L924" i="1"/>
  <c r="L834" i="1"/>
  <c r="L744" i="1"/>
  <c r="L654" i="1"/>
  <c r="L564" i="1"/>
  <c r="L1872" i="1"/>
  <c r="L1694" i="1"/>
  <c r="L1760" i="1"/>
  <c r="L1670" i="1"/>
  <c r="L1914" i="1"/>
  <c r="L794" i="1"/>
  <c r="L638" i="1"/>
  <c r="L946" i="1"/>
  <c r="L856" i="1"/>
  <c r="L766" i="1"/>
  <c r="L676" i="1"/>
  <c r="L588" i="1"/>
  <c r="L1058" i="1"/>
  <c r="L1716" i="1"/>
  <c r="L1908" i="1"/>
  <c r="L1828" i="1"/>
  <c r="L1738" i="1"/>
  <c r="K94" i="1"/>
  <c r="L94" i="1" s="1"/>
  <c r="K591" i="1"/>
  <c r="L591" i="1" s="1"/>
  <c r="K1085" i="1"/>
  <c r="L1085" i="1" s="1"/>
  <c r="K1177" i="1"/>
  <c r="L1177" i="1" s="1"/>
  <c r="K1325" i="1"/>
  <c r="L1325" i="1" s="1"/>
  <c r="K1415" i="1"/>
  <c r="L1415" i="1" s="1"/>
  <c r="K1535" i="1"/>
  <c r="L1535" i="1" s="1"/>
  <c r="K547" i="1"/>
  <c r="L547" i="1" s="1"/>
  <c r="K905" i="1"/>
  <c r="L905" i="1" s="1"/>
  <c r="K963" i="1"/>
  <c r="L963" i="1" s="1"/>
  <c r="K1053" i="1"/>
  <c r="L1053" i="1" s="1"/>
  <c r="K1093" i="1"/>
  <c r="L1093" i="1" s="1"/>
  <c r="K1123" i="1"/>
  <c r="L1123" i="1" s="1"/>
  <c r="K1155" i="1"/>
  <c r="L1155" i="1" s="1"/>
  <c r="K1184" i="1"/>
  <c r="L1184" i="1" s="1"/>
  <c r="K1213" i="1"/>
  <c r="L1213" i="1" s="1"/>
  <c r="K1243" i="1"/>
  <c r="L1243" i="1" s="1"/>
  <c r="K1274" i="1"/>
  <c r="L1274" i="1" s="1"/>
  <c r="K1303" i="1"/>
  <c r="L1303" i="1" s="1"/>
  <c r="K1333" i="1"/>
  <c r="L1333" i="1" s="1"/>
  <c r="K1362" i="1"/>
  <c r="L1362" i="1" s="1"/>
  <c r="K1393" i="1"/>
  <c r="L1393" i="1" s="1"/>
  <c r="K1423" i="1"/>
  <c r="L1423" i="1" s="1"/>
  <c r="K1452" i="1"/>
  <c r="L1452" i="1" s="1"/>
  <c r="K1481" i="1"/>
  <c r="L1481" i="1" s="1"/>
  <c r="K1513" i="1"/>
  <c r="L1513" i="1" s="1"/>
  <c r="K1542" i="1"/>
  <c r="L1542" i="1" s="1"/>
  <c r="K1571" i="1"/>
  <c r="L1571" i="1" s="1"/>
  <c r="K1603" i="1"/>
  <c r="L1603" i="1" s="1"/>
  <c r="K1661" i="1"/>
  <c r="L1661" i="1" s="1"/>
  <c r="K1691" i="1"/>
  <c r="L1691" i="1" s="1"/>
  <c r="K1751" i="1"/>
  <c r="L1751" i="1" s="1"/>
  <c r="K1781" i="1"/>
  <c r="L1781" i="1" s="1"/>
  <c r="K1841" i="1"/>
  <c r="L1841" i="1" s="1"/>
  <c r="K1871" i="1"/>
  <c r="L1871" i="1" s="1"/>
  <c r="K1925" i="1"/>
  <c r="L1925" i="1" s="1"/>
  <c r="K1947" i="1"/>
  <c r="L1947" i="1" s="1"/>
  <c r="K1969" i="1"/>
  <c r="L1969" i="1" s="1"/>
  <c r="K1991" i="1"/>
  <c r="L1991" i="1" s="1"/>
  <c r="K2013" i="1"/>
  <c r="L2013" i="1" s="1"/>
  <c r="K2037" i="1"/>
  <c r="L2037" i="1" s="1"/>
  <c r="K2059" i="1"/>
  <c r="L2059" i="1" s="1"/>
  <c r="K2081" i="1"/>
  <c r="L2081" i="1" s="1"/>
  <c r="K2103" i="1"/>
  <c r="L2103" i="1" s="1"/>
  <c r="K2125" i="1"/>
  <c r="L2125" i="1" s="1"/>
  <c r="K2149" i="1"/>
  <c r="L2149" i="1" s="1"/>
  <c r="K2171" i="1"/>
  <c r="L2171" i="1" s="1"/>
  <c r="K2193" i="1"/>
  <c r="L2193" i="1" s="1"/>
  <c r="K2215" i="1"/>
  <c r="L2215" i="1" s="1"/>
  <c r="K2237" i="1"/>
  <c r="L2237" i="1" s="1"/>
  <c r="K1067" i="1"/>
  <c r="L1067" i="1" s="1"/>
  <c r="K1037" i="1"/>
  <c r="L1037" i="1" s="1"/>
  <c r="K977" i="1"/>
  <c r="L977" i="1" s="1"/>
  <c r="K947" i="1"/>
  <c r="L947" i="1" s="1"/>
  <c r="K889" i="1"/>
  <c r="L889" i="1" s="1"/>
  <c r="K857" i="1"/>
  <c r="L857" i="1" s="1"/>
  <c r="K799" i="1"/>
  <c r="L799" i="1" s="1"/>
  <c r="K767" i="1"/>
  <c r="L767" i="1" s="1"/>
  <c r="K709" i="1"/>
  <c r="L709" i="1" s="1"/>
  <c r="K679" i="1"/>
  <c r="L679" i="1" s="1"/>
  <c r="K619" i="1"/>
  <c r="L619" i="1" s="1"/>
  <c r="K589" i="1"/>
  <c r="L589" i="1" s="1"/>
  <c r="K529" i="1"/>
  <c r="L529" i="1" s="1"/>
  <c r="K493" i="1"/>
  <c r="L493" i="1" s="1"/>
  <c r="K449" i="1"/>
  <c r="L449" i="1" s="1"/>
  <c r="K403" i="1"/>
  <c r="L403" i="1" s="1"/>
  <c r="K359" i="1"/>
  <c r="L359" i="1" s="1"/>
  <c r="K315" i="1"/>
  <c r="L315" i="1" s="1"/>
  <c r="K269" i="1"/>
  <c r="L269" i="1" s="1"/>
  <c r="K225" i="1"/>
  <c r="L225" i="1" s="1"/>
  <c r="K179" i="1"/>
  <c r="L179" i="1" s="1"/>
  <c r="K135" i="1"/>
  <c r="L135" i="1" s="1"/>
  <c r="K91" i="1"/>
  <c r="L91" i="1" s="1"/>
  <c r="K30" i="1"/>
  <c r="L30" i="1" s="1"/>
  <c r="K975" i="1"/>
  <c r="L975" i="1" s="1"/>
  <c r="K917" i="1"/>
  <c r="L917" i="1" s="1"/>
  <c r="K885" i="1"/>
  <c r="L885" i="1" s="1"/>
  <c r="K827" i="1"/>
  <c r="L827" i="1" s="1"/>
  <c r="K795" i="1"/>
  <c r="L795" i="1" s="1"/>
  <c r="K737" i="1"/>
  <c r="L737" i="1" s="1"/>
  <c r="K707" i="1"/>
  <c r="L707" i="1" s="1"/>
  <c r="K647" i="1"/>
  <c r="L647" i="1" s="1"/>
  <c r="K617" i="1"/>
  <c r="L617" i="1" s="1"/>
  <c r="K557" i="1"/>
  <c r="L557" i="1" s="1"/>
  <c r="K527" i="1"/>
  <c r="L527" i="1" s="1"/>
  <c r="K358" i="1"/>
  <c r="L358" i="1" s="1"/>
  <c r="K312" i="1"/>
  <c r="L312" i="1" s="1"/>
  <c r="K268" i="1"/>
  <c r="L268" i="1" s="1"/>
  <c r="K224" i="1"/>
  <c r="L224" i="1" s="1"/>
  <c r="K178" i="1"/>
  <c r="L178" i="1" s="1"/>
  <c r="K134" i="1"/>
  <c r="L134" i="1" s="1"/>
  <c r="K87" i="1"/>
  <c r="L87" i="1" s="1"/>
  <c r="K29" i="1"/>
  <c r="L29" i="1" s="1"/>
  <c r="K497" i="1"/>
  <c r="L497" i="1" s="1"/>
  <c r="K473" i="1"/>
  <c r="L473" i="1" s="1"/>
  <c r="K451" i="1"/>
  <c r="L451" i="1" s="1"/>
  <c r="K429" i="1"/>
  <c r="L429" i="1" s="1"/>
  <c r="K407" i="1"/>
  <c r="L407" i="1" s="1"/>
  <c r="K385" i="1"/>
  <c r="L385" i="1" s="1"/>
  <c r="K361" i="1"/>
  <c r="L361" i="1" s="1"/>
  <c r="K339" i="1"/>
  <c r="L339" i="1" s="1"/>
  <c r="K317" i="1"/>
  <c r="L317" i="1" s="1"/>
  <c r="K295" i="1"/>
  <c r="L295" i="1" s="1"/>
  <c r="K273" i="1"/>
  <c r="L273" i="1" s="1"/>
  <c r="K249" i="1"/>
  <c r="L249" i="1" s="1"/>
  <c r="K227" i="1"/>
  <c r="L227" i="1" s="1"/>
  <c r="K205" i="1"/>
  <c r="L205" i="1" s="1"/>
  <c r="K183" i="1"/>
  <c r="L183" i="1" s="1"/>
  <c r="K161" i="1"/>
  <c r="L161" i="1" s="1"/>
  <c r="K137" i="1"/>
  <c r="L137" i="1" s="1"/>
  <c r="K115" i="1"/>
  <c r="L115" i="1" s="1"/>
  <c r="K93" i="1"/>
  <c r="L93" i="1" s="1"/>
  <c r="K64" i="1"/>
  <c r="L64" i="1" s="1"/>
  <c r="K35" i="1"/>
  <c r="L35" i="1" s="1"/>
  <c r="K3" i="1"/>
  <c r="L3" i="1" s="1"/>
  <c r="K1078" i="1"/>
  <c r="L1078" i="1" s="1"/>
  <c r="K1054" i="1"/>
  <c r="L1054" i="1" s="1"/>
  <c r="K1032" i="1"/>
  <c r="L1032" i="1" s="1"/>
  <c r="K1010" i="1"/>
  <c r="L1010" i="1" s="1"/>
  <c r="K988" i="1"/>
  <c r="L988" i="1" s="1"/>
  <c r="K966" i="1"/>
  <c r="L966" i="1" s="1"/>
  <c r="K942" i="1"/>
  <c r="L942" i="1" s="1"/>
  <c r="K920" i="1"/>
  <c r="L920" i="1" s="1"/>
  <c r="K898" i="1"/>
  <c r="L898" i="1" s="1"/>
  <c r="K876" i="1"/>
  <c r="L876" i="1" s="1"/>
  <c r="K854" i="1"/>
  <c r="L854" i="1" s="1"/>
  <c r="K830" i="1"/>
  <c r="L830" i="1" s="1"/>
  <c r="K808" i="1"/>
  <c r="L808" i="1" s="1"/>
  <c r="K786" i="1"/>
  <c r="L786" i="1" s="1"/>
  <c r="K764" i="1"/>
  <c r="L764" i="1" s="1"/>
  <c r="K742" i="1"/>
  <c r="L742" i="1" s="1"/>
  <c r="K718" i="1"/>
  <c r="L718" i="1" s="1"/>
  <c r="K696" i="1"/>
  <c r="L696" i="1" s="1"/>
  <c r="K674" i="1"/>
  <c r="L674" i="1" s="1"/>
  <c r="K652" i="1"/>
  <c r="L652" i="1" s="1"/>
  <c r="K630" i="1"/>
  <c r="L630" i="1" s="1"/>
  <c r="K606" i="1"/>
  <c r="L606" i="1" s="1"/>
  <c r="K584" i="1"/>
  <c r="L584" i="1" s="1"/>
  <c r="K562" i="1"/>
  <c r="L562" i="1" s="1"/>
  <c r="K540" i="1"/>
  <c r="L540" i="1" s="1"/>
  <c r="K518" i="1"/>
  <c r="L518" i="1" s="1"/>
  <c r="K494" i="1"/>
  <c r="L494" i="1" s="1"/>
  <c r="K472" i="1"/>
  <c r="L472" i="1" s="1"/>
  <c r="K450" i="1"/>
  <c r="L450" i="1" s="1"/>
  <c r="K428" i="1"/>
  <c r="L428" i="1" s="1"/>
  <c r="K406" i="1"/>
  <c r="L406" i="1" s="1"/>
  <c r="K382" i="1"/>
  <c r="L382" i="1" s="1"/>
  <c r="K360" i="1"/>
  <c r="L360" i="1" s="1"/>
  <c r="K338" i="1"/>
  <c r="L338" i="1" s="1"/>
  <c r="K316" i="1"/>
  <c r="L316" i="1" s="1"/>
  <c r="K294" i="1"/>
  <c r="L294" i="1" s="1"/>
  <c r="K270" i="1"/>
  <c r="L270" i="1" s="1"/>
  <c r="K248" i="1"/>
  <c r="L248" i="1" s="1"/>
  <c r="K226" i="1"/>
  <c r="L226" i="1" s="1"/>
  <c r="K204" i="1"/>
  <c r="L204" i="1" s="1"/>
  <c r="K182" i="1"/>
  <c r="L182" i="1" s="1"/>
  <c r="K158" i="1"/>
  <c r="L158" i="1" s="1"/>
  <c r="K136" i="1"/>
  <c r="L136" i="1" s="1"/>
  <c r="K114" i="1"/>
  <c r="L114" i="1" s="1"/>
  <c r="K92" i="1"/>
  <c r="L92" i="1" s="1"/>
  <c r="K63" i="1"/>
  <c r="L63" i="1" s="1"/>
  <c r="K31" i="1"/>
  <c r="L31" i="1" s="1"/>
  <c r="K2" i="1"/>
  <c r="L2" i="1" s="1"/>
  <c r="K72" i="1"/>
  <c r="L72" i="1" s="1"/>
  <c r="K50" i="1"/>
  <c r="L50" i="1" s="1"/>
  <c r="K28" i="1"/>
  <c r="L28" i="1" s="1"/>
  <c r="K4" i="1"/>
  <c r="L4" i="1" s="1"/>
  <c r="K1218" i="1"/>
  <c r="L1218" i="1" s="1"/>
  <c r="K1375" i="1"/>
  <c r="L1375" i="1" s="1"/>
  <c r="K1536" i="1"/>
  <c r="L1536" i="1" s="1"/>
  <c r="K1695" i="1"/>
  <c r="L1695" i="1" s="1"/>
  <c r="K1855" i="1"/>
  <c r="L1855" i="1" s="1"/>
  <c r="K1988" i="1"/>
  <c r="L1988" i="1" s="1"/>
  <c r="K2226" i="1"/>
  <c r="L2226" i="1" s="1"/>
  <c r="K421" i="1"/>
  <c r="L421" i="1" s="1"/>
  <c r="K1227" i="1"/>
  <c r="L1227" i="1" s="1"/>
  <c r="K1387" i="1"/>
  <c r="L1387" i="1" s="1"/>
  <c r="K1547" i="1"/>
  <c r="L1547" i="1" s="1"/>
  <c r="K1865" i="1"/>
  <c r="L1865" i="1" s="1"/>
  <c r="K2114" i="1"/>
  <c r="L2114" i="1" s="1"/>
  <c r="K2234" i="1"/>
  <c r="L2234" i="1" s="1"/>
  <c r="K455" i="1"/>
  <c r="L455" i="1" s="1"/>
  <c r="K793" i="1"/>
  <c r="L793" i="1" s="1"/>
  <c r="K1071" i="1"/>
  <c r="L1071" i="1" s="1"/>
  <c r="K1239" i="1"/>
  <c r="L1239" i="1" s="1"/>
  <c r="K1396" i="1"/>
  <c r="L1396" i="1" s="1"/>
  <c r="K1555" i="1"/>
  <c r="L1555" i="1" s="1"/>
  <c r="K1873" i="1"/>
  <c r="L1873" i="1" s="1"/>
  <c r="K2002" i="1"/>
  <c r="L2002" i="1" s="1"/>
  <c r="K2122" i="1"/>
  <c r="L2122" i="1" s="1"/>
  <c r="K809" i="1"/>
  <c r="L809" i="1" s="1"/>
  <c r="K1247" i="1"/>
  <c r="L1247" i="1" s="1"/>
  <c r="K1407" i="1"/>
  <c r="L1407" i="1" s="1"/>
  <c r="K1565" i="1"/>
  <c r="L1565" i="1" s="1"/>
  <c r="K1725" i="1"/>
  <c r="L1725" i="1" s="1"/>
  <c r="K2010" i="1"/>
  <c r="L2010" i="1" s="1"/>
  <c r="K2248" i="1"/>
  <c r="L2248" i="1" s="1"/>
  <c r="K2208" i="1"/>
  <c r="L2208" i="1" s="1"/>
  <c r="K2096" i="1"/>
  <c r="L2096" i="1" s="1"/>
  <c r="K2052" i="1"/>
  <c r="L2052" i="1" s="1"/>
  <c r="K2006" i="1"/>
  <c r="L2006" i="1" s="1"/>
  <c r="K1911" i="1"/>
  <c r="L1911" i="1" s="1"/>
  <c r="K1851" i="1"/>
  <c r="L1851" i="1" s="1"/>
  <c r="K1801" i="1"/>
  <c r="L1801" i="1" s="1"/>
  <c r="K1761" i="1"/>
  <c r="L1761" i="1" s="1"/>
  <c r="K1723" i="1"/>
  <c r="L1723" i="1" s="1"/>
  <c r="K1443" i="1"/>
  <c r="L1443" i="1" s="1"/>
  <c r="K1313" i="1"/>
  <c r="L1313" i="1" s="1"/>
  <c r="K1173" i="1"/>
  <c r="L1173" i="1" s="1"/>
  <c r="K1115" i="1"/>
  <c r="L1115" i="1" s="1"/>
  <c r="K1057" i="1"/>
  <c r="L1057" i="1" s="1"/>
  <c r="K927" i="1"/>
  <c r="L927" i="1" s="1"/>
  <c r="K847" i="1"/>
  <c r="L847" i="1" s="1"/>
  <c r="K765" i="1"/>
  <c r="L765" i="1" s="1"/>
  <c r="K609" i="1"/>
  <c r="L609" i="1" s="1"/>
  <c r="K2170" i="1"/>
  <c r="L2170" i="1" s="1"/>
  <c r="K2110" i="1"/>
  <c r="L2110" i="1" s="1"/>
  <c r="K1968" i="1"/>
  <c r="L1968" i="1" s="1"/>
  <c r="K1939" i="1"/>
  <c r="L1939" i="1" s="1"/>
  <c r="K1869" i="1"/>
  <c r="L1869" i="1" s="1"/>
  <c r="K1829" i="1"/>
  <c r="L1829" i="1" s="1"/>
  <c r="K1789" i="1"/>
  <c r="K1790" i="1" s="1"/>
  <c r="K1791" i="1" s="1"/>
  <c r="K1620" i="1"/>
  <c r="L1620" i="1" s="1"/>
  <c r="K1582" i="1"/>
  <c r="L1582" i="1" s="1"/>
  <c r="K1541" i="1"/>
  <c r="L1541" i="1" s="1"/>
  <c r="K1501" i="1"/>
  <c r="L1501" i="1" s="1"/>
  <c r="K1463" i="1"/>
  <c r="L1463" i="1" s="1"/>
  <c r="K1421" i="1"/>
  <c r="L1421" i="1" s="1"/>
  <c r="K1381" i="1"/>
  <c r="L1381" i="1" s="1"/>
  <c r="K1341" i="1"/>
  <c r="L1341" i="1" s="1"/>
  <c r="K1302" i="1"/>
  <c r="L1302" i="1" s="1"/>
  <c r="K1262" i="1"/>
  <c r="L1262" i="1" s="1"/>
  <c r="K1222" i="1"/>
  <c r="L1222" i="1" s="1"/>
  <c r="K1183" i="1"/>
  <c r="L1183" i="1" s="1"/>
  <c r="K1143" i="1"/>
  <c r="L1143" i="1" s="1"/>
  <c r="K1103" i="1"/>
  <c r="L1103" i="1" s="1"/>
  <c r="K1051" i="1"/>
  <c r="L1051" i="1" s="1"/>
  <c r="K997" i="1"/>
  <c r="L997" i="1" s="1"/>
  <c r="K921" i="1"/>
  <c r="L921" i="1" s="1"/>
  <c r="K763" i="1"/>
  <c r="L763" i="1" s="1"/>
  <c r="K599" i="1"/>
  <c r="L599" i="1" s="1"/>
  <c r="K525" i="1"/>
  <c r="L525" i="1" s="1"/>
  <c r="K409" i="1"/>
  <c r="L409" i="1" s="1"/>
  <c r="K287" i="1"/>
  <c r="L287" i="1" s="1"/>
  <c r="K172" i="1"/>
  <c r="L172" i="1" s="1"/>
  <c r="K37" i="1"/>
  <c r="L37" i="1" s="1"/>
  <c r="K2142" i="1"/>
  <c r="L2142" i="1" s="1"/>
  <c r="K1901" i="1"/>
  <c r="L1901" i="1" s="1"/>
  <c r="K1663" i="1"/>
  <c r="L1663" i="1" s="1"/>
  <c r="K1621" i="1"/>
  <c r="L1621" i="1" s="1"/>
  <c r="K1583" i="1"/>
  <c r="L1583" i="1" s="1"/>
  <c r="K1533" i="1"/>
  <c r="L1533" i="1" s="1"/>
  <c r="K1473" i="1"/>
  <c r="L1473" i="1" s="1"/>
  <c r="K1424" i="1"/>
  <c r="L1424" i="1" s="1"/>
  <c r="K1365" i="1"/>
  <c r="L1365" i="1" s="1"/>
  <c r="K1305" i="1"/>
  <c r="L1305" i="1" s="1"/>
  <c r="K1255" i="1"/>
  <c r="L1255" i="1" s="1"/>
  <c r="K1194" i="1"/>
  <c r="L1194" i="1" s="1"/>
  <c r="K1106" i="1"/>
  <c r="L1106" i="1" s="1"/>
  <c r="K240" i="1"/>
  <c r="L240" i="1" s="1"/>
  <c r="K119" i="1"/>
  <c r="L119" i="1" s="1"/>
  <c r="K2192" i="1"/>
  <c r="L2192" i="1" s="1"/>
  <c r="K2132" i="1"/>
  <c r="L2132" i="1" s="1"/>
  <c r="K1998" i="1"/>
  <c r="L1998" i="1" s="1"/>
  <c r="K2174" i="1"/>
  <c r="L2174" i="1" s="1"/>
  <c r="K2086" i="1"/>
  <c r="L2086" i="1" s="1"/>
  <c r="K1996" i="1"/>
  <c r="L1996" i="1" s="1"/>
  <c r="K1787" i="1"/>
  <c r="L1787" i="1" s="1"/>
  <c r="K1747" i="1"/>
  <c r="L1747" i="1" s="1"/>
  <c r="K1709" i="1"/>
  <c r="L1709" i="1" s="1"/>
  <c r="K1667" i="1"/>
  <c r="L1667" i="1" s="1"/>
  <c r="K1627" i="1"/>
  <c r="L1627" i="1" s="1"/>
  <c r="K1589" i="1"/>
  <c r="L1589" i="1" s="1"/>
  <c r="K1548" i="1"/>
  <c r="L1548" i="1" s="1"/>
  <c r="K1508" i="1"/>
  <c r="L1508" i="1" s="1"/>
  <c r="K1470" i="1"/>
  <c r="L1470" i="1" s="1"/>
  <c r="K1429" i="1"/>
  <c r="L1429" i="1" s="1"/>
  <c r="K1389" i="1"/>
  <c r="L1389" i="1" s="1"/>
  <c r="K1351" i="1"/>
  <c r="L1351" i="1" s="1"/>
  <c r="K1309" i="1"/>
  <c r="L1309" i="1" s="1"/>
  <c r="K1269" i="1"/>
  <c r="L1269" i="1" s="1"/>
  <c r="K1229" i="1"/>
  <c r="L1229" i="1" s="1"/>
  <c r="K1190" i="1"/>
  <c r="L1190" i="1" s="1"/>
  <c r="K1150" i="1"/>
  <c r="L1150" i="1" s="1"/>
  <c r="K1110" i="1"/>
  <c r="L1110" i="1" s="1"/>
  <c r="K1061" i="1"/>
  <c r="L1061" i="1" s="1"/>
  <c r="K1009" i="1"/>
  <c r="L1009" i="1" s="1"/>
  <c r="K935" i="1"/>
  <c r="L935" i="1" s="1"/>
  <c r="K855" i="1"/>
  <c r="L855" i="1" s="1"/>
  <c r="K697" i="1"/>
  <c r="L697" i="1" s="1"/>
  <c r="K539" i="1"/>
  <c r="L539" i="1" s="1"/>
  <c r="K431" i="1"/>
  <c r="L431" i="1" s="1"/>
  <c r="K309" i="1"/>
  <c r="L309" i="1" s="1"/>
  <c r="K196" i="1"/>
  <c r="L196" i="1" s="1"/>
  <c r="K67" i="1"/>
  <c r="L67" i="1" s="1"/>
  <c r="K184" i="1"/>
  <c r="L184" i="1" s="1"/>
  <c r="K274" i="1"/>
  <c r="L274" i="1" s="1"/>
  <c r="K949" i="1"/>
  <c r="L949" i="1" s="1"/>
  <c r="K1116" i="1"/>
  <c r="L1116" i="1" s="1"/>
  <c r="K1267" i="1"/>
  <c r="L1267" i="1" s="1"/>
  <c r="K1355" i="1"/>
  <c r="L1355" i="1" s="1"/>
  <c r="K1505" i="1"/>
  <c r="L1505" i="1" s="1"/>
  <c r="K1593" i="1"/>
  <c r="L1593" i="1" s="1"/>
  <c r="K1715" i="1"/>
  <c r="L1715" i="1" s="1"/>
  <c r="K1773" i="1"/>
  <c r="L1773" i="1" s="1"/>
  <c r="K116" i="1"/>
  <c r="L116" i="1" s="1"/>
  <c r="K605" i="1"/>
  <c r="L605" i="1" s="1"/>
  <c r="K785" i="1"/>
  <c r="L785" i="1" s="1"/>
  <c r="K36" i="1"/>
  <c r="L36" i="1" s="1"/>
  <c r="K318" i="1"/>
  <c r="L318" i="1" s="1"/>
  <c r="K739" i="1"/>
  <c r="L739" i="1" s="1"/>
  <c r="K861" i="1"/>
  <c r="L861" i="1" s="1"/>
  <c r="K919" i="1"/>
  <c r="L919" i="1" s="1"/>
  <c r="K1101" i="1"/>
  <c r="L1101" i="1" s="1"/>
  <c r="K1191" i="1"/>
  <c r="L1191" i="1" s="1"/>
  <c r="K1221" i="1"/>
  <c r="L1221" i="1" s="1"/>
  <c r="K1311" i="1"/>
  <c r="L1311" i="1" s="1"/>
  <c r="K1340" i="1"/>
  <c r="L1340" i="1" s="1"/>
  <c r="K1430" i="1"/>
  <c r="L1430" i="1" s="1"/>
  <c r="K1491" i="1"/>
  <c r="L1491" i="1" s="1"/>
  <c r="K1520" i="1"/>
  <c r="L1520" i="1" s="1"/>
  <c r="K1549" i="1"/>
  <c r="L1549" i="1" s="1"/>
  <c r="K1579" i="1"/>
  <c r="L1579" i="1" s="1"/>
  <c r="K1610" i="1"/>
  <c r="L1610" i="1" s="1"/>
  <c r="K1639" i="1"/>
  <c r="L1639" i="1" s="1"/>
  <c r="K1669" i="1"/>
  <c r="L1669" i="1" s="1"/>
  <c r="K1729" i="1"/>
  <c r="L1729" i="1" s="1"/>
  <c r="K1759" i="1"/>
  <c r="L1759" i="1" s="1"/>
  <c r="K1817" i="1"/>
  <c r="L1817" i="1" s="1"/>
  <c r="K1849" i="1"/>
  <c r="L1849" i="1" s="1"/>
  <c r="K1907" i="1"/>
  <c r="L1907" i="1" s="1"/>
  <c r="K1929" i="1"/>
  <c r="L1929" i="1" s="1"/>
  <c r="K1089" i="1"/>
  <c r="L1089" i="1" s="1"/>
  <c r="K1059" i="1"/>
  <c r="L1059" i="1" s="1"/>
  <c r="K1001" i="1"/>
  <c r="L1001" i="1" s="1"/>
  <c r="K969" i="1"/>
  <c r="L969" i="1" s="1"/>
  <c r="K911" i="1"/>
  <c r="L911" i="1" s="1"/>
  <c r="K879" i="1"/>
  <c r="L879" i="1" s="1"/>
  <c r="K821" i="1"/>
  <c r="L821" i="1" s="1"/>
  <c r="K791" i="1"/>
  <c r="L791" i="1" s="1"/>
  <c r="K731" i="1"/>
  <c r="L731" i="1" s="1"/>
  <c r="K701" i="1"/>
  <c r="L701" i="1" s="1"/>
  <c r="K641" i="1"/>
  <c r="L641" i="1" s="1"/>
  <c r="K611" i="1"/>
  <c r="L611" i="1" s="1"/>
  <c r="K553" i="1"/>
  <c r="L553" i="1" s="1"/>
  <c r="K521" i="1"/>
  <c r="L521" i="1" s="1"/>
  <c r="K483" i="1"/>
  <c r="L483" i="1" s="1"/>
  <c r="K437" i="1"/>
  <c r="L437" i="1" s="1"/>
  <c r="K393" i="1"/>
  <c r="L393" i="1" s="1"/>
  <c r="K347" i="1"/>
  <c r="L347" i="1" s="1"/>
  <c r="K303" i="1"/>
  <c r="L303" i="1" s="1"/>
  <c r="K259" i="1"/>
  <c r="L259" i="1" s="1"/>
  <c r="K213" i="1"/>
  <c r="L213" i="1" s="1"/>
  <c r="K169" i="1"/>
  <c r="L169" i="1" s="1"/>
  <c r="K123" i="1"/>
  <c r="L123" i="1" s="1"/>
  <c r="K74" i="1"/>
  <c r="L74" i="1" s="1"/>
  <c r="K15" i="1"/>
  <c r="L15" i="1" s="1"/>
  <c r="K939" i="1"/>
  <c r="L939" i="1" s="1"/>
  <c r="K907" i="1"/>
  <c r="L907" i="1" s="1"/>
  <c r="K849" i="1"/>
  <c r="L849" i="1" s="1"/>
  <c r="K819" i="1"/>
  <c r="L819" i="1" s="1"/>
  <c r="K759" i="1"/>
  <c r="L759" i="1" s="1"/>
  <c r="K729" i="1"/>
  <c r="L729" i="1" s="1"/>
  <c r="K669" i="1"/>
  <c r="L669" i="1" s="1"/>
  <c r="K639" i="1"/>
  <c r="L639" i="1" s="1"/>
  <c r="K581" i="1"/>
  <c r="L581" i="1" s="1"/>
  <c r="K549" i="1"/>
  <c r="L549" i="1" s="1"/>
  <c r="K346" i="1"/>
  <c r="L346" i="1" s="1"/>
  <c r="K302" i="1"/>
  <c r="L302" i="1" s="1"/>
  <c r="K256" i="1"/>
  <c r="L256" i="1" s="1"/>
  <c r="K212" i="1"/>
  <c r="L212" i="1" s="1"/>
  <c r="K168" i="1"/>
  <c r="L168" i="1" s="1"/>
  <c r="K122" i="1"/>
  <c r="L122" i="1" s="1"/>
  <c r="K73" i="1"/>
  <c r="L73" i="1" s="1"/>
  <c r="K14" i="1"/>
  <c r="L14" i="1" s="1"/>
  <c r="K491" i="1"/>
  <c r="L491" i="1" s="1"/>
  <c r="K469" i="1"/>
  <c r="L469" i="1" s="1"/>
  <c r="K445" i="1"/>
  <c r="L445" i="1" s="1"/>
  <c r="K423" i="1"/>
  <c r="L423" i="1" s="1"/>
  <c r="K401" i="1"/>
  <c r="L401" i="1" s="1"/>
  <c r="K379" i="1"/>
  <c r="L379" i="1" s="1"/>
  <c r="K357" i="1"/>
  <c r="L357" i="1" s="1"/>
  <c r="K333" i="1"/>
  <c r="L333" i="1" s="1"/>
  <c r="K311" i="1"/>
  <c r="L311" i="1" s="1"/>
  <c r="K289" i="1"/>
  <c r="L289" i="1" s="1"/>
  <c r="K267" i="1"/>
  <c r="L267" i="1" s="1"/>
  <c r="K245" i="1"/>
  <c r="L245" i="1" s="1"/>
  <c r="K221" i="1"/>
  <c r="L221" i="1" s="1"/>
  <c r="K199" i="1"/>
  <c r="L199" i="1" s="1"/>
  <c r="K177" i="1"/>
  <c r="L177" i="1" s="1"/>
  <c r="K155" i="1"/>
  <c r="L155" i="1" s="1"/>
  <c r="K133" i="1"/>
  <c r="L133" i="1" s="1"/>
  <c r="K109" i="1"/>
  <c r="L109" i="1" s="1"/>
  <c r="K86" i="1"/>
  <c r="L86" i="1" s="1"/>
  <c r="K57" i="1"/>
  <c r="L57" i="1" s="1"/>
  <c r="K25" i="1"/>
  <c r="L25" i="1" s="1"/>
  <c r="K1094" i="1"/>
  <c r="L1094" i="1" s="1"/>
  <c r="K1072" i="1"/>
  <c r="L1072" i="1" s="1"/>
  <c r="K1050" i="1"/>
  <c r="L1050" i="1" s="1"/>
  <c r="K1026" i="1"/>
  <c r="L1026" i="1" s="1"/>
  <c r="K1004" i="1"/>
  <c r="L1004" i="1" s="1"/>
  <c r="K982" i="1"/>
  <c r="L982" i="1" s="1"/>
  <c r="K960" i="1"/>
  <c r="L960" i="1" s="1"/>
  <c r="K938" i="1"/>
  <c r="L938" i="1" s="1"/>
  <c r="K914" i="1"/>
  <c r="L914" i="1" s="1"/>
  <c r="K892" i="1"/>
  <c r="L892" i="1" s="1"/>
  <c r="K870" i="1"/>
  <c r="L870" i="1" s="1"/>
  <c r="K848" i="1"/>
  <c r="L848" i="1" s="1"/>
  <c r="K826" i="1"/>
  <c r="L826" i="1" s="1"/>
  <c r="K802" i="1"/>
  <c r="L802" i="1" s="1"/>
  <c r="K780" i="1"/>
  <c r="L780" i="1" s="1"/>
  <c r="K758" i="1"/>
  <c r="L758" i="1" s="1"/>
  <c r="K736" i="1"/>
  <c r="L736" i="1" s="1"/>
  <c r="K714" i="1"/>
  <c r="L714" i="1" s="1"/>
  <c r="K690" i="1"/>
  <c r="L690" i="1" s="1"/>
  <c r="K668" i="1"/>
  <c r="L668" i="1" s="1"/>
  <c r="K646" i="1"/>
  <c r="L646" i="1" s="1"/>
  <c r="K624" i="1"/>
  <c r="L624" i="1" s="1"/>
  <c r="K602" i="1"/>
  <c r="L602" i="1" s="1"/>
  <c r="K578" i="1"/>
  <c r="L578" i="1" s="1"/>
  <c r="K556" i="1"/>
  <c r="L556" i="1" s="1"/>
  <c r="K534" i="1"/>
  <c r="L534" i="1" s="1"/>
  <c r="K512" i="1"/>
  <c r="L512" i="1" s="1"/>
  <c r="K490" i="1"/>
  <c r="L490" i="1" s="1"/>
  <c r="K466" i="1"/>
  <c r="L466" i="1" s="1"/>
  <c r="K444" i="1"/>
  <c r="L444" i="1" s="1"/>
  <c r="K422" i="1"/>
  <c r="L422" i="1" s="1"/>
  <c r="K400" i="1"/>
  <c r="L400" i="1" s="1"/>
  <c r="K378" i="1"/>
  <c r="L378" i="1" s="1"/>
  <c r="K354" i="1"/>
  <c r="L354" i="1" s="1"/>
  <c r="K332" i="1"/>
  <c r="L332" i="1" s="1"/>
  <c r="K310" i="1"/>
  <c r="L310" i="1" s="1"/>
  <c r="K288" i="1"/>
  <c r="L288" i="1" s="1"/>
  <c r="K266" i="1"/>
  <c r="L266" i="1" s="1"/>
  <c r="K242" i="1"/>
  <c r="L242" i="1" s="1"/>
  <c r="K220" i="1"/>
  <c r="L220" i="1" s="1"/>
  <c r="K198" i="1"/>
  <c r="L198" i="1" s="1"/>
  <c r="K176" i="1"/>
  <c r="L176" i="1" s="1"/>
  <c r="K154" i="1"/>
  <c r="L154" i="1" s="1"/>
  <c r="K130" i="1"/>
  <c r="L130" i="1" s="1"/>
  <c r="K108" i="1"/>
  <c r="L108" i="1" s="1"/>
  <c r="K85" i="1"/>
  <c r="L85" i="1" s="1"/>
  <c r="K53" i="1"/>
  <c r="L53" i="1" s="1"/>
  <c r="K24" i="1"/>
  <c r="L24" i="1" s="1"/>
  <c r="K88" i="1"/>
  <c r="L88" i="1" s="1"/>
  <c r="K66" i="1"/>
  <c r="L66" i="1" s="1"/>
  <c r="K44" i="1"/>
  <c r="L44" i="1" s="1"/>
  <c r="K22" i="1"/>
  <c r="L22" i="1" s="1"/>
  <c r="K21" i="1"/>
  <c r="L21" i="1" s="1"/>
  <c r="K511" i="1"/>
  <c r="L511" i="1" s="1"/>
  <c r="K833" i="1"/>
  <c r="L833" i="1" s="1"/>
  <c r="K1099" i="1"/>
  <c r="L1099" i="1" s="1"/>
  <c r="K1256" i="1"/>
  <c r="L1256" i="1" s="1"/>
  <c r="K1417" i="1"/>
  <c r="L1417" i="1" s="1"/>
  <c r="K1576" i="1"/>
  <c r="L1576" i="1" s="1"/>
  <c r="K1733" i="1"/>
  <c r="K1734" i="1" s="1"/>
  <c r="K1735" i="1" s="1"/>
  <c r="K2136" i="1"/>
  <c r="L2136" i="1" s="1"/>
  <c r="K52" i="1"/>
  <c r="L52" i="1" s="1"/>
  <c r="K533" i="1"/>
  <c r="L533" i="1" s="1"/>
  <c r="K851" i="1"/>
  <c r="L851" i="1" s="1"/>
  <c r="K1107" i="1"/>
  <c r="L1107" i="1" s="1"/>
  <c r="K1268" i="1"/>
  <c r="L1268" i="1" s="1"/>
  <c r="K1425" i="1"/>
  <c r="L1425" i="1" s="1"/>
  <c r="K1585" i="1"/>
  <c r="L1585" i="1" s="1"/>
  <c r="K1745" i="1"/>
  <c r="L1745" i="1" s="1"/>
  <c r="K1905" i="1"/>
  <c r="L1905" i="1" s="1"/>
  <c r="K2024" i="1"/>
  <c r="L2024" i="1" s="1"/>
  <c r="K2144" i="1"/>
  <c r="L2144" i="1" s="1"/>
  <c r="K95" i="1"/>
  <c r="L95" i="1" s="1"/>
  <c r="K869" i="1"/>
  <c r="L869" i="1" s="1"/>
  <c r="K1117" i="1"/>
  <c r="L1117" i="1" s="1"/>
  <c r="K1277" i="1"/>
  <c r="L1277" i="1" s="1"/>
  <c r="K1436" i="1"/>
  <c r="L1436" i="1" s="1"/>
  <c r="K1597" i="1"/>
  <c r="L1597" i="1" s="1"/>
  <c r="K2032" i="1"/>
  <c r="L2032" i="1" s="1"/>
  <c r="K128" i="1"/>
  <c r="L128" i="1" s="1"/>
  <c r="K891" i="1"/>
  <c r="L891" i="1" s="1"/>
  <c r="K1128" i="1"/>
  <c r="L1128" i="1" s="1"/>
  <c r="K1285" i="1"/>
  <c r="L1285" i="1" s="1"/>
  <c r="K1446" i="1"/>
  <c r="L1446" i="1" s="1"/>
  <c r="K1605" i="1"/>
  <c r="L1605" i="1" s="1"/>
  <c r="K1765" i="1"/>
  <c r="L1765" i="1" s="1"/>
  <c r="K2158" i="1"/>
  <c r="L2158" i="1" s="1"/>
  <c r="K1984" i="1"/>
  <c r="L1984" i="1" s="1"/>
  <c r="K1940" i="1"/>
  <c r="L1940" i="1" s="1"/>
  <c r="K1891" i="1"/>
  <c r="L1891" i="1" s="1"/>
  <c r="K1843" i="1"/>
  <c r="L1843" i="1" s="1"/>
  <c r="K1793" i="1"/>
  <c r="L1793" i="1" s="1"/>
  <c r="K1753" i="1"/>
  <c r="L1753" i="1" s="1"/>
  <c r="K1711" i="1"/>
  <c r="L1711" i="1" s="1"/>
  <c r="K1554" i="1"/>
  <c r="L1554" i="1" s="1"/>
  <c r="K1414" i="1"/>
  <c r="L1414" i="1" s="1"/>
  <c r="K1275" i="1"/>
  <c r="L1275" i="1" s="1"/>
  <c r="K1156" i="1"/>
  <c r="L1156" i="1" s="1"/>
  <c r="K1095" i="1"/>
  <c r="L1095" i="1" s="1"/>
  <c r="K987" i="1"/>
  <c r="L987" i="1" s="1"/>
  <c r="K823" i="1"/>
  <c r="L823" i="1" s="1"/>
  <c r="K749" i="1"/>
  <c r="L749" i="1" s="1"/>
  <c r="K667" i="1"/>
  <c r="L667" i="1" s="1"/>
  <c r="K585" i="1"/>
  <c r="L585" i="1" s="1"/>
  <c r="K387" i="1"/>
  <c r="L387" i="1" s="1"/>
  <c r="K2214" i="1"/>
  <c r="L2214" i="1" s="1"/>
  <c r="K2156" i="1"/>
  <c r="L2156" i="1" s="1"/>
  <c r="K2044" i="1"/>
  <c r="L2044" i="1" s="1"/>
  <c r="K1990" i="1"/>
  <c r="L1990" i="1" s="1"/>
  <c r="K1899" i="1"/>
  <c r="L1899" i="1" s="1"/>
  <c r="K1859" i="1"/>
  <c r="L1859" i="1" s="1"/>
  <c r="K1821" i="1"/>
  <c r="L1821" i="1" s="1"/>
  <c r="K1779" i="1"/>
  <c r="L1779" i="1" s="1"/>
  <c r="K1739" i="1"/>
  <c r="L1739" i="1" s="1"/>
  <c r="K1701" i="1"/>
  <c r="L1701" i="1" s="1"/>
  <c r="K1649" i="1"/>
  <c r="L1649" i="1" s="1"/>
  <c r="K1611" i="1"/>
  <c r="L1611" i="1" s="1"/>
  <c r="K1570" i="1"/>
  <c r="L1570" i="1" s="1"/>
  <c r="K1530" i="1"/>
  <c r="L1530" i="1" s="1"/>
  <c r="K1492" i="1"/>
  <c r="L1492" i="1" s="1"/>
  <c r="K1451" i="1"/>
  <c r="L1451" i="1" s="1"/>
  <c r="K1411" i="1"/>
  <c r="L1411" i="1" s="1"/>
  <c r="K1373" i="1"/>
  <c r="L1373" i="1" s="1"/>
  <c r="K1331" i="1"/>
  <c r="L1331" i="1" s="1"/>
  <c r="K1291" i="1"/>
  <c r="L1291" i="1" s="1"/>
  <c r="K1253" i="1"/>
  <c r="L1253" i="1" s="1"/>
  <c r="K1212" i="1"/>
  <c r="L1212" i="1" s="1"/>
  <c r="K1172" i="1"/>
  <c r="L1172" i="1" s="1"/>
  <c r="K1134" i="1"/>
  <c r="L1134" i="1" s="1"/>
  <c r="K1039" i="1"/>
  <c r="L1039" i="1" s="1"/>
  <c r="K981" i="1"/>
  <c r="L981" i="1" s="1"/>
  <c r="K899" i="1"/>
  <c r="L899" i="1" s="1"/>
  <c r="K743" i="1"/>
  <c r="L743" i="1" s="1"/>
  <c r="K583" i="1"/>
  <c r="L583" i="1" s="1"/>
  <c r="K499" i="1"/>
  <c r="L499" i="1" s="1"/>
  <c r="K375" i="1"/>
  <c r="L375" i="1" s="1"/>
  <c r="K262" i="1"/>
  <c r="L262" i="1" s="1"/>
  <c r="K141" i="1"/>
  <c r="L141" i="1" s="1"/>
  <c r="K2252" i="1"/>
  <c r="L2252" i="1" s="1"/>
  <c r="K2186" i="1"/>
  <c r="L2186" i="1" s="1"/>
  <c r="K1653" i="1"/>
  <c r="L1653" i="1" s="1"/>
  <c r="K1613" i="1"/>
  <c r="L1613" i="1" s="1"/>
  <c r="K1575" i="1"/>
  <c r="L1575" i="1" s="1"/>
  <c r="K1523" i="1"/>
  <c r="L1523" i="1" s="1"/>
  <c r="K1464" i="1"/>
  <c r="L1464" i="1" s="1"/>
  <c r="K1403" i="1"/>
  <c r="L1403" i="1" s="1"/>
  <c r="K1353" i="1"/>
  <c r="L1353" i="1" s="1"/>
  <c r="K1295" i="1"/>
  <c r="L1295" i="1" s="1"/>
  <c r="K1234" i="1"/>
  <c r="L1234" i="1" s="1"/>
  <c r="K1185" i="1"/>
  <c r="L1185" i="1" s="1"/>
  <c r="K330" i="1"/>
  <c r="L330" i="1" s="1"/>
  <c r="K207" i="1"/>
  <c r="L207" i="1" s="1"/>
  <c r="K81" i="1"/>
  <c r="L81" i="1" s="1"/>
  <c r="K2236" i="1"/>
  <c r="L2236" i="1" s="1"/>
  <c r="K2178" i="1"/>
  <c r="L2178" i="1" s="1"/>
  <c r="K2058" i="1"/>
  <c r="L2058" i="1" s="1"/>
  <c r="K1681" i="1"/>
  <c r="L1681" i="1" s="1"/>
  <c r="K2198" i="1"/>
  <c r="L2198" i="1" s="1"/>
  <c r="K2108" i="1"/>
  <c r="L2108" i="1" s="1"/>
  <c r="K2018" i="1"/>
  <c r="L2018" i="1" s="1"/>
  <c r="K1897" i="1"/>
  <c r="L1897" i="1" s="1"/>
  <c r="K1857" i="1"/>
  <c r="L1857" i="1" s="1"/>
  <c r="K1697" i="1"/>
  <c r="L1697" i="1" s="1"/>
  <c r="K1659" i="1"/>
  <c r="L1659" i="1" s="1"/>
  <c r="K1619" i="1"/>
  <c r="L1619" i="1" s="1"/>
  <c r="K1577" i="1"/>
  <c r="L1577" i="1" s="1"/>
  <c r="K1537" i="1"/>
  <c r="L1537" i="1" s="1"/>
  <c r="K1499" i="1"/>
  <c r="L1499" i="1" s="1"/>
  <c r="K1458" i="1"/>
  <c r="L1458" i="1" s="1"/>
  <c r="K1418" i="1"/>
  <c r="L1418" i="1" s="1"/>
  <c r="K1380" i="1"/>
  <c r="L1380" i="1" s="1"/>
  <c r="K1339" i="1"/>
  <c r="L1339" i="1" s="1"/>
  <c r="K1299" i="1"/>
  <c r="L1299" i="1" s="1"/>
  <c r="K1261" i="1"/>
  <c r="L1261" i="1" s="1"/>
  <c r="K1219" i="1"/>
  <c r="L1219" i="1" s="1"/>
  <c r="K1179" i="1"/>
  <c r="L1179" i="1" s="1"/>
  <c r="K1141" i="1"/>
  <c r="L1141" i="1" s="1"/>
  <c r="K1100" i="1"/>
  <c r="L1100" i="1" s="1"/>
  <c r="K1047" i="1"/>
  <c r="L1047" i="1" s="1"/>
  <c r="K913" i="1"/>
  <c r="L913" i="1" s="1"/>
  <c r="K837" i="1"/>
  <c r="L837" i="1" s="1"/>
  <c r="K757" i="1"/>
  <c r="L757" i="1" s="1"/>
  <c r="K675" i="1"/>
  <c r="L675" i="1" s="1"/>
  <c r="K519" i="1"/>
  <c r="L519" i="1" s="1"/>
  <c r="K399" i="1"/>
  <c r="L399" i="1" s="1"/>
  <c r="K284" i="1"/>
  <c r="L284" i="1" s="1"/>
  <c r="K163" i="1"/>
  <c r="L163" i="1" s="1"/>
  <c r="K23" i="1"/>
  <c r="L23" i="1" s="1"/>
  <c r="K771" i="1"/>
  <c r="L771" i="1" s="1"/>
  <c r="K829" i="1"/>
  <c r="L829" i="1" s="1"/>
  <c r="K1145" i="1"/>
  <c r="L1145" i="1" s="1"/>
  <c r="K1235" i="1"/>
  <c r="L1235" i="1" s="1"/>
  <c r="K1386" i="1"/>
  <c r="L1386" i="1" s="1"/>
  <c r="K1474" i="1"/>
  <c r="L1474" i="1" s="1"/>
  <c r="K1625" i="1"/>
  <c r="L1625" i="1" s="1"/>
  <c r="K1683" i="1"/>
  <c r="L1683" i="1" s="1"/>
  <c r="K1803" i="1"/>
  <c r="L1803" i="1" s="1"/>
  <c r="K7" i="1"/>
  <c r="L7" i="1" s="1"/>
  <c r="K206" i="1"/>
  <c r="L206" i="1" s="1"/>
  <c r="K296" i="1"/>
  <c r="L296" i="1" s="1"/>
  <c r="K725" i="1"/>
  <c r="L725" i="1" s="1"/>
  <c r="K140" i="1"/>
  <c r="L140" i="1" s="1"/>
  <c r="K228" i="1"/>
  <c r="L228" i="1" s="1"/>
  <c r="K561" i="1"/>
  <c r="L561" i="1" s="1"/>
  <c r="K681" i="1"/>
  <c r="L681" i="1" s="1"/>
  <c r="K1131" i="1"/>
  <c r="L1131" i="1" s="1"/>
  <c r="K1162" i="1"/>
  <c r="L1162" i="1" s="1"/>
  <c r="K1250" i="1"/>
  <c r="L1250" i="1" s="1"/>
  <c r="K1281" i="1"/>
  <c r="L1281" i="1" s="1"/>
  <c r="K1369" i="1"/>
  <c r="L1369" i="1" s="1"/>
  <c r="K1401" i="1"/>
  <c r="L1401" i="1" s="1"/>
  <c r="K1459" i="1"/>
  <c r="L1459" i="1" s="1"/>
  <c r="K65" i="1"/>
  <c r="L65" i="1" s="1"/>
  <c r="K162" i="1"/>
  <c r="L162" i="1" s="1"/>
  <c r="K252" i="1"/>
  <c r="L252" i="1" s="1"/>
  <c r="K340" i="1"/>
  <c r="L340" i="1" s="1"/>
  <c r="K515" i="1"/>
  <c r="K637" i="1"/>
  <c r="L637" i="1" s="1"/>
  <c r="K695" i="1"/>
  <c r="L695" i="1" s="1"/>
  <c r="K815" i="1"/>
  <c r="L815" i="1" s="1"/>
  <c r="K875" i="1"/>
  <c r="L875" i="1" s="1"/>
  <c r="K995" i="1"/>
  <c r="L995" i="1" s="1"/>
  <c r="K1033" i="1"/>
  <c r="K1073" i="1"/>
  <c r="L1073" i="1" s="1"/>
  <c r="K1109" i="1"/>
  <c r="L1109" i="1" s="1"/>
  <c r="K1138" i="1"/>
  <c r="L1138" i="1" s="1"/>
  <c r="K1169" i="1"/>
  <c r="L1169" i="1" s="1"/>
  <c r="K1199" i="1"/>
  <c r="L1199" i="1" s="1"/>
  <c r="K1228" i="1"/>
  <c r="L1228" i="1" s="1"/>
  <c r="K1257" i="1"/>
  <c r="L1257" i="1" s="1"/>
  <c r="K1289" i="1"/>
  <c r="L1289" i="1" s="1"/>
  <c r="K1318" i="1"/>
  <c r="L1318" i="1" s="1"/>
  <c r="K1347" i="1"/>
  <c r="L1347" i="1" s="1"/>
  <c r="K1379" i="1"/>
  <c r="L1379" i="1" s="1"/>
  <c r="K1408" i="1"/>
  <c r="L1408" i="1" s="1"/>
  <c r="K1437" i="1"/>
  <c r="L1437" i="1" s="1"/>
  <c r="K1467" i="1"/>
  <c r="K1498" i="1"/>
  <c r="L1498" i="1" s="1"/>
  <c r="K1527" i="1"/>
  <c r="L1527" i="1" s="1"/>
  <c r="K1557" i="1"/>
  <c r="L1557" i="1" s="1"/>
  <c r="K1586" i="1"/>
  <c r="L1586" i="1" s="1"/>
  <c r="K1617" i="1"/>
  <c r="L1617" i="1" s="1"/>
  <c r="K1647" i="1"/>
  <c r="L1647" i="1" s="1"/>
  <c r="K1705" i="1"/>
  <c r="L1705" i="1" s="1"/>
  <c r="K1737" i="1"/>
  <c r="L1737" i="1" s="1"/>
  <c r="K1795" i="1"/>
  <c r="L1795" i="1" s="1"/>
  <c r="K1827" i="1"/>
  <c r="L1827" i="1" s="1"/>
  <c r="K1885" i="1"/>
  <c r="L1885" i="1" s="1"/>
  <c r="K1913" i="1"/>
  <c r="L1913" i="1" s="1"/>
  <c r="K1935" i="1"/>
  <c r="L1935" i="1" s="1"/>
  <c r="K1957" i="1"/>
  <c r="K1981" i="1"/>
  <c r="L1981" i="1" s="1"/>
  <c r="K2003" i="1"/>
  <c r="L2003" i="1" s="1"/>
  <c r="K2025" i="1"/>
  <c r="L2025" i="1" s="1"/>
  <c r="K2047" i="1"/>
  <c r="L2047" i="1" s="1"/>
  <c r="K2069" i="1"/>
  <c r="L2069" i="1" s="1"/>
  <c r="K2093" i="1"/>
  <c r="L2093" i="1" s="1"/>
  <c r="K2115" i="1"/>
  <c r="L2115" i="1" s="1"/>
  <c r="K2137" i="1"/>
  <c r="L2137" i="1" s="1"/>
  <c r="K2159" i="1"/>
  <c r="L2159" i="1" s="1"/>
  <c r="K2181" i="1"/>
  <c r="L2181" i="1" s="1"/>
  <c r="K2205" i="1"/>
  <c r="L2205" i="1" s="1"/>
  <c r="K2227" i="1"/>
  <c r="L2227" i="1" s="1"/>
  <c r="K2249" i="1"/>
  <c r="L2249" i="1" s="1"/>
  <c r="K1081" i="1"/>
  <c r="L1081" i="1" s="1"/>
  <c r="K1023" i="1"/>
  <c r="L1023" i="1" s="1"/>
  <c r="K991" i="1"/>
  <c r="K933" i="1"/>
  <c r="L933" i="1" s="1"/>
  <c r="K903" i="1"/>
  <c r="L903" i="1" s="1"/>
  <c r="K843" i="1"/>
  <c r="L843" i="1" s="1"/>
  <c r="K813" i="1"/>
  <c r="L813" i="1" s="1"/>
  <c r="K753" i="1"/>
  <c r="L753" i="1" s="1"/>
  <c r="K723" i="1"/>
  <c r="L723" i="1" s="1"/>
  <c r="K665" i="1"/>
  <c r="L665" i="1" s="1"/>
  <c r="K633" i="1"/>
  <c r="L633" i="1" s="1"/>
  <c r="K575" i="1"/>
  <c r="L575" i="1" s="1"/>
  <c r="K543" i="1"/>
  <c r="L543" i="1" s="1"/>
  <c r="K471" i="1"/>
  <c r="L471" i="1" s="1"/>
  <c r="K427" i="1"/>
  <c r="L427" i="1" s="1"/>
  <c r="K381" i="1"/>
  <c r="L381" i="1" s="1"/>
  <c r="K337" i="1"/>
  <c r="L337" i="1" s="1"/>
  <c r="K291" i="1"/>
  <c r="L291" i="1" s="1"/>
  <c r="K247" i="1"/>
  <c r="L247" i="1" s="1"/>
  <c r="K203" i="1"/>
  <c r="L203" i="1" s="1"/>
  <c r="K157" i="1"/>
  <c r="L157" i="1" s="1"/>
  <c r="K113" i="1"/>
  <c r="L113" i="1" s="1"/>
  <c r="K59" i="1"/>
  <c r="L59" i="1" s="1"/>
  <c r="K961" i="1"/>
  <c r="L961" i="1" s="1"/>
  <c r="K931" i="1"/>
  <c r="L931" i="1" s="1"/>
  <c r="K871" i="1"/>
  <c r="L871" i="1" s="1"/>
  <c r="K841" i="1"/>
  <c r="L841" i="1" s="1"/>
  <c r="K781" i="1"/>
  <c r="L781" i="1" s="1"/>
  <c r="K751" i="1"/>
  <c r="L751" i="1" s="1"/>
  <c r="K693" i="1"/>
  <c r="L693" i="1" s="1"/>
  <c r="K661" i="1"/>
  <c r="L661" i="1" s="1"/>
  <c r="K603" i="1"/>
  <c r="L603" i="1" s="1"/>
  <c r="K571" i="1"/>
  <c r="K513" i="1"/>
  <c r="L513" i="1" s="1"/>
  <c r="K336" i="1"/>
  <c r="L336" i="1" s="1"/>
  <c r="K290" i="1"/>
  <c r="L290" i="1" s="1"/>
  <c r="K246" i="1"/>
  <c r="L246" i="1" s="1"/>
  <c r="K200" i="1"/>
  <c r="L200" i="1" s="1"/>
  <c r="K156" i="1"/>
  <c r="L156" i="1" s="1"/>
  <c r="K112" i="1"/>
  <c r="L112" i="1" s="1"/>
  <c r="K58" i="1"/>
  <c r="L58" i="1" s="1"/>
  <c r="K507" i="1"/>
  <c r="L507" i="1" s="1"/>
  <c r="K485" i="1"/>
  <c r="L485" i="1" s="1"/>
  <c r="K463" i="1"/>
  <c r="L463" i="1" s="1"/>
  <c r="K441" i="1"/>
  <c r="L441" i="1" s="1"/>
  <c r="K417" i="1"/>
  <c r="L417" i="1" s="1"/>
  <c r="K395" i="1"/>
  <c r="L395" i="1" s="1"/>
  <c r="K373" i="1"/>
  <c r="L373" i="1" s="1"/>
  <c r="K351" i="1"/>
  <c r="L351" i="1" s="1"/>
  <c r="K329" i="1"/>
  <c r="L329" i="1" s="1"/>
  <c r="K305" i="1"/>
  <c r="L305" i="1" s="1"/>
  <c r="K283" i="1"/>
  <c r="L283" i="1" s="1"/>
  <c r="K261" i="1"/>
  <c r="L261" i="1" s="1"/>
  <c r="K239" i="1"/>
  <c r="L239" i="1" s="1"/>
  <c r="K217" i="1"/>
  <c r="L217" i="1" s="1"/>
  <c r="K193" i="1"/>
  <c r="L193" i="1" s="1"/>
  <c r="K171" i="1"/>
  <c r="L171" i="1" s="1"/>
  <c r="K149" i="1"/>
  <c r="L149" i="1" s="1"/>
  <c r="K127" i="1"/>
  <c r="L127" i="1" s="1"/>
  <c r="K105" i="1"/>
  <c r="L105" i="1" s="1"/>
  <c r="K79" i="1"/>
  <c r="L79" i="1" s="1"/>
  <c r="K49" i="1"/>
  <c r="L49" i="1" s="1"/>
  <c r="K18" i="1"/>
  <c r="K1088" i="1"/>
  <c r="L1088" i="1" s="1"/>
  <c r="K1066" i="1"/>
  <c r="L1066" i="1" s="1"/>
  <c r="K1044" i="1"/>
  <c r="L1044" i="1" s="1"/>
  <c r="K1022" i="1"/>
  <c r="L1022" i="1" s="1"/>
  <c r="K998" i="1"/>
  <c r="L998" i="1" s="1"/>
  <c r="K976" i="1"/>
  <c r="L976" i="1" s="1"/>
  <c r="K954" i="1"/>
  <c r="L954" i="1" s="1"/>
  <c r="K932" i="1"/>
  <c r="L932" i="1" s="1"/>
  <c r="K910" i="1"/>
  <c r="L910" i="1" s="1"/>
  <c r="K886" i="1"/>
  <c r="K864" i="1"/>
  <c r="L864" i="1" s="1"/>
  <c r="K842" i="1"/>
  <c r="L842" i="1" s="1"/>
  <c r="K820" i="1"/>
  <c r="L820" i="1" s="1"/>
  <c r="K798" i="1"/>
  <c r="L798" i="1" s="1"/>
  <c r="K774" i="1"/>
  <c r="L774" i="1" s="1"/>
  <c r="K752" i="1"/>
  <c r="L752" i="1" s="1"/>
  <c r="K730" i="1"/>
  <c r="L730" i="1" s="1"/>
  <c r="K708" i="1"/>
  <c r="L708" i="1" s="1"/>
  <c r="K686" i="1"/>
  <c r="L686" i="1" s="1"/>
  <c r="K662" i="1"/>
  <c r="L662" i="1" s="1"/>
  <c r="K640" i="1"/>
  <c r="L640" i="1" s="1"/>
  <c r="K618" i="1"/>
  <c r="L618" i="1" s="1"/>
  <c r="K596" i="1"/>
  <c r="L596" i="1" s="1"/>
  <c r="K574" i="1"/>
  <c r="L574" i="1" s="1"/>
  <c r="K550" i="1"/>
  <c r="L550" i="1" s="1"/>
  <c r="K528" i="1"/>
  <c r="L528" i="1" s="1"/>
  <c r="K506" i="1"/>
  <c r="L506" i="1" s="1"/>
  <c r="K484" i="1"/>
  <c r="L484" i="1" s="1"/>
  <c r="K462" i="1"/>
  <c r="L462" i="1" s="1"/>
  <c r="K438" i="1"/>
  <c r="L438" i="1" s="1"/>
  <c r="K416" i="1"/>
  <c r="L416" i="1" s="1"/>
  <c r="K394" i="1"/>
  <c r="L394" i="1" s="1"/>
  <c r="K372" i="1"/>
  <c r="L372" i="1" s="1"/>
  <c r="K350" i="1"/>
  <c r="L350" i="1" s="1"/>
  <c r="K326" i="1"/>
  <c r="L326" i="1" s="1"/>
  <c r="K304" i="1"/>
  <c r="L304" i="1" s="1"/>
  <c r="K282" i="1"/>
  <c r="L282" i="1" s="1"/>
  <c r="K260" i="1"/>
  <c r="L260" i="1" s="1"/>
  <c r="K238" i="1"/>
  <c r="L238" i="1" s="1"/>
  <c r="K214" i="1"/>
  <c r="K192" i="1"/>
  <c r="L192" i="1" s="1"/>
  <c r="K170" i="1"/>
  <c r="L170" i="1" s="1"/>
  <c r="K148" i="1"/>
  <c r="L148" i="1" s="1"/>
  <c r="K126" i="1"/>
  <c r="L126" i="1" s="1"/>
  <c r="K102" i="1"/>
  <c r="L102" i="1" s="1"/>
  <c r="K77" i="1"/>
  <c r="L77" i="1" s="1"/>
  <c r="K46" i="1"/>
  <c r="L46" i="1" s="1"/>
  <c r="K17" i="1"/>
  <c r="L17" i="1" s="1"/>
  <c r="K84" i="1"/>
  <c r="L84" i="1" s="1"/>
  <c r="K60" i="1"/>
  <c r="L60" i="1" s="1"/>
  <c r="K38" i="1"/>
  <c r="L38" i="1" s="1"/>
  <c r="K16" i="1"/>
  <c r="L16" i="1" s="1"/>
  <c r="K151" i="1"/>
  <c r="L151" i="1" s="1"/>
  <c r="K1137" i="1"/>
  <c r="L1137" i="1" s="1"/>
  <c r="K1297" i="1"/>
  <c r="L1297" i="1" s="1"/>
  <c r="K1457" i="1"/>
  <c r="L1457" i="1" s="1"/>
  <c r="K1614" i="1"/>
  <c r="L1614" i="1" s="1"/>
  <c r="K1775" i="1"/>
  <c r="L1775" i="1" s="1"/>
  <c r="K1927" i="1"/>
  <c r="L1927" i="1" s="1"/>
  <c r="K2046" i="1"/>
  <c r="L2046" i="1" s="1"/>
  <c r="K2166" i="1"/>
  <c r="L2166" i="1" s="1"/>
  <c r="K185" i="1"/>
  <c r="L185" i="1" s="1"/>
  <c r="K613" i="1"/>
  <c r="L613" i="1" s="1"/>
  <c r="K1149" i="1"/>
  <c r="L1149" i="1" s="1"/>
  <c r="K1306" i="1"/>
  <c r="L1306" i="1" s="1"/>
  <c r="K1465" i="1"/>
  <c r="L1465" i="1" s="1"/>
  <c r="K1785" i="1"/>
  <c r="L1785" i="1" s="1"/>
  <c r="K1934" i="1"/>
  <c r="L1934" i="1" s="1"/>
  <c r="K2054" i="1"/>
  <c r="L2054" i="1" s="1"/>
  <c r="K218" i="1"/>
  <c r="L218" i="1" s="1"/>
  <c r="K631" i="1"/>
  <c r="L631" i="1" s="1"/>
  <c r="K1157" i="1"/>
  <c r="L1157" i="1" s="1"/>
  <c r="K1317" i="1"/>
  <c r="L1317" i="1" s="1"/>
  <c r="K1477" i="1"/>
  <c r="L1477" i="1" s="1"/>
  <c r="K1635" i="1"/>
  <c r="L1635" i="1" s="1"/>
  <c r="K2180" i="1"/>
  <c r="L2180" i="1" s="1"/>
  <c r="K241" i="1"/>
  <c r="L241" i="1" s="1"/>
  <c r="K653" i="1"/>
  <c r="L653" i="1" s="1"/>
  <c r="K973" i="1"/>
  <c r="L973" i="1" s="1"/>
  <c r="K1166" i="1"/>
  <c r="K1327" i="1"/>
  <c r="L1327" i="1" s="1"/>
  <c r="K1486" i="1"/>
  <c r="L1486" i="1" s="1"/>
  <c r="K1645" i="1"/>
  <c r="L1645" i="1" s="1"/>
  <c r="K2068" i="1"/>
  <c r="L2068" i="1" s="1"/>
  <c r="K2188" i="1"/>
  <c r="L2188" i="1" s="1"/>
  <c r="K2118" i="1"/>
  <c r="K2074" i="1"/>
  <c r="L2074" i="1" s="1"/>
  <c r="K2030" i="1"/>
  <c r="L2030" i="1" s="1"/>
  <c r="K1933" i="1"/>
  <c r="L1933" i="1" s="1"/>
  <c r="K1883" i="1"/>
  <c r="L1883" i="1" s="1"/>
  <c r="K1831" i="1"/>
  <c r="L1831" i="1" s="1"/>
  <c r="K1743" i="1"/>
  <c r="L1743" i="1" s="1"/>
  <c r="K1703" i="1"/>
  <c r="L1703" i="1" s="1"/>
  <c r="K1514" i="1"/>
  <c r="L1514" i="1" s="1"/>
  <c r="K1374" i="1"/>
  <c r="L1374" i="1" s="1"/>
  <c r="K1246" i="1"/>
  <c r="L1246" i="1" s="1"/>
  <c r="K1135" i="1"/>
  <c r="L1135" i="1" s="1"/>
  <c r="K1029" i="1"/>
  <c r="L1029" i="1" s="1"/>
  <c r="K967" i="1"/>
  <c r="L967" i="1" s="1"/>
  <c r="K807" i="1"/>
  <c r="L807" i="1" s="1"/>
  <c r="K645" i="1"/>
  <c r="L645" i="1" s="1"/>
  <c r="K569" i="1"/>
  <c r="L569" i="1" s="1"/>
  <c r="K477" i="1"/>
  <c r="L477" i="1" s="1"/>
  <c r="K353" i="1"/>
  <c r="L353" i="1" s="1"/>
  <c r="K2200" i="1"/>
  <c r="L2200" i="1" s="1"/>
  <c r="K2080" i="1"/>
  <c r="L2080" i="1" s="1"/>
  <c r="K1954" i="1"/>
  <c r="L1954" i="1" s="1"/>
  <c r="K1922" i="1"/>
  <c r="K1809" i="1"/>
  <c r="L1809" i="1" s="1"/>
  <c r="K1771" i="1"/>
  <c r="L1771" i="1" s="1"/>
  <c r="K1731" i="1"/>
  <c r="L1731" i="1" s="1"/>
  <c r="K1689" i="1"/>
  <c r="L1689" i="1" s="1"/>
  <c r="K1641" i="1"/>
  <c r="L1641" i="1" s="1"/>
  <c r="K1599" i="1"/>
  <c r="L1599" i="1" s="1"/>
  <c r="K1561" i="1"/>
  <c r="L1561" i="1" s="1"/>
  <c r="K1521" i="1"/>
  <c r="L1521" i="1" s="1"/>
  <c r="K1480" i="1"/>
  <c r="L1480" i="1" s="1"/>
  <c r="K1442" i="1"/>
  <c r="L1442" i="1" s="1"/>
  <c r="K1402" i="1"/>
  <c r="L1402" i="1" s="1"/>
  <c r="K1361" i="1"/>
  <c r="L1361" i="1" s="1"/>
  <c r="K1323" i="1"/>
  <c r="L1323" i="1" s="1"/>
  <c r="K1283" i="1"/>
  <c r="L1283" i="1" s="1"/>
  <c r="K1241" i="1"/>
  <c r="L1241" i="1" s="1"/>
  <c r="K1201" i="1"/>
  <c r="L1201" i="1" s="1"/>
  <c r="K1163" i="1"/>
  <c r="L1163" i="1" s="1"/>
  <c r="K1122" i="1"/>
  <c r="L1122" i="1" s="1"/>
  <c r="K1079" i="1"/>
  <c r="L1079" i="1" s="1"/>
  <c r="K1025" i="1"/>
  <c r="L1025" i="1" s="1"/>
  <c r="K959" i="1"/>
  <c r="L959" i="1" s="1"/>
  <c r="K883" i="1"/>
  <c r="L883" i="1" s="1"/>
  <c r="K801" i="1"/>
  <c r="L801" i="1" s="1"/>
  <c r="K721" i="1"/>
  <c r="L721" i="1" s="1"/>
  <c r="K563" i="1"/>
  <c r="L563" i="1" s="1"/>
  <c r="K465" i="1"/>
  <c r="L465" i="1" s="1"/>
  <c r="K352" i="1"/>
  <c r="L352" i="1" s="1"/>
  <c r="K231" i="1"/>
  <c r="L231" i="1" s="1"/>
  <c r="K107" i="1"/>
  <c r="L107" i="1" s="1"/>
  <c r="K2230" i="1"/>
  <c r="K1604" i="1"/>
  <c r="L1604" i="1" s="1"/>
  <c r="K1563" i="1"/>
  <c r="L1563" i="1" s="1"/>
  <c r="K1502" i="1"/>
  <c r="L1502" i="1" s="1"/>
  <c r="K1453" i="1"/>
  <c r="L1453" i="1" s="1"/>
  <c r="K1395" i="1"/>
  <c r="L1395" i="1" s="1"/>
  <c r="K1334" i="1"/>
  <c r="K1284" i="1"/>
  <c r="L1284" i="1" s="1"/>
  <c r="K1225" i="1"/>
  <c r="L1225" i="1" s="1"/>
  <c r="K1165" i="1"/>
  <c r="L1165" i="1" s="1"/>
  <c r="K297" i="1"/>
  <c r="L297" i="1" s="1"/>
  <c r="K175" i="1"/>
  <c r="L175" i="1" s="1"/>
  <c r="K51" i="1"/>
  <c r="L51" i="1" s="1"/>
  <c r="K2222" i="1"/>
  <c r="L2222" i="1" s="1"/>
  <c r="K2102" i="1"/>
  <c r="L2102" i="1" s="1"/>
  <c r="K2034" i="1"/>
  <c r="L2034" i="1" s="1"/>
  <c r="K2220" i="1"/>
  <c r="L2220" i="1" s="1"/>
  <c r="K2130" i="1"/>
  <c r="L2130" i="1" s="1"/>
  <c r="K2040" i="1"/>
  <c r="L2040" i="1" s="1"/>
  <c r="K1950" i="1"/>
  <c r="L1950" i="1" s="1"/>
  <c r="K1921" i="1"/>
  <c r="L1921" i="1" s="1"/>
  <c r="K1887" i="1"/>
  <c r="L1887" i="1" s="1"/>
  <c r="K1845" i="1"/>
  <c r="K1807" i="1"/>
  <c r="L1807" i="1" s="1"/>
  <c r="K1767" i="1"/>
  <c r="L1767" i="1" s="1"/>
  <c r="K1607" i="1"/>
  <c r="L1607" i="1" s="1"/>
  <c r="K1569" i="1"/>
  <c r="L1569" i="1" s="1"/>
  <c r="K1529" i="1"/>
  <c r="L1529" i="1" s="1"/>
  <c r="K1487" i="1"/>
  <c r="L1487" i="1" s="1"/>
  <c r="K1449" i="1"/>
  <c r="L1449" i="1" s="1"/>
  <c r="K1409" i="1"/>
  <c r="L1409" i="1" s="1"/>
  <c r="K1368" i="1"/>
  <c r="L1368" i="1" s="1"/>
  <c r="K1330" i="1"/>
  <c r="L1330" i="1" s="1"/>
  <c r="K1290" i="1"/>
  <c r="L1290" i="1" s="1"/>
  <c r="K1249" i="1"/>
  <c r="L1249" i="1" s="1"/>
  <c r="K1211" i="1"/>
  <c r="L1211" i="1" s="1"/>
  <c r="K1171" i="1"/>
  <c r="L1171" i="1" s="1"/>
  <c r="K1129" i="1"/>
  <c r="L1129" i="1" s="1"/>
  <c r="K1087" i="1"/>
  <c r="L1087" i="1" s="1"/>
  <c r="K897" i="1"/>
  <c r="L897" i="1" s="1"/>
  <c r="K735" i="1"/>
  <c r="L735" i="1" s="1"/>
  <c r="K659" i="1"/>
  <c r="L659" i="1" s="1"/>
  <c r="K577" i="1"/>
  <c r="L577" i="1" s="1"/>
  <c r="K487" i="1"/>
  <c r="L487" i="1" s="1"/>
  <c r="K253" i="1"/>
  <c r="L253" i="1" s="1"/>
  <c r="K129" i="1"/>
  <c r="L129" i="1" s="1"/>
  <c r="K651" i="1"/>
  <c r="L651" i="1" s="1"/>
  <c r="K1003" i="1"/>
  <c r="L1003" i="1" s="1"/>
  <c r="K1043" i="1"/>
  <c r="L1043" i="1" s="1"/>
  <c r="K1206" i="1"/>
  <c r="L1206" i="1" s="1"/>
  <c r="K1296" i="1"/>
  <c r="L1296" i="1" s="1"/>
  <c r="K1445" i="1"/>
  <c r="L1445" i="1" s="1"/>
  <c r="K1564" i="1"/>
  <c r="L1564" i="1" s="1"/>
  <c r="K1863" i="1"/>
  <c r="L1863" i="1" s="1"/>
  <c r="K1893" i="1"/>
  <c r="L1893" i="1" s="1"/>
  <c r="K1919" i="1"/>
  <c r="L1919" i="1" s="1"/>
  <c r="K1941" i="1"/>
  <c r="L1941" i="1" s="1"/>
  <c r="K1045" i="1"/>
  <c r="L1045" i="1" s="1"/>
  <c r="K1015" i="1"/>
  <c r="L1015" i="1" s="1"/>
  <c r="K955" i="1"/>
  <c r="L955" i="1" s="1"/>
  <c r="K925" i="1"/>
  <c r="L925" i="1" s="1"/>
  <c r="K865" i="1"/>
  <c r="L865" i="1" s="1"/>
  <c r="K835" i="1"/>
  <c r="L835" i="1" s="1"/>
  <c r="K777" i="1"/>
  <c r="L777" i="1" s="1"/>
  <c r="K745" i="1"/>
  <c r="L745" i="1" s="1"/>
  <c r="K687" i="1"/>
  <c r="L687" i="1" s="1"/>
  <c r="K655" i="1"/>
  <c r="K597" i="1"/>
  <c r="L597" i="1" s="1"/>
  <c r="K567" i="1"/>
  <c r="L567" i="1" s="1"/>
  <c r="K505" i="1"/>
  <c r="L505" i="1" s="1"/>
  <c r="K459" i="1"/>
  <c r="K415" i="1"/>
  <c r="L415" i="1" s="1"/>
  <c r="K371" i="1"/>
  <c r="L371" i="1" s="1"/>
  <c r="K325" i="1"/>
  <c r="L325" i="1" s="1"/>
  <c r="K281" i="1"/>
  <c r="L281" i="1" s="1"/>
  <c r="K235" i="1"/>
  <c r="L235" i="1" s="1"/>
  <c r="K191" i="1"/>
  <c r="L191" i="1" s="1"/>
  <c r="K147" i="1"/>
  <c r="L147" i="1" s="1"/>
  <c r="K101" i="1"/>
  <c r="L101" i="1" s="1"/>
  <c r="K45" i="1"/>
  <c r="L45" i="1" s="1"/>
  <c r="K983" i="1"/>
  <c r="L983" i="1" s="1"/>
  <c r="K953" i="1"/>
  <c r="L953" i="1" s="1"/>
  <c r="K893" i="1"/>
  <c r="K863" i="1"/>
  <c r="L863" i="1" s="1"/>
  <c r="K805" i="1"/>
  <c r="L805" i="1" s="1"/>
  <c r="K773" i="1"/>
  <c r="L773" i="1" s="1"/>
  <c r="K715" i="1"/>
  <c r="L715" i="1" s="1"/>
  <c r="K683" i="1"/>
  <c r="L683" i="1" s="1"/>
  <c r="K625" i="1"/>
  <c r="L625" i="1" s="1"/>
  <c r="K595" i="1"/>
  <c r="L595" i="1" s="1"/>
  <c r="K535" i="1"/>
  <c r="L535" i="1" s="1"/>
  <c r="K368" i="1"/>
  <c r="L368" i="1" s="1"/>
  <c r="K324" i="1"/>
  <c r="L324" i="1" s="1"/>
  <c r="K280" i="1"/>
  <c r="L280" i="1" s="1"/>
  <c r="K234" i="1"/>
  <c r="L234" i="1" s="1"/>
  <c r="K190" i="1"/>
  <c r="L190" i="1" s="1"/>
  <c r="K144" i="1"/>
  <c r="K100" i="1"/>
  <c r="L100" i="1" s="1"/>
  <c r="K43" i="1"/>
  <c r="L43" i="1" s="1"/>
  <c r="K501" i="1"/>
  <c r="L501" i="1" s="1"/>
  <c r="K479" i="1"/>
  <c r="L479" i="1" s="1"/>
  <c r="K457" i="1"/>
  <c r="L457" i="1" s="1"/>
  <c r="K435" i="1"/>
  <c r="L435" i="1" s="1"/>
  <c r="K413" i="1"/>
  <c r="L413" i="1" s="1"/>
  <c r="K389" i="1"/>
  <c r="L389" i="1" s="1"/>
  <c r="K367" i="1"/>
  <c r="L367" i="1" s="1"/>
  <c r="K345" i="1"/>
  <c r="L345" i="1" s="1"/>
  <c r="K323" i="1"/>
  <c r="L323" i="1" s="1"/>
  <c r="K301" i="1"/>
  <c r="L301" i="1" s="1"/>
  <c r="K277" i="1"/>
  <c r="L277" i="1" s="1"/>
  <c r="K255" i="1"/>
  <c r="L255" i="1" s="1"/>
  <c r="K233" i="1"/>
  <c r="L233" i="1" s="1"/>
  <c r="K211" i="1"/>
  <c r="L211" i="1" s="1"/>
  <c r="K189" i="1"/>
  <c r="L189" i="1" s="1"/>
  <c r="K165" i="1"/>
  <c r="K143" i="1"/>
  <c r="L143" i="1" s="1"/>
  <c r="K121" i="1"/>
  <c r="L121" i="1" s="1"/>
  <c r="K99" i="1"/>
  <c r="L99" i="1" s="1"/>
  <c r="K71" i="1"/>
  <c r="L71" i="1" s="1"/>
  <c r="K42" i="1"/>
  <c r="L42" i="1" s="1"/>
  <c r="K11" i="1"/>
  <c r="K1082" i="1"/>
  <c r="L1082" i="1" s="1"/>
  <c r="K1060" i="1"/>
  <c r="L1060" i="1" s="1"/>
  <c r="K1038" i="1"/>
  <c r="L1038" i="1" s="1"/>
  <c r="K1016" i="1"/>
  <c r="L1016" i="1" s="1"/>
  <c r="K994" i="1"/>
  <c r="L994" i="1" s="1"/>
  <c r="K970" i="1"/>
  <c r="L970" i="1" s="1"/>
  <c r="K948" i="1"/>
  <c r="L948" i="1" s="1"/>
  <c r="K926" i="1"/>
  <c r="L926" i="1" s="1"/>
  <c r="K904" i="1"/>
  <c r="L904" i="1" s="1"/>
  <c r="K882" i="1"/>
  <c r="L882" i="1" s="1"/>
  <c r="K858" i="1"/>
  <c r="L858" i="1" s="1"/>
  <c r="K836" i="1"/>
  <c r="L836" i="1" s="1"/>
  <c r="K814" i="1"/>
  <c r="L814" i="1" s="1"/>
  <c r="K792" i="1"/>
  <c r="L792" i="1" s="1"/>
  <c r="K770" i="1"/>
  <c r="L770" i="1" s="1"/>
  <c r="K746" i="1"/>
  <c r="K724" i="1"/>
  <c r="L724" i="1" s="1"/>
  <c r="K702" i="1"/>
  <c r="L702" i="1" s="1"/>
  <c r="K680" i="1"/>
  <c r="L680" i="1" s="1"/>
  <c r="K658" i="1"/>
  <c r="L658" i="1" s="1"/>
  <c r="K634" i="1"/>
  <c r="L634" i="1" s="1"/>
  <c r="K612" i="1"/>
  <c r="L612" i="1" s="1"/>
  <c r="K590" i="1"/>
  <c r="L590" i="1" s="1"/>
  <c r="K568" i="1"/>
  <c r="L568" i="1" s="1"/>
  <c r="K546" i="1"/>
  <c r="L546" i="1" s="1"/>
  <c r="K522" i="1"/>
  <c r="L522" i="1" s="1"/>
  <c r="K500" i="1"/>
  <c r="L500" i="1" s="1"/>
  <c r="K478" i="1"/>
  <c r="L478" i="1" s="1"/>
  <c r="K456" i="1"/>
  <c r="L456" i="1" s="1"/>
  <c r="K434" i="1"/>
  <c r="L434" i="1" s="1"/>
  <c r="K410" i="1"/>
  <c r="L410" i="1" s="1"/>
  <c r="K388" i="1"/>
  <c r="L388" i="1" s="1"/>
  <c r="K366" i="1"/>
  <c r="L366" i="1" s="1"/>
  <c r="K344" i="1"/>
  <c r="L344" i="1" s="1"/>
  <c r="K322" i="1"/>
  <c r="L322" i="1" s="1"/>
  <c r="K298" i="1"/>
  <c r="K276" i="1"/>
  <c r="L276" i="1" s="1"/>
  <c r="K254" i="1"/>
  <c r="L254" i="1" s="1"/>
  <c r="K232" i="1"/>
  <c r="L232" i="1" s="1"/>
  <c r="K210" i="1"/>
  <c r="L210" i="1" s="1"/>
  <c r="K186" i="1"/>
  <c r="L186" i="1" s="1"/>
  <c r="K164" i="1"/>
  <c r="L164" i="1" s="1"/>
  <c r="K142" i="1"/>
  <c r="L142" i="1" s="1"/>
  <c r="K120" i="1"/>
  <c r="L120" i="1" s="1"/>
  <c r="K98" i="1"/>
  <c r="L98" i="1" s="1"/>
  <c r="K70" i="1"/>
  <c r="L70" i="1" s="1"/>
  <c r="K39" i="1"/>
  <c r="L39" i="1" s="1"/>
  <c r="K9" i="1"/>
  <c r="L9" i="1" s="1"/>
  <c r="K78" i="1"/>
  <c r="L78" i="1" s="1"/>
  <c r="K56" i="1"/>
  <c r="L56" i="1" s="1"/>
  <c r="K32" i="1"/>
  <c r="L32" i="1" s="1"/>
  <c r="K10" i="1"/>
  <c r="L10" i="1" s="1"/>
  <c r="K275" i="1"/>
  <c r="L275" i="1" s="1"/>
  <c r="K673" i="1"/>
  <c r="L673" i="1" s="1"/>
  <c r="K989" i="1"/>
  <c r="L989" i="1" s="1"/>
  <c r="K1178" i="1"/>
  <c r="L1178" i="1" s="1"/>
  <c r="K1337" i="1"/>
  <c r="L1337" i="1" s="1"/>
  <c r="K1495" i="1"/>
  <c r="K1655" i="1"/>
  <c r="L1655" i="1" s="1"/>
  <c r="K1815" i="1"/>
  <c r="L1815" i="1" s="1"/>
  <c r="K1956" i="1"/>
  <c r="L1956" i="1" s="1"/>
  <c r="K2076" i="1"/>
  <c r="K308" i="1"/>
  <c r="L308" i="1" s="1"/>
  <c r="K689" i="1"/>
  <c r="L689" i="1" s="1"/>
  <c r="K1005" i="1"/>
  <c r="L1005" i="1" s="1"/>
  <c r="K1187" i="1"/>
  <c r="L1187" i="1" s="1"/>
  <c r="K1346" i="1"/>
  <c r="L1346" i="1" s="1"/>
  <c r="K1507" i="1"/>
  <c r="L1507" i="1" s="1"/>
  <c r="K1823" i="1"/>
  <c r="L1823" i="1" s="1"/>
  <c r="K1964" i="1"/>
  <c r="K2202" i="1"/>
  <c r="L2202" i="1" s="1"/>
  <c r="K331" i="1"/>
  <c r="L331" i="1" s="1"/>
  <c r="K711" i="1"/>
  <c r="L711" i="1" s="1"/>
  <c r="K1197" i="1"/>
  <c r="L1197" i="1" s="1"/>
  <c r="K1358" i="1"/>
  <c r="L1358" i="1" s="1"/>
  <c r="K1515" i="1"/>
  <c r="L1515" i="1" s="1"/>
  <c r="K1675" i="1"/>
  <c r="L1675" i="1" s="1"/>
  <c r="K1835" i="1"/>
  <c r="L1835" i="1" s="1"/>
  <c r="K2090" i="1"/>
  <c r="L2090" i="1" s="1"/>
  <c r="K2212" i="1"/>
  <c r="L2212" i="1" s="1"/>
  <c r="K365" i="1"/>
  <c r="L365" i="1" s="1"/>
  <c r="K1031" i="1"/>
  <c r="L1031" i="1" s="1"/>
  <c r="K1207" i="1"/>
  <c r="L1207" i="1" s="1"/>
  <c r="K1367" i="1"/>
  <c r="L1367" i="1" s="1"/>
  <c r="K1526" i="1"/>
  <c r="L1526" i="1" s="1"/>
  <c r="K1687" i="1"/>
  <c r="L1687" i="1" s="1"/>
  <c r="K1978" i="1"/>
  <c r="L1978" i="1" s="1"/>
  <c r="K2100" i="1"/>
  <c r="L2100" i="1" s="1"/>
  <c r="K2164" i="1"/>
  <c r="L2164" i="1" s="1"/>
  <c r="K1962" i="1"/>
  <c r="L1962" i="1" s="1"/>
  <c r="K1918" i="1"/>
  <c r="L1918" i="1" s="1"/>
  <c r="K1813" i="1"/>
  <c r="L1813" i="1" s="1"/>
  <c r="K1485" i="1"/>
  <c r="L1485" i="1" s="1"/>
  <c r="K1345" i="1"/>
  <c r="L1345" i="1" s="1"/>
  <c r="K1215" i="1"/>
  <c r="L1215" i="1" s="1"/>
  <c r="K1127" i="1"/>
  <c r="L1127" i="1" s="1"/>
  <c r="K1017" i="1"/>
  <c r="L1017" i="1" s="1"/>
  <c r="K945" i="1"/>
  <c r="L945" i="1" s="1"/>
  <c r="K787" i="1"/>
  <c r="L787" i="1" s="1"/>
  <c r="K627" i="1"/>
  <c r="K443" i="1"/>
  <c r="L443" i="1" s="1"/>
  <c r="K2244" i="1"/>
  <c r="K2124" i="1"/>
  <c r="L2124" i="1" s="1"/>
  <c r="K2066" i="1"/>
  <c r="L2066" i="1" s="1"/>
  <c r="K2012" i="1"/>
  <c r="L2012" i="1" s="1"/>
  <c r="K1976" i="1"/>
  <c r="L1976" i="1" s="1"/>
  <c r="K1915" i="1"/>
  <c r="L1915" i="1" s="1"/>
  <c r="K1879" i="1"/>
  <c r="L1879" i="1" s="1"/>
  <c r="K1719" i="1"/>
  <c r="L1719" i="1" s="1"/>
  <c r="K1631" i="1"/>
  <c r="L1631" i="1" s="1"/>
  <c r="K1591" i="1"/>
  <c r="L1591" i="1" s="1"/>
  <c r="K1551" i="1"/>
  <c r="L1551" i="1" s="1"/>
  <c r="K1509" i="1"/>
  <c r="L1509" i="1" s="1"/>
  <c r="K1471" i="1"/>
  <c r="L1471" i="1" s="1"/>
  <c r="K1431" i="1"/>
  <c r="L1431" i="1" s="1"/>
  <c r="K1390" i="1"/>
  <c r="K1352" i="1"/>
  <c r="L1352" i="1" s="1"/>
  <c r="K1312" i="1"/>
  <c r="L1312" i="1" s="1"/>
  <c r="K1271" i="1"/>
  <c r="K1272" i="1" s="1"/>
  <c r="K1233" i="1"/>
  <c r="L1233" i="1" s="1"/>
  <c r="K1193" i="1"/>
  <c r="L1193" i="1" s="1"/>
  <c r="K1151" i="1"/>
  <c r="L1151" i="1" s="1"/>
  <c r="K1113" i="1"/>
  <c r="L1113" i="1" s="1"/>
  <c r="K1065" i="1"/>
  <c r="L1065" i="1" s="1"/>
  <c r="K1011" i="1"/>
  <c r="L1011" i="1" s="1"/>
  <c r="K941" i="1"/>
  <c r="L941" i="1" s="1"/>
  <c r="K779" i="1"/>
  <c r="L779" i="1" s="1"/>
  <c r="K703" i="1"/>
  <c r="L703" i="1" s="1"/>
  <c r="K623" i="1"/>
  <c r="L623" i="1" s="1"/>
  <c r="K541" i="1"/>
  <c r="L541" i="1" s="1"/>
  <c r="K319" i="1"/>
  <c r="L319" i="1" s="1"/>
  <c r="K197" i="1"/>
  <c r="L197" i="1" s="1"/>
  <c r="K80" i="1"/>
  <c r="L80" i="1" s="1"/>
  <c r="K1926" i="1"/>
  <c r="L1926" i="1" s="1"/>
  <c r="K1673" i="1"/>
  <c r="L1673" i="1" s="1"/>
  <c r="K1633" i="1"/>
  <c r="L1633" i="1" s="1"/>
  <c r="K1592" i="1"/>
  <c r="L1592" i="1" s="1"/>
  <c r="K1543" i="1"/>
  <c r="L1543" i="1" s="1"/>
  <c r="K1493" i="1"/>
  <c r="L1493" i="1" s="1"/>
  <c r="K1435" i="1"/>
  <c r="L1435" i="1" s="1"/>
  <c r="K1383" i="1"/>
  <c r="L1383" i="1" s="1"/>
  <c r="K1324" i="1"/>
  <c r="L1324" i="1" s="1"/>
  <c r="K1263" i="1"/>
  <c r="L1263" i="1" s="1"/>
  <c r="K1205" i="1"/>
  <c r="L1205" i="1" s="1"/>
  <c r="K1144" i="1"/>
  <c r="L1144" i="1" s="1"/>
  <c r="K263" i="1"/>
  <c r="K150" i="1"/>
  <c r="L150" i="1" s="1"/>
  <c r="K8" i="1"/>
  <c r="L8" i="1" s="1"/>
  <c r="K2146" i="1"/>
  <c r="L2146" i="1" s="1"/>
  <c r="K2088" i="1"/>
  <c r="L2088" i="1" s="1"/>
  <c r="K2020" i="1"/>
  <c r="L2020" i="1" s="1"/>
  <c r="K2242" i="1"/>
  <c r="L2242" i="1" s="1"/>
  <c r="K2152" i="1"/>
  <c r="L2152" i="1" s="1"/>
  <c r="K2062" i="1"/>
  <c r="K1974" i="1"/>
  <c r="L1974" i="1" s="1"/>
  <c r="K1943" i="1"/>
  <c r="L1943" i="1" s="1"/>
  <c r="K1877" i="1"/>
  <c r="L1877" i="1" s="1"/>
  <c r="K1837" i="1"/>
  <c r="L1837" i="1" s="1"/>
  <c r="K1799" i="1"/>
  <c r="L1799" i="1" s="1"/>
  <c r="K1757" i="1"/>
  <c r="L1757" i="1" s="1"/>
  <c r="K1717" i="1"/>
  <c r="L1717" i="1" s="1"/>
  <c r="K1677" i="1"/>
  <c r="K1598" i="1"/>
  <c r="L1598" i="1" s="1"/>
  <c r="K1558" i="1"/>
  <c r="L1558" i="1" s="1"/>
  <c r="K1519" i="1"/>
  <c r="L1519" i="1" s="1"/>
  <c r="K1479" i="1"/>
  <c r="L1479" i="1" s="1"/>
  <c r="K1439" i="1"/>
  <c r="L1439" i="1" s="1"/>
  <c r="K1397" i="1"/>
  <c r="K1359" i="1"/>
  <c r="L1359" i="1" s="1"/>
  <c r="K1319" i="1"/>
  <c r="L1319" i="1" s="1"/>
  <c r="K1278" i="1"/>
  <c r="L1278" i="1" s="1"/>
  <c r="K1240" i="1"/>
  <c r="L1240" i="1" s="1"/>
  <c r="K1200" i="1"/>
  <c r="L1200" i="1" s="1"/>
  <c r="K1159" i="1"/>
  <c r="L1159" i="1" s="1"/>
  <c r="K1121" i="1"/>
  <c r="L1121" i="1" s="1"/>
  <c r="K1075" i="1"/>
  <c r="K1019" i="1"/>
  <c r="L1019" i="1" s="1"/>
  <c r="K877" i="1"/>
  <c r="L877" i="1" s="1"/>
  <c r="K717" i="1"/>
  <c r="L717" i="1" s="1"/>
  <c r="K555" i="1"/>
  <c r="L555" i="1" s="1"/>
  <c r="K343" i="1"/>
  <c r="L343" i="1" s="1"/>
  <c r="K219" i="1"/>
  <c r="L219" i="1" s="1"/>
  <c r="K106" i="1"/>
  <c r="L106" i="1" s="1"/>
  <c r="L2048" i="1"/>
  <c r="K1489" i="1"/>
  <c r="L1488" i="1"/>
  <c r="K2021" i="1"/>
  <c r="K2022" i="1" s="1"/>
  <c r="K1657" i="1"/>
  <c r="L1656" i="1"/>
  <c r="K1209" i="1"/>
  <c r="K1210" i="1" s="1"/>
  <c r="L1208" i="1"/>
  <c r="K1797" i="1"/>
  <c r="K1798" i="1" s="1"/>
  <c r="L1796" i="1"/>
  <c r="K1573" i="1"/>
  <c r="K1574" i="1" s="1"/>
  <c r="L1572" i="1"/>
  <c r="K1349" i="1"/>
  <c r="K1350" i="1" s="1"/>
  <c r="L1348" i="1"/>
  <c r="K1517" i="1"/>
  <c r="K1518" i="1" s="1"/>
  <c r="L1516" i="1"/>
  <c r="L1789" i="1"/>
  <c r="J797" i="1"/>
  <c r="J685" i="1"/>
  <c r="J461" i="1"/>
  <c r="J349" i="1"/>
  <c r="J237" i="1"/>
  <c r="J1889" i="1"/>
  <c r="J2001" i="1"/>
  <c r="J1987" i="1"/>
  <c r="K1993" i="1"/>
  <c r="K1994" i="1" s="1"/>
  <c r="L1992" i="1"/>
  <c r="J566" i="1"/>
  <c r="J657" i="1"/>
  <c r="J545" i="1"/>
  <c r="J1728" i="1"/>
  <c r="J2099" i="1"/>
  <c r="J1784" i="1"/>
  <c r="J2155" i="1"/>
  <c r="J1847" i="1"/>
  <c r="J1707" i="1"/>
  <c r="K1832" i="1"/>
  <c r="K1833" i="1" s="1"/>
  <c r="J433" i="1"/>
  <c r="J209" i="1"/>
  <c r="J426" i="1"/>
  <c r="L2161" i="1"/>
  <c r="L2049" i="1"/>
  <c r="J825" i="1"/>
  <c r="J713" i="1"/>
  <c r="J601" i="1"/>
  <c r="J489" i="1"/>
  <c r="J377" i="1"/>
  <c r="J265" i="1"/>
  <c r="J2169" i="1"/>
  <c r="J1749" i="1"/>
  <c r="L2160" i="1"/>
  <c r="J2127" i="1"/>
  <c r="J1931" i="1"/>
  <c r="J1735" i="1"/>
  <c r="J1959" i="1"/>
  <c r="J1819" i="1"/>
  <c r="J2239" i="1"/>
  <c r="J2211" i="1"/>
  <c r="J2183" i="1"/>
  <c r="J1756" i="1"/>
  <c r="J2043" i="1"/>
  <c r="J2071" i="1"/>
  <c r="J1763" i="1"/>
  <c r="J2057" i="1"/>
  <c r="J1945" i="1"/>
  <c r="J1833" i="1"/>
  <c r="J1777" i="1"/>
  <c r="J1875" i="1"/>
  <c r="J1791" i="1"/>
  <c r="J2015" i="1"/>
  <c r="J1903" i="1"/>
  <c r="K495" i="1"/>
  <c r="K496" i="1" s="1"/>
  <c r="K271" i="1"/>
  <c r="K272" i="1" s="1"/>
  <c r="K159" i="1"/>
  <c r="K160" i="1" s="1"/>
  <c r="K1286" i="1"/>
  <c r="K1287" i="1" s="1"/>
  <c r="K838" i="1"/>
  <c r="K839" i="1" s="1"/>
  <c r="J1539" i="1"/>
  <c r="J1511" i="1"/>
  <c r="J1644" i="1"/>
  <c r="J1532" i="1"/>
  <c r="J1336" i="1"/>
  <c r="K222" i="1"/>
  <c r="K2112" i="1"/>
  <c r="K2113" i="1" s="1"/>
  <c r="J1483" i="1"/>
  <c r="J1399" i="1"/>
  <c r="J1371" i="1"/>
  <c r="J1287" i="1"/>
  <c r="J1448" i="1"/>
  <c r="J1364" i="1"/>
  <c r="K425" i="1"/>
  <c r="L425" i="1" s="1"/>
  <c r="K327" i="1"/>
  <c r="K957" i="1"/>
  <c r="K958" i="1" s="1"/>
  <c r="J1651" i="1"/>
  <c r="J1623" i="1"/>
  <c r="J1259" i="1"/>
  <c r="J1700" i="1"/>
  <c r="J1588" i="1"/>
  <c r="J1476" i="1"/>
  <c r="J1665" i="1"/>
  <c r="K229" i="1"/>
  <c r="L229" i="1" s="1"/>
  <c r="K985" i="1"/>
  <c r="K810" i="1"/>
  <c r="K1062" i="1"/>
  <c r="J1679" i="1"/>
  <c r="J1595" i="1"/>
  <c r="J1567" i="1"/>
  <c r="J1504" i="1"/>
  <c r="J1672" i="1"/>
  <c r="J1616" i="1"/>
  <c r="J1553" i="1"/>
  <c r="J1497" i="1"/>
  <c r="J1413" i="1"/>
  <c r="J1273" i="1"/>
  <c r="J1063" i="1"/>
  <c r="J923" i="1"/>
  <c r="J1252" i="1"/>
  <c r="J1196" i="1"/>
  <c r="J1140" i="1"/>
  <c r="J1084" i="1"/>
  <c r="J748" i="1"/>
  <c r="J664" i="1"/>
  <c r="J188" i="1"/>
  <c r="J1000" i="1"/>
  <c r="J860" i="1"/>
  <c r="J580" i="1"/>
  <c r="J524" i="1"/>
  <c r="J468" i="1"/>
  <c r="J412" i="1"/>
  <c r="J356" i="1"/>
  <c r="J300" i="1"/>
  <c r="J1189" i="1"/>
  <c r="J1133" i="1"/>
  <c r="J1077" i="1"/>
  <c r="J1021" i="1"/>
  <c r="J965" i="1"/>
  <c r="J909" i="1"/>
  <c r="J1525" i="1"/>
  <c r="J1385" i="1"/>
  <c r="J1301" i="1"/>
  <c r="J1245" i="1"/>
  <c r="J1035" i="1"/>
  <c r="J951" i="1"/>
  <c r="J895" i="1"/>
  <c r="J1224" i="1"/>
  <c r="J1168" i="1"/>
  <c r="J1112" i="1"/>
  <c r="J776" i="1"/>
  <c r="J636" i="1"/>
  <c r="J216" i="1"/>
  <c r="J1028" i="1"/>
  <c r="J972" i="1"/>
  <c r="J888" i="1"/>
  <c r="J832" i="1"/>
  <c r="J552" i="1"/>
  <c r="J496" i="1"/>
  <c r="J440" i="1"/>
  <c r="J384" i="1"/>
  <c r="J328" i="1"/>
  <c r="J272" i="1"/>
  <c r="J1217" i="1"/>
  <c r="J1161" i="1"/>
  <c r="J1105" i="1"/>
  <c r="J1049" i="1"/>
  <c r="J993" i="1"/>
  <c r="J937" i="1"/>
  <c r="J881" i="1"/>
  <c r="K1741" i="1"/>
  <c r="K1742" i="1" s="1"/>
  <c r="K1608" i="1"/>
  <c r="K1609" i="1" s="1"/>
  <c r="K817" i="1"/>
  <c r="K818" i="1" s="1"/>
  <c r="K1265" i="1"/>
  <c r="K1266" i="1" s="1"/>
  <c r="K1153" i="1"/>
  <c r="L1153" i="1" s="1"/>
  <c r="K733" i="1"/>
  <c r="K734" i="1" s="1"/>
  <c r="K1405" i="1"/>
  <c r="K1930" i="1"/>
  <c r="L1930" i="1" s="1"/>
  <c r="K187" i="1"/>
  <c r="L187" i="1" s="1"/>
  <c r="J1812" i="1"/>
  <c r="J916" i="1"/>
  <c r="J1826" i="1"/>
  <c r="J482" i="1"/>
  <c r="J1203" i="1"/>
  <c r="J671" i="1"/>
  <c r="J104" i="1"/>
  <c r="J181" i="1"/>
  <c r="J69" i="1"/>
  <c r="J1574" i="1"/>
  <c r="J1070" i="1"/>
  <c r="J958" i="1"/>
  <c r="J90" i="1"/>
  <c r="J587" i="1"/>
  <c r="J286" i="1"/>
  <c r="J503" i="1"/>
  <c r="K404" i="1"/>
  <c r="L404" i="1" s="1"/>
  <c r="K1755" i="1"/>
  <c r="L1755" i="1" s="1"/>
  <c r="J1315" i="1"/>
  <c r="J1357" i="1"/>
  <c r="J706" i="1"/>
  <c r="J118" i="1"/>
  <c r="J27" i="1"/>
  <c r="J1770" i="1"/>
  <c r="J874" i="1"/>
  <c r="J475" i="1"/>
  <c r="J1882" i="1"/>
  <c r="J1406" i="1"/>
  <c r="J1294" i="1"/>
  <c r="J1182" i="1"/>
  <c r="J622" i="1"/>
  <c r="J510" i="1"/>
  <c r="J34" i="1"/>
  <c r="J447" i="1"/>
  <c r="K1027" i="1"/>
  <c r="L1027" i="1" s="1"/>
  <c r="K1307" i="1"/>
  <c r="L1307" i="1" s="1"/>
  <c r="K1727" i="1"/>
  <c r="L1727" i="1" s="1"/>
  <c r="J1966" i="1"/>
  <c r="J1420" i="1"/>
  <c r="J1056" i="1"/>
  <c r="J720" i="1"/>
  <c r="J132" i="1"/>
  <c r="J1609" i="1"/>
  <c r="J1329" i="1"/>
  <c r="J930" i="1"/>
  <c r="J678" i="1"/>
  <c r="J370" i="1"/>
  <c r="J1455" i="1"/>
  <c r="J1119" i="1"/>
  <c r="J1007" i="1"/>
  <c r="J48" i="1"/>
  <c r="J125" i="1"/>
  <c r="J1490" i="1"/>
  <c r="J1434" i="1"/>
  <c r="J1378" i="1"/>
  <c r="J1322" i="1"/>
  <c r="J1266" i="1"/>
  <c r="J1210" i="1"/>
  <c r="L1210" i="1" s="1"/>
  <c r="J1154" i="1"/>
  <c r="J1098" i="1"/>
  <c r="J762" i="1"/>
  <c r="J594" i="1"/>
  <c r="J314" i="1"/>
  <c r="J6" i="1"/>
  <c r="J811" i="1"/>
  <c r="J419" i="1"/>
  <c r="J279" i="1"/>
  <c r="J139" i="1"/>
  <c r="J1742" i="1"/>
  <c r="J734" i="1"/>
  <c r="J342" i="1"/>
  <c r="J727" i="1"/>
  <c r="J391" i="1"/>
  <c r="J251" i="1"/>
  <c r="K2154" i="1"/>
  <c r="L2154" i="1" s="1"/>
  <c r="K2007" i="1"/>
  <c r="L2007" i="1" s="1"/>
  <c r="J1469" i="1"/>
  <c r="J1308" i="1"/>
  <c r="J608" i="1"/>
  <c r="J818" i="1"/>
  <c r="J146" i="1"/>
  <c r="J559" i="1"/>
  <c r="J531" i="1"/>
  <c r="J1630" i="1"/>
  <c r="J1518" i="1"/>
  <c r="L1518" i="1" s="1"/>
  <c r="J650" i="1"/>
  <c r="J538" i="1"/>
  <c r="J62" i="1"/>
  <c r="J1714" i="1"/>
  <c r="J846" i="1"/>
  <c r="J398" i="1"/>
  <c r="J174" i="1"/>
  <c r="J839" i="1"/>
  <c r="L839" i="1" s="1"/>
  <c r="J1560" i="1"/>
  <c r="J804" i="1"/>
  <c r="J244" i="1"/>
  <c r="J1014" i="1"/>
  <c r="J454" i="1"/>
  <c r="J979" i="1"/>
  <c r="J1147" i="1"/>
  <c r="J1175" i="1"/>
  <c r="J76" i="1"/>
  <c r="J153" i="1"/>
  <c r="J41" i="1"/>
  <c r="J1938" i="1"/>
  <c r="J202" i="1"/>
  <c r="J1462" i="1"/>
  <c r="J1350" i="1"/>
  <c r="J1238" i="1"/>
  <c r="J1126" i="1"/>
  <c r="J790" i="1"/>
  <c r="J783" i="1"/>
  <c r="J55" i="1"/>
  <c r="K1979" i="1"/>
  <c r="L1979" i="1" s="1"/>
  <c r="J2113" i="1"/>
  <c r="J944" i="1"/>
  <c r="J1805" i="1"/>
  <c r="J1581" i="1"/>
  <c r="J13" i="1"/>
  <c r="J258" i="1"/>
  <c r="J1343" i="1"/>
  <c r="J643" i="1"/>
  <c r="J1231" i="1"/>
  <c r="J1091" i="1"/>
  <c r="J755" i="1"/>
  <c r="J160" i="1"/>
  <c r="J20" i="1"/>
  <c r="J97" i="1"/>
  <c r="J1910" i="1"/>
  <c r="J1854" i="1"/>
  <c r="J1798" i="1"/>
  <c r="J1686" i="1"/>
  <c r="J699" i="1"/>
  <c r="J363" i="1"/>
  <c r="J223" i="1"/>
  <c r="J167" i="1"/>
  <c r="J2246" i="1"/>
  <c r="J2218" i="1"/>
  <c r="J2190" i="1"/>
  <c r="J2162" i="1"/>
  <c r="L2162" i="1" s="1"/>
  <c r="J2134" i="1"/>
  <c r="J2106" i="1"/>
  <c r="J2078" i="1"/>
  <c r="J2050" i="1"/>
  <c r="L2050" i="1" s="1"/>
  <c r="J2022" i="1"/>
  <c r="J1994" i="1"/>
  <c r="L1994" i="1" s="1"/>
  <c r="J1658" i="1"/>
  <c r="J1602" i="1"/>
  <c r="J1546" i="1"/>
  <c r="J1042" i="1"/>
  <c r="J986" i="1"/>
  <c r="J615" i="1"/>
  <c r="J335" i="1"/>
  <c r="J195" i="1"/>
  <c r="J111" i="1"/>
  <c r="K621" i="1"/>
  <c r="K1132" i="1"/>
  <c r="L1132" i="1" s="1"/>
  <c r="K1370" i="1"/>
  <c r="L1370" i="1" s="1"/>
  <c r="K341" i="1"/>
  <c r="K1139" i="1"/>
  <c r="L1139" i="1" s="1"/>
  <c r="K1706" i="1"/>
  <c r="L1706" i="1" s="1"/>
  <c r="K2070" i="1"/>
  <c r="L2070" i="1" s="1"/>
  <c r="K2182" i="1"/>
  <c r="L2182" i="1" s="1"/>
  <c r="K1685" i="1"/>
  <c r="K1686" i="1" s="1"/>
  <c r="K1461" i="1"/>
  <c r="K1237" i="1"/>
  <c r="K1125" i="1"/>
  <c r="K1126" i="1" s="1"/>
  <c r="K866" i="1"/>
  <c r="K867" i="1" s="1"/>
  <c r="K537" i="1"/>
  <c r="K538" i="1" s="1"/>
  <c r="K236" i="1"/>
  <c r="L236" i="1" s="1"/>
  <c r="K565" i="1"/>
  <c r="L565" i="1" s="1"/>
  <c r="K502" i="1"/>
  <c r="K278" i="1"/>
  <c r="K279" i="1" s="1"/>
  <c r="K859" i="1"/>
  <c r="L859" i="1" s="1"/>
  <c r="K40" i="1"/>
  <c r="K2196" i="1"/>
  <c r="L2196" i="1" s="1"/>
  <c r="K1188" i="1"/>
  <c r="L1188" i="1" s="1"/>
  <c r="K2084" i="1"/>
  <c r="L2084" i="1" s="1"/>
  <c r="K712" i="1"/>
  <c r="L712" i="1" s="1"/>
  <c r="K1972" i="1"/>
  <c r="L1972" i="1" s="1"/>
  <c r="K2091" i="1"/>
  <c r="L2091" i="1" s="1"/>
  <c r="K2224" i="1"/>
  <c r="L2224" i="1" s="1"/>
  <c r="K2105" i="1"/>
  <c r="L2105" i="1" s="1"/>
  <c r="K1069" i="1"/>
  <c r="K1070" i="1" s="1"/>
  <c r="K705" i="1"/>
  <c r="K706" i="1" s="1"/>
  <c r="K1916" i="1"/>
  <c r="L1916" i="1" s="1"/>
  <c r="K1839" i="1"/>
  <c r="L1839" i="1" s="1"/>
  <c r="K1720" i="1"/>
  <c r="L1720" i="1" s="1"/>
  <c r="K1671" i="1"/>
  <c r="L1671" i="1" s="1"/>
  <c r="K320" i="1"/>
  <c r="L320" i="1" s="1"/>
  <c r="K2217" i="1"/>
  <c r="L2217" i="1" s="1"/>
  <c r="K2000" i="1"/>
  <c r="L2000" i="1" s="1"/>
  <c r="K2147" i="1"/>
  <c r="L2147" i="1" s="1"/>
  <c r="K1440" i="1"/>
  <c r="K1441" i="1" s="1"/>
  <c r="K1356" i="1"/>
  <c r="L1356" i="1" s="1"/>
  <c r="K1804" i="1"/>
  <c r="L1804" i="1" s="1"/>
  <c r="K2098" i="1"/>
  <c r="L2098" i="1" s="1"/>
  <c r="K2210" i="1"/>
  <c r="L2210" i="1" s="1"/>
  <c r="K1881" i="1"/>
  <c r="K1882" i="1" s="1"/>
  <c r="K1769" i="1"/>
  <c r="K1770" i="1" s="1"/>
  <c r="K1545" i="1"/>
  <c r="K1546" i="1" s="1"/>
  <c r="K1433" i="1"/>
  <c r="K1321" i="1"/>
  <c r="K1322" i="1" s="1"/>
  <c r="K1097" i="1"/>
  <c r="K1098" i="1" s="1"/>
  <c r="K768" i="1"/>
  <c r="L768" i="1" s="1"/>
  <c r="K649" i="1"/>
  <c r="K530" i="1"/>
  <c r="L530" i="1" s="1"/>
  <c r="K677" i="1"/>
  <c r="K558" i="1"/>
  <c r="L558" i="1" s="1"/>
  <c r="K474" i="1"/>
  <c r="K362" i="1"/>
  <c r="L362" i="1" s="1"/>
  <c r="K250" i="1"/>
  <c r="K138" i="1"/>
  <c r="K139" i="1" s="1"/>
  <c r="K943" i="1"/>
  <c r="L943" i="1" s="1"/>
  <c r="K719" i="1"/>
  <c r="L719" i="1" s="1"/>
  <c r="K383" i="1"/>
  <c r="L383" i="1" s="1"/>
  <c r="K397" i="1"/>
  <c r="K398" i="1" s="1"/>
  <c r="K1874" i="1"/>
  <c r="L1874" i="1" s="1"/>
  <c r="K1566" i="1"/>
  <c r="L1566" i="1" s="1"/>
  <c r="K1762" i="1"/>
  <c r="L1762" i="1" s="1"/>
  <c r="K1314" i="1"/>
  <c r="L1314" i="1" s="1"/>
  <c r="K1174" i="1"/>
  <c r="K1175" i="1" s="1"/>
  <c r="K1909" i="1"/>
  <c r="K1910" i="1" s="1"/>
  <c r="K1342" i="1"/>
  <c r="K1104" i="1"/>
  <c r="L1104" i="1" s="1"/>
  <c r="K600" i="1"/>
  <c r="L600" i="1" s="1"/>
  <c r="K1902" i="1"/>
  <c r="L1902" i="1" s="1"/>
  <c r="K1622" i="1"/>
  <c r="L1622" i="1" s="1"/>
  <c r="K1195" i="1"/>
  <c r="L1195" i="1" s="1"/>
  <c r="K2056" i="1"/>
  <c r="L2056" i="1" s="1"/>
  <c r="K1937" i="1"/>
  <c r="L1937" i="1" s="1"/>
  <c r="K1867" i="1"/>
  <c r="L1867" i="1" s="1"/>
  <c r="K1230" i="1"/>
  <c r="K936" i="1"/>
  <c r="L936" i="1" s="1"/>
  <c r="K698" i="1"/>
  <c r="K699" i="1" s="1"/>
  <c r="K432" i="1"/>
  <c r="L432" i="1" s="1"/>
  <c r="K68" i="1"/>
  <c r="J692" i="1"/>
  <c r="K453" i="1"/>
  <c r="L453" i="1" s="1"/>
  <c r="K950" i="1"/>
  <c r="L950" i="1" s="1"/>
  <c r="K1475" i="1"/>
  <c r="L1475" i="1" s="1"/>
  <c r="K1986" i="1"/>
  <c r="L1986" i="1" s="1"/>
  <c r="K117" i="1"/>
  <c r="K118" i="1" s="1"/>
  <c r="K845" i="1"/>
  <c r="K846" i="1" s="1"/>
  <c r="K964" i="1"/>
  <c r="L964" i="1" s="1"/>
  <c r="K1013" i="1"/>
  <c r="L1013" i="1" s="1"/>
  <c r="K1363" i="1"/>
  <c r="L1363" i="1" s="1"/>
  <c r="K1811" i="1"/>
  <c r="K1812" i="1" s="1"/>
  <c r="K2014" i="1"/>
  <c r="L2014" i="1" s="1"/>
  <c r="K2126" i="1"/>
  <c r="L2126" i="1" s="1"/>
  <c r="K2238" i="1"/>
  <c r="L2238" i="1" s="1"/>
  <c r="K1853" i="1"/>
  <c r="L1853" i="1" s="1"/>
  <c r="K1629" i="1"/>
  <c r="K1293" i="1"/>
  <c r="K1294" i="1" s="1"/>
  <c r="K1181" i="1"/>
  <c r="K1090" i="1"/>
  <c r="K880" i="1"/>
  <c r="L880" i="1" s="1"/>
  <c r="K761" i="1"/>
  <c r="K762" i="1" s="1"/>
  <c r="K348" i="1"/>
  <c r="L348" i="1" s="1"/>
  <c r="K908" i="1"/>
  <c r="L908" i="1" s="1"/>
  <c r="K789" i="1"/>
  <c r="K790" i="1" s="1"/>
  <c r="K670" i="1"/>
  <c r="L670" i="1" s="1"/>
  <c r="K481" i="1"/>
  <c r="L481" i="1" s="1"/>
  <c r="K257" i="1"/>
  <c r="L257" i="1" s="1"/>
  <c r="K446" i="1"/>
  <c r="K447" i="1" s="1"/>
  <c r="K334" i="1"/>
  <c r="K26" i="1"/>
  <c r="K27" i="1" s="1"/>
  <c r="K803" i="1"/>
  <c r="L803" i="1" s="1"/>
  <c r="K691" i="1"/>
  <c r="K692" i="1" s="1"/>
  <c r="K243" i="1"/>
  <c r="L243" i="1" s="1"/>
  <c r="K131" i="1"/>
  <c r="K54" i="1"/>
  <c r="K1300" i="1"/>
  <c r="L1300" i="1" s="1"/>
  <c r="K1895" i="1"/>
  <c r="L1895" i="1" s="1"/>
  <c r="K1426" i="1"/>
  <c r="K1427" i="1" s="1"/>
  <c r="K1447" i="1"/>
  <c r="L1447" i="1" s="1"/>
  <c r="K1041" i="1"/>
  <c r="K1042" i="1" s="1"/>
  <c r="K509" i="1"/>
  <c r="K510" i="1" s="1"/>
  <c r="K1650" i="1"/>
  <c r="L1650" i="1" s="1"/>
  <c r="K1412" i="1"/>
  <c r="L1412" i="1" s="1"/>
  <c r="K376" i="1"/>
  <c r="L376" i="1" s="1"/>
  <c r="K1524" i="1"/>
  <c r="L1524" i="1" s="1"/>
  <c r="K1580" i="1"/>
  <c r="K1581" i="1" s="1"/>
  <c r="K1699" i="1"/>
  <c r="L1699" i="1" s="1"/>
  <c r="K1818" i="1"/>
  <c r="L1818" i="1" s="1"/>
  <c r="K2042" i="1"/>
  <c r="L2042" i="1" s="1"/>
  <c r="K1825" i="1"/>
  <c r="K1826" i="1" s="1"/>
  <c r="K1713" i="1"/>
  <c r="K1601" i="1"/>
  <c r="K1602" i="1" s="1"/>
  <c r="K1377" i="1"/>
  <c r="K1154" i="1"/>
  <c r="K873" i="1"/>
  <c r="K874" i="1" s="1"/>
  <c r="K754" i="1"/>
  <c r="K292" i="1"/>
  <c r="L292" i="1" s="1"/>
  <c r="K901" i="1"/>
  <c r="K418" i="1"/>
  <c r="K419" i="1" s="1"/>
  <c r="K194" i="1"/>
  <c r="L194" i="1" s="1"/>
  <c r="K775" i="1"/>
  <c r="L775" i="1" s="1"/>
  <c r="K551" i="1"/>
  <c r="L551" i="1" s="1"/>
  <c r="K61" i="1"/>
  <c r="K62" i="1" s="1"/>
  <c r="K152" i="1"/>
  <c r="K593" i="1"/>
  <c r="K929" i="1"/>
  <c r="K1636" i="1"/>
  <c r="K2189" i="1"/>
  <c r="L2189" i="1" s="1"/>
  <c r="K1783" i="1"/>
  <c r="L1783" i="1" s="1"/>
  <c r="K2140" i="1"/>
  <c r="L2140" i="1" s="1"/>
  <c r="K2028" i="1"/>
  <c r="L2028" i="1" s="1"/>
  <c r="K1643" i="1"/>
  <c r="L1643" i="1" s="1"/>
  <c r="K1503" i="1"/>
  <c r="L1503" i="1" s="1"/>
  <c r="K1454" i="1"/>
  <c r="K1455" i="1" s="1"/>
  <c r="K1951" i="1"/>
  <c r="L1951" i="1" s="1"/>
  <c r="K1888" i="1"/>
  <c r="L1888" i="1" s="1"/>
  <c r="K1728" i="1"/>
  <c r="K2168" i="1"/>
  <c r="L2168" i="1" s="1"/>
  <c r="J1637" i="1"/>
  <c r="J1441" i="1"/>
  <c r="J902" i="1"/>
  <c r="J307" i="1"/>
  <c r="J1693" i="1"/>
  <c r="J1280" i="1"/>
  <c r="J1427" i="1"/>
  <c r="J1392" i="1"/>
  <c r="J867" i="1"/>
  <c r="L1427" i="1" l="1"/>
  <c r="K1776" i="1"/>
  <c r="L1776" i="1" s="1"/>
  <c r="K439" i="1"/>
  <c r="L439" i="1" s="1"/>
  <c r="K306" i="1"/>
  <c r="K307" i="1" s="1"/>
  <c r="L307" i="1" s="1"/>
  <c r="K82" i="1"/>
  <c r="L82" i="1" s="1"/>
  <c r="K1531" i="1"/>
  <c r="L1531" i="1" s="1"/>
  <c r="K642" i="1"/>
  <c r="L642" i="1" s="1"/>
  <c r="K1482" i="1"/>
  <c r="L1482" i="1" s="1"/>
  <c r="K922" i="1"/>
  <c r="L922" i="1" s="1"/>
  <c r="K2008" i="1"/>
  <c r="L2008" i="1" s="1"/>
  <c r="K5" i="1"/>
  <c r="K6" i="1" s="1"/>
  <c r="L6" i="1" s="1"/>
  <c r="K831" i="1"/>
  <c r="L831" i="1" s="1"/>
  <c r="K180" i="1"/>
  <c r="K978" i="1"/>
  <c r="L978" i="1" s="1"/>
  <c r="K1146" i="1"/>
  <c r="K1147" i="1" s="1"/>
  <c r="L1147" i="1" s="1"/>
  <c r="K1111" i="1"/>
  <c r="L1111" i="1" s="1"/>
  <c r="L1742" i="1"/>
  <c r="K796" i="1"/>
  <c r="L796" i="1" s="1"/>
  <c r="K1664" i="1"/>
  <c r="L1664" i="1" s="1"/>
  <c r="K824" i="1"/>
  <c r="K825" i="1" s="1"/>
  <c r="K426" i="1"/>
  <c r="K1860" i="1"/>
  <c r="L1860" i="1" s="1"/>
  <c r="K1118" i="1"/>
  <c r="L1118" i="1" s="1"/>
  <c r="K89" i="1"/>
  <c r="K90" i="1" s="1"/>
  <c r="K467" i="1"/>
  <c r="L467" i="1" s="1"/>
  <c r="K110" i="1"/>
  <c r="K111" i="1" s="1"/>
  <c r="K124" i="1"/>
  <c r="K125" i="1" s="1"/>
  <c r="L125" i="1" s="1"/>
  <c r="K1244" i="1"/>
  <c r="L1244" i="1" s="1"/>
  <c r="K726" i="1"/>
  <c r="K727" i="1" s="1"/>
  <c r="K1748" i="1"/>
  <c r="L1748" i="1" s="1"/>
  <c r="K2133" i="1"/>
  <c r="K2134" i="1" s="1"/>
  <c r="L2134" i="1" s="1"/>
  <c r="K173" i="1"/>
  <c r="K174" i="1" s="1"/>
  <c r="K1223" i="1"/>
  <c r="L1223" i="1" s="1"/>
  <c r="K607" i="1"/>
  <c r="L607" i="1" s="1"/>
  <c r="K1594" i="1"/>
  <c r="L1594" i="1" s="1"/>
  <c r="K1552" i="1"/>
  <c r="L1552" i="1" s="1"/>
  <c r="K523" i="1"/>
  <c r="L523" i="1" s="1"/>
  <c r="K915" i="1"/>
  <c r="L915" i="1" s="1"/>
  <c r="K740" i="1"/>
  <c r="L740" i="1" s="1"/>
  <c r="K1055" i="1"/>
  <c r="K2175" i="1"/>
  <c r="L2175" i="1" s="1"/>
  <c r="K96" i="1"/>
  <c r="K97" i="1" s="1"/>
  <c r="K313" i="1"/>
  <c r="K314" i="1" s="1"/>
  <c r="L314" i="1" s="1"/>
  <c r="K1279" i="1"/>
  <c r="K1384" i="1"/>
  <c r="L1384" i="1" s="1"/>
  <c r="K1510" i="1"/>
  <c r="L1510" i="1" s="1"/>
  <c r="K1216" i="1"/>
  <c r="L1216" i="1" s="1"/>
  <c r="K1006" i="1"/>
  <c r="L1006" i="1" s="1"/>
  <c r="K411" i="1"/>
  <c r="L411" i="1" s="1"/>
  <c r="K971" i="1"/>
  <c r="L971" i="1" s="1"/>
  <c r="K369" i="1"/>
  <c r="L369" i="1" s="1"/>
  <c r="K2203" i="1"/>
  <c r="L2203" i="1" s="1"/>
  <c r="K1083" i="1"/>
  <c r="L1083" i="1" s="1"/>
  <c r="K663" i="1"/>
  <c r="K664" i="1" s="1"/>
  <c r="K488" i="1"/>
  <c r="K489" i="1" s="1"/>
  <c r="L489" i="1" s="1"/>
  <c r="L1791" i="1"/>
  <c r="L1271" i="1"/>
  <c r="K1020" i="1"/>
  <c r="L1020" i="1" s="1"/>
  <c r="L1397" i="1"/>
  <c r="K1398" i="1"/>
  <c r="K1399" i="1" s="1"/>
  <c r="K782" i="1"/>
  <c r="L782" i="1" s="1"/>
  <c r="K2035" i="1"/>
  <c r="L2035" i="1" s="1"/>
  <c r="K1328" i="1"/>
  <c r="L1328" i="1" s="1"/>
  <c r="K1615" i="1"/>
  <c r="L1615" i="1" s="1"/>
  <c r="K103" i="1"/>
  <c r="K999" i="1"/>
  <c r="L999" i="1" s="1"/>
  <c r="K201" i="1"/>
  <c r="K202" i="1" s="1"/>
  <c r="L202" i="1" s="1"/>
  <c r="K544" i="1"/>
  <c r="L544" i="1" s="1"/>
  <c r="K1538" i="1"/>
  <c r="L1538" i="1" s="1"/>
  <c r="K1559" i="1"/>
  <c r="L1559" i="1" s="1"/>
  <c r="K33" i="1"/>
  <c r="L33" i="1" s="1"/>
  <c r="K635" i="1"/>
  <c r="L635" i="1" s="1"/>
  <c r="K390" i="1"/>
  <c r="K391" i="1" s="1"/>
  <c r="K684" i="1"/>
  <c r="L684" i="1" s="1"/>
  <c r="K1587" i="1"/>
  <c r="L1587" i="1" s="1"/>
  <c r="K1251" i="1"/>
  <c r="L1251" i="1" s="1"/>
  <c r="L2113" i="1"/>
  <c r="K1258" i="1"/>
  <c r="L1258" i="1" s="1"/>
  <c r="K47" i="1"/>
  <c r="K48" i="1" s="1"/>
  <c r="L48" i="1" s="1"/>
  <c r="K614" i="1"/>
  <c r="K1048" i="1"/>
  <c r="K1049" i="1" s="1"/>
  <c r="L1075" i="1"/>
  <c r="K1076" i="1"/>
  <c r="K1077" i="1" s="1"/>
  <c r="L1677" i="1"/>
  <c r="K1678" i="1"/>
  <c r="L1678" i="1" s="1"/>
  <c r="L2062" i="1"/>
  <c r="K2063" i="1"/>
  <c r="L2063" i="1" s="1"/>
  <c r="L263" i="1"/>
  <c r="K264" i="1"/>
  <c r="L264" i="1" s="1"/>
  <c r="K2245" i="1"/>
  <c r="K2246" i="1" s="1"/>
  <c r="L2244" i="1"/>
  <c r="L627" i="1"/>
  <c r="K628" i="1"/>
  <c r="L628" i="1" s="1"/>
  <c r="K1944" i="1"/>
  <c r="L1944" i="1" s="1"/>
  <c r="K1160" i="1"/>
  <c r="K1490" i="1"/>
  <c r="L1489" i="1"/>
  <c r="L2230" i="1"/>
  <c r="K2231" i="1"/>
  <c r="L2231" i="1" s="1"/>
  <c r="L1922" i="1"/>
  <c r="K1923" i="1"/>
  <c r="L1923" i="1" s="1"/>
  <c r="L2118" i="1"/>
  <c r="K2119" i="1"/>
  <c r="L2119" i="1" s="1"/>
  <c r="L1166" i="1"/>
  <c r="K1167" i="1"/>
  <c r="L1167" i="1" s="1"/>
  <c r="L214" i="1"/>
  <c r="K215" i="1"/>
  <c r="K216" i="1" s="1"/>
  <c r="L216" i="1" s="1"/>
  <c r="L886" i="1"/>
  <c r="K887" i="1"/>
  <c r="L887" i="1" s="1"/>
  <c r="L18" i="1"/>
  <c r="K19" i="1"/>
  <c r="K20" i="1" s="1"/>
  <c r="L571" i="1"/>
  <c r="K572" i="1"/>
  <c r="L572" i="1" s="1"/>
  <c r="L991" i="1"/>
  <c r="K992" i="1"/>
  <c r="L992" i="1" s="1"/>
  <c r="L1957" i="1"/>
  <c r="K1958" i="1"/>
  <c r="L1958" i="1" s="1"/>
  <c r="L1467" i="1"/>
  <c r="K1468" i="1"/>
  <c r="L1468" i="1" s="1"/>
  <c r="L1033" i="1"/>
  <c r="K1034" i="1"/>
  <c r="L1034" i="1" s="1"/>
  <c r="L515" i="1"/>
  <c r="K516" i="1"/>
  <c r="L516" i="1" s="1"/>
  <c r="L1845" i="1"/>
  <c r="K1846" i="1"/>
  <c r="L1846" i="1" s="1"/>
  <c r="L1334" i="1"/>
  <c r="K1335" i="1"/>
  <c r="L1335" i="1" s="1"/>
  <c r="K1202" i="1"/>
  <c r="L2246" i="1"/>
  <c r="L1266" i="1"/>
  <c r="L1490" i="1"/>
  <c r="L1049" i="1"/>
  <c r="L1797" i="1"/>
  <c r="K1273" i="1"/>
  <c r="L1272" i="1"/>
  <c r="K1658" i="1"/>
  <c r="L1657" i="1"/>
  <c r="L1390" i="1"/>
  <c r="K1391" i="1"/>
  <c r="K1392" i="1" s="1"/>
  <c r="L1392" i="1" s="1"/>
  <c r="L1964" i="1"/>
  <c r="K1965" i="1"/>
  <c r="L2076" i="1"/>
  <c r="K2077" i="1"/>
  <c r="K2078" i="1" s="1"/>
  <c r="L2078" i="1" s="1"/>
  <c r="L1495" i="1"/>
  <c r="K1496" i="1"/>
  <c r="L1496" i="1" s="1"/>
  <c r="L298" i="1"/>
  <c r="K299" i="1"/>
  <c r="L299" i="1" s="1"/>
  <c r="L746" i="1"/>
  <c r="K747" i="1"/>
  <c r="L747" i="1" s="1"/>
  <c r="L11" i="1"/>
  <c r="K12" i="1"/>
  <c r="K13" i="1" s="1"/>
  <c r="L13" i="1" s="1"/>
  <c r="L165" i="1"/>
  <c r="K166" i="1"/>
  <c r="L144" i="1"/>
  <c r="K145" i="1"/>
  <c r="L145" i="1" s="1"/>
  <c r="L893" i="1"/>
  <c r="K894" i="1"/>
  <c r="K895" i="1" s="1"/>
  <c r="L459" i="1"/>
  <c r="K460" i="1"/>
  <c r="L460" i="1" s="1"/>
  <c r="L655" i="1"/>
  <c r="K656" i="1"/>
  <c r="L656" i="1" s="1"/>
  <c r="L160" i="1"/>
  <c r="L1350" i="1"/>
  <c r="K852" i="1"/>
  <c r="L852" i="1" s="1"/>
  <c r="L734" i="1"/>
  <c r="K355" i="1"/>
  <c r="L355" i="1" s="1"/>
  <c r="L867" i="1"/>
  <c r="K208" i="1"/>
  <c r="L208" i="1" s="1"/>
  <c r="K586" i="1"/>
  <c r="K587" i="1" s="1"/>
  <c r="K579" i="1"/>
  <c r="L579" i="1" s="1"/>
  <c r="K75" i="1"/>
  <c r="K76" i="1" s="1"/>
  <c r="L76" i="1" s="1"/>
  <c r="L97" i="1"/>
  <c r="K1692" i="1"/>
  <c r="K1693" i="1" s="1"/>
  <c r="L1287" i="1"/>
  <c r="L1735" i="1"/>
  <c r="L1733" i="1"/>
  <c r="L1658" i="1"/>
  <c r="L1798" i="1"/>
  <c r="L20" i="1"/>
  <c r="K1419" i="1"/>
  <c r="K1420" i="1" s="1"/>
  <c r="L1420" i="1" s="1"/>
  <c r="L664" i="1"/>
  <c r="L1273" i="1"/>
  <c r="K285" i="1"/>
  <c r="L285" i="1" s="1"/>
  <c r="L1993" i="1"/>
  <c r="L692" i="1"/>
  <c r="L895" i="1"/>
  <c r="L1349" i="1"/>
  <c r="L2245" i="1"/>
  <c r="L1517" i="1"/>
  <c r="L1209" i="1"/>
  <c r="L1609" i="1"/>
  <c r="L1574" i="1"/>
  <c r="L1077" i="1"/>
  <c r="L1790" i="1"/>
  <c r="L1734" i="1"/>
  <c r="L1398" i="1"/>
  <c r="L1573" i="1"/>
  <c r="L1832" i="1"/>
  <c r="L2021" i="1"/>
  <c r="L1441" i="1"/>
  <c r="K1308" i="1"/>
  <c r="L1308" i="1" s="1"/>
  <c r="L2022" i="1"/>
  <c r="L818" i="1"/>
  <c r="L958" i="1"/>
  <c r="L1399" i="1"/>
  <c r="L1693" i="1"/>
  <c r="K230" i="1"/>
  <c r="L230" i="1" s="1"/>
  <c r="K1021" i="1"/>
  <c r="L1021" i="1" s="1"/>
  <c r="L272" i="1"/>
  <c r="L496" i="1"/>
  <c r="K1637" i="1"/>
  <c r="L1636" i="1"/>
  <c r="K104" i="1"/>
  <c r="L104" i="1" s="1"/>
  <c r="L103" i="1"/>
  <c r="K1714" i="1"/>
  <c r="L1713" i="1"/>
  <c r="K55" i="1"/>
  <c r="L55" i="1" s="1"/>
  <c r="L54" i="1"/>
  <c r="K1343" i="1"/>
  <c r="L1343" i="1" s="1"/>
  <c r="L1342" i="1"/>
  <c r="K251" i="1"/>
  <c r="L250" i="1"/>
  <c r="K678" i="1"/>
  <c r="L678" i="1" s="1"/>
  <c r="L677" i="1"/>
  <c r="K1434" i="1"/>
  <c r="L1433" i="1"/>
  <c r="K1238" i="1"/>
  <c r="L1238" i="1" s="1"/>
  <c r="L1237" i="1"/>
  <c r="K342" i="1"/>
  <c r="L341" i="1"/>
  <c r="L1042" i="1"/>
  <c r="L1581" i="1"/>
  <c r="L1714" i="1"/>
  <c r="L251" i="1"/>
  <c r="L419" i="1"/>
  <c r="L1434" i="1"/>
  <c r="L510" i="1"/>
  <c r="L1770" i="1"/>
  <c r="L90" i="1"/>
  <c r="L1812" i="1"/>
  <c r="K811" i="1"/>
  <c r="L811" i="1" s="1"/>
  <c r="L810" i="1"/>
  <c r="K286" i="1"/>
  <c r="L286" i="1" s="1"/>
  <c r="L825" i="1"/>
  <c r="L173" i="1"/>
  <c r="L1293" i="1"/>
  <c r="L61" i="1"/>
  <c r="L1069" i="1"/>
  <c r="L1909" i="1"/>
  <c r="L1692" i="1"/>
  <c r="L1811" i="1"/>
  <c r="L509" i="1"/>
  <c r="L1601" i="1"/>
  <c r="L138" i="1"/>
  <c r="L537" i="1"/>
  <c r="L1174" i="1"/>
  <c r="L117" i="1"/>
  <c r="L1580" i="1"/>
  <c r="L838" i="1"/>
  <c r="L1608" i="1"/>
  <c r="K83" i="1"/>
  <c r="L83" i="1" s="1"/>
  <c r="K594" i="1"/>
  <c r="L594" i="1" s="1"/>
  <c r="L593" i="1"/>
  <c r="L201" i="1"/>
  <c r="K132" i="1"/>
  <c r="L132" i="1" s="1"/>
  <c r="L131" i="1"/>
  <c r="K335" i="1"/>
  <c r="L334" i="1"/>
  <c r="K1630" i="1"/>
  <c r="L1630" i="1" s="1"/>
  <c r="L1629" i="1"/>
  <c r="K69" i="1"/>
  <c r="L69" i="1" s="1"/>
  <c r="L68" i="1"/>
  <c r="K1231" i="1"/>
  <c r="L1231" i="1" s="1"/>
  <c r="L1230" i="1"/>
  <c r="L5" i="1"/>
  <c r="K181" i="1"/>
  <c r="L181" i="1" s="1"/>
  <c r="L180" i="1"/>
  <c r="K41" i="1"/>
  <c r="L41" i="1" s="1"/>
  <c r="L40" i="1"/>
  <c r="K503" i="1"/>
  <c r="L503" i="1" s="1"/>
  <c r="L502" i="1"/>
  <c r="K1462" i="1"/>
  <c r="L1462" i="1" s="1"/>
  <c r="L1461" i="1"/>
  <c r="K622" i="1"/>
  <c r="L622" i="1" s="1"/>
  <c r="L621" i="1"/>
  <c r="L335" i="1"/>
  <c r="L1546" i="1"/>
  <c r="L699" i="1"/>
  <c r="L1910" i="1"/>
  <c r="L790" i="1"/>
  <c r="K1056" i="1"/>
  <c r="L1056" i="1" s="1"/>
  <c r="L1055" i="1"/>
  <c r="L174" i="1"/>
  <c r="L62" i="1"/>
  <c r="L391" i="1"/>
  <c r="L762" i="1"/>
  <c r="L1882" i="1"/>
  <c r="L27" i="1"/>
  <c r="K1406" i="1"/>
  <c r="L1406" i="1" s="1"/>
  <c r="L1405" i="1"/>
  <c r="K328" i="1"/>
  <c r="L328" i="1" s="1"/>
  <c r="L327" i="1"/>
  <c r="K615" i="1"/>
  <c r="L615" i="1" s="1"/>
  <c r="L614" i="1"/>
  <c r="L488" i="1"/>
  <c r="L110" i="1"/>
  <c r="L397" i="1"/>
  <c r="L1545" i="1"/>
  <c r="L1265" i="1"/>
  <c r="L96" i="1"/>
  <c r="L1426" i="1"/>
  <c r="L705" i="1"/>
  <c r="L495" i="1"/>
  <c r="L446" i="1"/>
  <c r="L789" i="1"/>
  <c r="L1881" i="1"/>
  <c r="L873" i="1"/>
  <c r="L1769" i="1"/>
  <c r="L1146" i="1"/>
  <c r="L2112" i="1"/>
  <c r="L663" i="1"/>
  <c r="L418" i="1"/>
  <c r="L1637" i="1"/>
  <c r="K930" i="1"/>
  <c r="L930" i="1" s="1"/>
  <c r="L929" i="1"/>
  <c r="K153" i="1"/>
  <c r="L153" i="1" s="1"/>
  <c r="L152" i="1"/>
  <c r="K755" i="1"/>
  <c r="L755" i="1" s="1"/>
  <c r="L754" i="1"/>
  <c r="K1378" i="1"/>
  <c r="L1378" i="1" s="1"/>
  <c r="L1377" i="1"/>
  <c r="K1091" i="1"/>
  <c r="L1091" i="1" s="1"/>
  <c r="L1090" i="1"/>
  <c r="L2133" i="1"/>
  <c r="K475" i="1"/>
  <c r="L475" i="1" s="1"/>
  <c r="L474" i="1"/>
  <c r="K1280" i="1"/>
  <c r="L1280" i="1" s="1"/>
  <c r="L1279" i="1"/>
  <c r="K167" i="1"/>
  <c r="L167" i="1" s="1"/>
  <c r="L166" i="1"/>
  <c r="L1602" i="1"/>
  <c r="L1686" i="1"/>
  <c r="L1126" i="1"/>
  <c r="L398" i="1"/>
  <c r="L538" i="1"/>
  <c r="L727" i="1"/>
  <c r="L139" i="1"/>
  <c r="L1098" i="1"/>
  <c r="L1322" i="1"/>
  <c r="L1455" i="1"/>
  <c r="L447" i="1"/>
  <c r="L118" i="1"/>
  <c r="L1070" i="1"/>
  <c r="L1826" i="1"/>
  <c r="K1063" i="1"/>
  <c r="L1063" i="1" s="1"/>
  <c r="L1062" i="1"/>
  <c r="K986" i="1"/>
  <c r="L986" i="1" s="1"/>
  <c r="L985" i="1"/>
  <c r="K223" i="1"/>
  <c r="L223" i="1" s="1"/>
  <c r="L222" i="1"/>
  <c r="L1833" i="1"/>
  <c r="L1048" i="1"/>
  <c r="L1286" i="1"/>
  <c r="L390" i="1"/>
  <c r="L733" i="1"/>
  <c r="L1741" i="1"/>
  <c r="L278" i="1"/>
  <c r="L426" i="1"/>
  <c r="L159" i="1"/>
  <c r="L866" i="1"/>
  <c r="L1825" i="1"/>
  <c r="L1125" i="1"/>
  <c r="L698" i="1"/>
  <c r="L1097" i="1"/>
  <c r="L26" i="1"/>
  <c r="L817" i="1"/>
  <c r="L691" i="1"/>
  <c r="L845" i="1"/>
  <c r="L957" i="1"/>
  <c r="K1203" i="1"/>
  <c r="L1203" i="1" s="1"/>
  <c r="L1202" i="1"/>
  <c r="K902" i="1"/>
  <c r="L902" i="1" s="1"/>
  <c r="L901" i="1"/>
  <c r="K643" i="1"/>
  <c r="L643" i="1" s="1"/>
  <c r="K1182" i="1"/>
  <c r="L1182" i="1" s="1"/>
  <c r="L1181" i="1"/>
  <c r="K650" i="1"/>
  <c r="L650" i="1" s="1"/>
  <c r="L649" i="1"/>
  <c r="K1966" i="1"/>
  <c r="L1966" i="1" s="1"/>
  <c r="L1965" i="1"/>
  <c r="L111" i="1"/>
  <c r="L1175" i="1"/>
  <c r="L846" i="1"/>
  <c r="L342" i="1"/>
  <c r="L279" i="1"/>
  <c r="L1154" i="1"/>
  <c r="L1294" i="1"/>
  <c r="L874" i="1"/>
  <c r="L706" i="1"/>
  <c r="L587" i="1"/>
  <c r="L824" i="1"/>
  <c r="L726" i="1"/>
  <c r="L1041" i="1"/>
  <c r="L586" i="1"/>
  <c r="L761" i="1"/>
  <c r="L1685" i="1"/>
  <c r="L1454" i="1"/>
  <c r="L1440" i="1"/>
  <c r="L271" i="1"/>
  <c r="L89" i="1"/>
  <c r="L1321" i="1"/>
  <c r="L306" i="1"/>
  <c r="L12" i="1"/>
  <c r="L894" i="1"/>
  <c r="L1728" i="1"/>
  <c r="K2036" i="1"/>
  <c r="L2036" i="1" s="1"/>
  <c r="K1644" i="1"/>
  <c r="L1644" i="1" s="1"/>
  <c r="K2029" i="1"/>
  <c r="L2029" i="1" s="1"/>
  <c r="K1000" i="1"/>
  <c r="L1000" i="1" s="1"/>
  <c r="K545" i="1"/>
  <c r="L545" i="1" s="1"/>
  <c r="K1525" i="1"/>
  <c r="L1525" i="1" s="1"/>
  <c r="K951" i="1"/>
  <c r="L951" i="1" s="1"/>
  <c r="K2057" i="1"/>
  <c r="L2057" i="1" s="1"/>
  <c r="K1623" i="1"/>
  <c r="L1623" i="1" s="1"/>
  <c r="K601" i="1"/>
  <c r="L601" i="1" s="1"/>
  <c r="K1763" i="1"/>
  <c r="L1763" i="1" s="1"/>
  <c r="K1917" i="1"/>
  <c r="L1917" i="1" s="1"/>
  <c r="K1217" i="1"/>
  <c r="L1217" i="1" s="1"/>
  <c r="K1189" i="1"/>
  <c r="L1189" i="1" s="1"/>
  <c r="K524" i="1"/>
  <c r="L524" i="1" s="1"/>
  <c r="K972" i="1"/>
  <c r="L972" i="1" s="1"/>
  <c r="K2183" i="1"/>
  <c r="L2183" i="1" s="1"/>
  <c r="K573" i="1"/>
  <c r="L573" i="1" s="1"/>
  <c r="K356" i="1"/>
  <c r="L356" i="1" s="1"/>
  <c r="K1756" i="1"/>
  <c r="L1756" i="1" s="1"/>
  <c r="K188" i="1"/>
  <c r="L188" i="1" s="1"/>
  <c r="K1847" i="1"/>
  <c r="L1847" i="1" s="1"/>
  <c r="K2141" i="1"/>
  <c r="L2141" i="1" s="1"/>
  <c r="K552" i="1"/>
  <c r="L552" i="1" s="1"/>
  <c r="K2043" i="1"/>
  <c r="L2043" i="1" s="1"/>
  <c r="K1539" i="1"/>
  <c r="L1539" i="1" s="1"/>
  <c r="K377" i="1"/>
  <c r="L377" i="1" s="1"/>
  <c r="K1861" i="1"/>
  <c r="L1861" i="1" s="1"/>
  <c r="K1301" i="1"/>
  <c r="L1301" i="1" s="1"/>
  <c r="K349" i="1"/>
  <c r="L349" i="1" s="1"/>
  <c r="K433" i="1"/>
  <c r="L433" i="1" s="1"/>
  <c r="K1749" i="1"/>
  <c r="L1749" i="1" s="1"/>
  <c r="K2176" i="1"/>
  <c r="L2176" i="1" s="1"/>
  <c r="K923" i="1"/>
  <c r="L923" i="1" s="1"/>
  <c r="K832" i="1"/>
  <c r="L832" i="1" s="1"/>
  <c r="K2099" i="1"/>
  <c r="L2099" i="1" s="1"/>
  <c r="K1679" i="1"/>
  <c r="L1679" i="1" s="1"/>
  <c r="K265" i="1"/>
  <c r="L265" i="1" s="1"/>
  <c r="K321" i="1"/>
  <c r="L321" i="1" s="1"/>
  <c r="K629" i="1"/>
  <c r="L629" i="1" s="1"/>
  <c r="K713" i="1"/>
  <c r="L713" i="1" s="1"/>
  <c r="K636" i="1"/>
  <c r="L636" i="1" s="1"/>
  <c r="K685" i="1"/>
  <c r="L685" i="1" s="1"/>
  <c r="K657" i="1"/>
  <c r="L657" i="1" s="1"/>
  <c r="K2071" i="1"/>
  <c r="L2071" i="1" s="1"/>
  <c r="K1371" i="1"/>
  <c r="L1371" i="1" s="1"/>
  <c r="K1980" i="1"/>
  <c r="L1980" i="1" s="1"/>
  <c r="K853" i="1"/>
  <c r="L853" i="1" s="1"/>
  <c r="K2169" i="1"/>
  <c r="L2169" i="1" s="1"/>
  <c r="K1889" i="1"/>
  <c r="L1889" i="1" s="1"/>
  <c r="K1168" i="1"/>
  <c r="L1168" i="1" s="1"/>
  <c r="K776" i="1"/>
  <c r="L776" i="1" s="1"/>
  <c r="K1819" i="1"/>
  <c r="L1819" i="1" s="1"/>
  <c r="K1413" i="1"/>
  <c r="L1413" i="1" s="1"/>
  <c r="K909" i="1"/>
  <c r="L909" i="1" s="1"/>
  <c r="K2239" i="1"/>
  <c r="L2239" i="1" s="1"/>
  <c r="K1483" i="1"/>
  <c r="L1483" i="1" s="1"/>
  <c r="K965" i="1"/>
  <c r="L965" i="1" s="1"/>
  <c r="K1987" i="1"/>
  <c r="L1987" i="1" s="1"/>
  <c r="K1868" i="1"/>
  <c r="L1868" i="1" s="1"/>
  <c r="K1903" i="1"/>
  <c r="L1903" i="1" s="1"/>
  <c r="K1105" i="1"/>
  <c r="L1105" i="1" s="1"/>
  <c r="K1567" i="1"/>
  <c r="L1567" i="1" s="1"/>
  <c r="K384" i="1"/>
  <c r="L384" i="1" s="1"/>
  <c r="K1721" i="1"/>
  <c r="L1721" i="1" s="1"/>
  <c r="K2085" i="1"/>
  <c r="L2085" i="1" s="1"/>
  <c r="K300" i="1"/>
  <c r="L300" i="1" s="1"/>
  <c r="K748" i="1"/>
  <c r="L748" i="1" s="1"/>
  <c r="K237" i="1"/>
  <c r="L237" i="1" s="1"/>
  <c r="K1959" i="1"/>
  <c r="L1959" i="1" s="1"/>
  <c r="K1140" i="1"/>
  <c r="L1140" i="1" s="1"/>
  <c r="K1252" i="1"/>
  <c r="L1252" i="1" s="1"/>
  <c r="K1112" i="1"/>
  <c r="L1112" i="1" s="1"/>
  <c r="K1651" i="1"/>
  <c r="L1651" i="1" s="1"/>
  <c r="K881" i="1"/>
  <c r="L881" i="1" s="1"/>
  <c r="K2015" i="1"/>
  <c r="L2015" i="1" s="1"/>
  <c r="K769" i="1"/>
  <c r="L769" i="1" s="1"/>
  <c r="K2211" i="1"/>
  <c r="L2211" i="1" s="1"/>
  <c r="K1973" i="1"/>
  <c r="L1973" i="1" s="1"/>
  <c r="K1259" i="1"/>
  <c r="L1259" i="1" s="1"/>
  <c r="K797" i="1"/>
  <c r="L797" i="1" s="1"/>
  <c r="K1448" i="1"/>
  <c r="L1448" i="1" s="1"/>
  <c r="K1504" i="1"/>
  <c r="L1504" i="1" s="1"/>
  <c r="K1924" i="1"/>
  <c r="L1924" i="1" s="1"/>
  <c r="K1616" i="1"/>
  <c r="L1616" i="1" s="1"/>
  <c r="K888" i="1"/>
  <c r="L888" i="1" s="1"/>
  <c r="K293" i="1"/>
  <c r="L293" i="1" s="1"/>
  <c r="K993" i="1"/>
  <c r="L993" i="1" s="1"/>
  <c r="K1700" i="1"/>
  <c r="L1700" i="1" s="1"/>
  <c r="K209" i="1"/>
  <c r="L209" i="1" s="1"/>
  <c r="K2127" i="1"/>
  <c r="L2127" i="1" s="1"/>
  <c r="K1364" i="1"/>
  <c r="L1364" i="1" s="1"/>
  <c r="K1476" i="1"/>
  <c r="L1476" i="1" s="1"/>
  <c r="K937" i="1"/>
  <c r="L937" i="1" s="1"/>
  <c r="K1196" i="1"/>
  <c r="L1196" i="1" s="1"/>
  <c r="K1224" i="1"/>
  <c r="L1224" i="1" s="1"/>
  <c r="K1875" i="1"/>
  <c r="L1875" i="1" s="1"/>
  <c r="K1511" i="1"/>
  <c r="L1511" i="1" s="1"/>
  <c r="K412" i="1"/>
  <c r="L412" i="1" s="1"/>
  <c r="K860" i="1"/>
  <c r="L860" i="1" s="1"/>
  <c r="K1707" i="1"/>
  <c r="L1707" i="1" s="1"/>
  <c r="K1035" i="1"/>
  <c r="L1035" i="1" s="1"/>
  <c r="K2204" i="1"/>
  <c r="L2204" i="1" s="1"/>
  <c r="K2155" i="1"/>
  <c r="L2155" i="1" s="1"/>
  <c r="K1028" i="1"/>
  <c r="L1028" i="1" s="1"/>
  <c r="K405" i="1"/>
  <c r="L405" i="1" s="1"/>
  <c r="K1084" i="1"/>
  <c r="L1084" i="1" s="1"/>
  <c r="K1931" i="1"/>
  <c r="L1931" i="1" s="1"/>
  <c r="K580" i="1"/>
  <c r="L580" i="1" s="1"/>
  <c r="K454" i="1"/>
  <c r="L454" i="1" s="1"/>
  <c r="K720" i="1"/>
  <c r="L720" i="1" s="1"/>
  <c r="K944" i="1"/>
  <c r="L944" i="1" s="1"/>
  <c r="K1357" i="1"/>
  <c r="L1357" i="1" s="1"/>
  <c r="K1784" i="1"/>
  <c r="L1784" i="1" s="1"/>
  <c r="K2190" i="1"/>
  <c r="L2190" i="1" s="1"/>
  <c r="K1777" i="1"/>
  <c r="L1777" i="1" s="1"/>
  <c r="K2001" i="1"/>
  <c r="L2001" i="1" s="1"/>
  <c r="K1672" i="1"/>
  <c r="L1672" i="1" s="1"/>
  <c r="K1840" i="1"/>
  <c r="L1840" i="1" s="1"/>
  <c r="K2106" i="1"/>
  <c r="L2106" i="1" s="1"/>
  <c r="K2092" i="1"/>
  <c r="L2092" i="1" s="1"/>
  <c r="K1007" i="1"/>
  <c r="L1007" i="1" s="1"/>
  <c r="K1497" i="1"/>
  <c r="L1497" i="1" s="1"/>
  <c r="K916" i="1"/>
  <c r="L916" i="1" s="1"/>
  <c r="K1133" i="1"/>
  <c r="L1133" i="1" s="1"/>
  <c r="K1532" i="1"/>
  <c r="L1532" i="1" s="1"/>
  <c r="K482" i="1"/>
  <c r="L482" i="1" s="1"/>
  <c r="K1854" i="1"/>
  <c r="L1854" i="1" s="1"/>
  <c r="K1014" i="1"/>
  <c r="L1014" i="1" s="1"/>
  <c r="K531" i="1"/>
  <c r="L531" i="1" s="1"/>
  <c r="K1805" i="1"/>
  <c r="L1805" i="1" s="1"/>
  <c r="K783" i="1"/>
  <c r="L783" i="1" s="1"/>
  <c r="K1896" i="1"/>
  <c r="L1896" i="1" s="1"/>
  <c r="K468" i="1"/>
  <c r="L468" i="1" s="1"/>
  <c r="K258" i="1"/>
  <c r="L258" i="1" s="1"/>
  <c r="K671" i="1"/>
  <c r="L671" i="1" s="1"/>
  <c r="K1245" i="1"/>
  <c r="L1245" i="1" s="1"/>
  <c r="K1938" i="1"/>
  <c r="L1938" i="1" s="1"/>
  <c r="K1315" i="1"/>
  <c r="L1315" i="1" s="1"/>
  <c r="K608" i="1"/>
  <c r="L608" i="1" s="1"/>
  <c r="K363" i="1"/>
  <c r="L363" i="1" s="1"/>
  <c r="K559" i="1"/>
  <c r="L559" i="1" s="1"/>
  <c r="K979" i="1"/>
  <c r="L979" i="1" s="1"/>
  <c r="K244" i="1"/>
  <c r="L244" i="1" s="1"/>
  <c r="K804" i="1"/>
  <c r="L804" i="1" s="1"/>
  <c r="K1952" i="1"/>
  <c r="L1952" i="1" s="1"/>
  <c r="K195" i="1"/>
  <c r="L195" i="1" s="1"/>
  <c r="K1560" i="1"/>
  <c r="L1560" i="1" s="1"/>
  <c r="K1945" i="1"/>
  <c r="L1945" i="1" s="1"/>
  <c r="K2148" i="1"/>
  <c r="L2148" i="1" s="1"/>
  <c r="K1385" i="1"/>
  <c r="L1385" i="1" s="1"/>
  <c r="K2218" i="1"/>
  <c r="L2218" i="1" s="1"/>
  <c r="K1553" i="1"/>
  <c r="L1553" i="1" s="1"/>
  <c r="K2225" i="1"/>
  <c r="L2225" i="1" s="1"/>
  <c r="K2197" i="1"/>
  <c r="L2197" i="1" s="1"/>
  <c r="K34" i="1"/>
  <c r="L34" i="1" s="1"/>
  <c r="K566" i="1"/>
  <c r="L566" i="1" s="1"/>
  <c r="K370" i="1" l="1"/>
  <c r="L370" i="1" s="1"/>
  <c r="K2064" i="1"/>
  <c r="L2064" i="1" s="1"/>
  <c r="L2077" i="1"/>
  <c r="L313" i="1"/>
  <c r="K1119" i="1"/>
  <c r="L1119" i="1" s="1"/>
  <c r="K461" i="1"/>
  <c r="L461" i="1" s="1"/>
  <c r="K1595" i="1"/>
  <c r="L1595" i="1" s="1"/>
  <c r="K741" i="1"/>
  <c r="L741" i="1" s="1"/>
  <c r="K2120" i="1"/>
  <c r="L2120" i="1" s="1"/>
  <c r="K440" i="1"/>
  <c r="L440" i="1" s="1"/>
  <c r="L124" i="1"/>
  <c r="L47" i="1"/>
  <c r="L19" i="1"/>
  <c r="L215" i="1"/>
  <c r="K1329" i="1"/>
  <c r="L1329" i="1" s="1"/>
  <c r="K146" i="1"/>
  <c r="L146" i="1" s="1"/>
  <c r="K2232" i="1"/>
  <c r="L2232" i="1" s="1"/>
  <c r="K1469" i="1"/>
  <c r="L1469" i="1" s="1"/>
  <c r="K1336" i="1"/>
  <c r="L1336" i="1" s="1"/>
  <c r="K1588" i="1"/>
  <c r="L1588" i="1" s="1"/>
  <c r="K517" i="1"/>
  <c r="L517" i="1" s="1"/>
  <c r="L1076" i="1"/>
  <c r="L1391" i="1"/>
  <c r="K1665" i="1"/>
  <c r="L1665" i="1" s="1"/>
  <c r="L75" i="1"/>
  <c r="L1419" i="1"/>
  <c r="L1160" i="1"/>
  <c r="K1161" i="1"/>
  <c r="L1161" i="1" s="1"/>
  <c r="N11" i="1" l="1"/>
  <c r="N9" i="1"/>
</calcChain>
</file>

<file path=xl/sharedStrings.xml><?xml version="1.0" encoding="utf-8"?>
<sst xmlns="http://schemas.openxmlformats.org/spreadsheetml/2006/main" count="15" uniqueCount="15">
  <si>
    <t>date_VIX</t>
  </si>
  <si>
    <t>SP500_modified</t>
  </si>
  <si>
    <t>SP500</t>
  </si>
  <si>
    <t>VIXCLS</t>
  </si>
  <si>
    <t>VIX_modified</t>
  </si>
  <si>
    <t>rolling_max_SP500</t>
  </si>
  <si>
    <t>drawdown_SP500</t>
  </si>
  <si>
    <t>stress_daily</t>
  </si>
  <si>
    <t>date</t>
  </si>
  <si>
    <t>drawdown_SP500_alldays</t>
  </si>
  <si>
    <t>VIX_alldays</t>
  </si>
  <si>
    <t>number of obs</t>
  </si>
  <si>
    <t>stress days</t>
  </si>
  <si>
    <t>stress days relative</t>
  </si>
  <si>
    <t>avg drawdown 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</si>
</sst>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14">
    <dxf>
      <numFmt numFmtId="1" formatCode="0"/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085A0E-546F-45E3-B8E1-E4EAB84F71C2}" name="Table1" displayName="Table1" ref="A1:G1610" totalsRowShown="0" headerRowDxfId="13" headerRowBorderDxfId="12" tableBorderDxfId="11">
  <autoFilter ref="A1:G1610" xr:uid="{B0085A0E-546F-45E3-B8E1-E4EAB84F71C2}"/>
  <tableColumns count="7">
    <tableColumn id="1" xr3:uid="{5BE50CAE-8C26-4E27-8774-2C54602D8649}" name="date_VIX" dataDxfId="10"/>
    <tableColumn id="2" xr3:uid="{3A1739C4-F435-492B-8C2C-FABBD44DEA3E}" name="VIXCLS" dataDxfId="9"/>
    <tableColumn id="3" xr3:uid="{FF9E3370-C985-427B-AB4C-CFD1425BE92E}" name="VIX_modified" dataDxfId="8">
      <calculatedColumnFormula>IF(B2="",B1,B2)</calculatedColumnFormula>
    </tableColumn>
    <tableColumn id="4" xr3:uid="{DD166769-6F29-4804-898B-524C2F09D125}" name="SP500" dataDxfId="7"/>
    <tableColumn id="5" xr3:uid="{14F83212-CB5A-4E46-9754-FAC278DBE5F2}" name="SP500_modified" dataDxfId="6">
      <calculatedColumnFormula>IF(D2="",D1,D2)</calculatedColumnFormula>
    </tableColumn>
    <tableColumn id="6" xr3:uid="{7F29C0AF-73F7-498F-A5B2-BFF50679C1F4}" name="rolling_max_SP500" dataDxfId="5">
      <calculatedColumnFormula>MAX($E$2:E2)</calculatedColumnFormula>
    </tableColumn>
    <tableColumn id="7" xr3:uid="{10E17D10-BBA7-40FB-A91B-BEB2E0A6A78F}" name="drawdown_SP500" dataDxfId="4">
      <calculatedColumnFormula>(E2-F2)/F2*100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1DA36-94DB-415A-AAEB-A9081CD176CD}" name="Table2" displayName="Table2" ref="I1:L2252" totalsRowShown="0">
  <autoFilter ref="I1:L2252" xr:uid="{DF81DA36-94DB-415A-AAEB-A9081CD176CD}"/>
  <sortState xmlns:xlrd2="http://schemas.microsoft.com/office/spreadsheetml/2017/richdata2" ref="I2:L2252">
    <sortCondition ref="I1:I2252"/>
  </sortState>
  <tableColumns count="4">
    <tableColumn id="1" xr3:uid="{27C16943-463B-4DB2-B6AA-7961032752B7}" name="date" dataDxfId="3"/>
    <tableColumn id="2" xr3:uid="{DAAA9FF4-8173-42A5-893F-F1E23E6629D6}" name="VIX_alldays" dataDxfId="2">
      <calculatedColumnFormula>IFERROR(VLOOKUP(I2,$A$1:$G$1610,3,FALSE),J1)</calculatedColumnFormula>
    </tableColumn>
    <tableColumn id="3" xr3:uid="{F544E0FC-459C-4852-8655-32E7C9977BFD}" name="drawdown_SP500_alldays" dataDxfId="1">
      <calculatedColumnFormula>IFERROR(VLOOKUP(I2,$A$1:$G$1610,7,FALSE),K1)</calculatedColumnFormula>
    </tableColumn>
    <tableColumn id="4" xr3:uid="{12CEA0FF-748F-4DD8-A6C5-D7BBD174BCE6}" name="stress_daily" dataDxfId="0">
      <calculatedColumnFormula>IF(OR(J2&gt;=30,K2&lt;-10),1,0)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655B-6325-4833-A843-84B583545B14}">
  <dimension ref="A1:N2252"/>
  <sheetViews>
    <sheetView tabSelected="1" zoomScaleNormal="100" workbookViewId="0">
      <selection activeCell="M15" sqref="M15"/>
    </sheetView>
  </sheetViews>
  <sheetFormatPr defaultRowHeight="15" x14ac:dyDescent="0.25"/>
  <cols>
    <col min="1" max="1" width="13.5703125" style="2" bestFit="1" customWidth="1"/>
    <col min="2" max="2" width="11.5703125" style="3" bestFit="1" customWidth="1"/>
    <col min="3" max="3" width="17.85546875" style="3" bestFit="1" customWidth="1"/>
    <col min="4" max="4" width="10.7109375" style="3" bestFit="1" customWidth="1"/>
    <col min="5" max="5" width="20" style="3" bestFit="1" customWidth="1"/>
    <col min="6" max="6" width="22.42578125" style="3" bestFit="1" customWidth="1"/>
    <col min="7" max="7" width="21.28515625" style="3" bestFit="1" customWidth="1"/>
    <col min="9" max="9" width="10.140625" style="2" bestFit="1" customWidth="1"/>
    <col min="10" max="10" width="25.140625" style="3" bestFit="1" customWidth="1"/>
    <col min="11" max="11" width="25.85546875" style="3" customWidth="1"/>
    <col min="12" max="12" width="13.5703125" style="5" customWidth="1"/>
    <col min="14" max="14" width="21" bestFit="1" customWidth="1"/>
    <col min="15" max="15" width="8.42578125" customWidth="1"/>
  </cols>
  <sheetData>
    <row r="1" spans="1:14" x14ac:dyDescent="0.25">
      <c r="A1" s="1" t="s">
        <v>0</v>
      </c>
      <c r="B1" s="4" t="s">
        <v>3</v>
      </c>
      <c r="C1" s="4" t="s">
        <v>4</v>
      </c>
      <c r="D1" s="4" t="s">
        <v>2</v>
      </c>
      <c r="E1" s="4" t="s">
        <v>1</v>
      </c>
      <c r="F1" s="4" t="s">
        <v>5</v>
      </c>
      <c r="G1" s="4" t="s">
        <v>6</v>
      </c>
      <c r="I1" s="2" t="s">
        <v>8</v>
      </c>
      <c r="J1" s="3" t="s">
        <v>10</v>
      </c>
      <c r="K1" s="3" t="s">
        <v>9</v>
      </c>
      <c r="L1" s="5" t="s">
        <v>7</v>
      </c>
    </row>
    <row r="2" spans="1:14" x14ac:dyDescent="0.25">
      <c r="A2" s="2">
        <v>43831</v>
      </c>
      <c r="C2" s="3">
        <v>12.47</v>
      </c>
      <c r="E2" s="3">
        <f>IF(D2="",D3,D2)</f>
        <v>3257.85</v>
      </c>
      <c r="F2" s="3">
        <f>MAX($E$2:E2)</f>
        <v>3257.85</v>
      </c>
      <c r="G2" s="3">
        <f t="shared" ref="G2:G65" si="0">(E2-F2)/F2*100</f>
        <v>0</v>
      </c>
      <c r="I2" s="2">
        <v>43831</v>
      </c>
      <c r="J2" s="3">
        <f>IFERROR(VLOOKUP(I2,$A$1:$G$1610,3,FALSE),J1)</f>
        <v>12.47</v>
      </c>
      <c r="K2" s="3">
        <f>IFERROR(VLOOKUP(I2,$A$1:$G$1610,7,FALSE),K1)</f>
        <v>0</v>
      </c>
      <c r="L2" s="5">
        <f t="shared" ref="L2:L65" si="1">IF(OR(J2&gt;=30,K2&lt;-10),1,0)</f>
        <v>0</v>
      </c>
      <c r="N2" t="s">
        <v>11</v>
      </c>
    </row>
    <row r="3" spans="1:14" x14ac:dyDescent="0.25">
      <c r="A3" s="2">
        <v>43832</v>
      </c>
      <c r="B3" s="3">
        <v>12.47</v>
      </c>
      <c r="C3" s="3">
        <f t="shared" ref="C3:C66" si="2">IF(B3="",B2,B3)</f>
        <v>12.47</v>
      </c>
      <c r="D3" s="3">
        <v>3257.85</v>
      </c>
      <c r="E3" s="3">
        <f>IF(D3="",D1,D3)</f>
        <v>3257.85</v>
      </c>
      <c r="F3" s="3">
        <f>MAX($E$2:E3)</f>
        <v>3257.85</v>
      </c>
      <c r="G3" s="3">
        <f t="shared" si="0"/>
        <v>0</v>
      </c>
      <c r="I3" s="2">
        <v>43832</v>
      </c>
      <c r="J3" s="3">
        <f>IFERROR(VLOOKUP(I3,$A$1:$G$1610,3,FALSE),J2)</f>
        <v>12.47</v>
      </c>
      <c r="K3" s="3">
        <f>IFERROR(VLOOKUP(I3,$A$1:$G$1610,7,FALSE),K2)</f>
        <v>0</v>
      </c>
      <c r="L3" s="5">
        <f t="shared" si="1"/>
        <v>0</v>
      </c>
      <c r="N3">
        <f>COUNT(I:I)</f>
        <v>2251</v>
      </c>
    </row>
    <row r="4" spans="1:14" x14ac:dyDescent="0.25">
      <c r="A4" s="2">
        <v>43833</v>
      </c>
      <c r="B4" s="3">
        <v>14.02</v>
      </c>
      <c r="C4" s="3">
        <f>IF(B4="",B3,B4)</f>
        <v>14.02</v>
      </c>
      <c r="D4" s="3">
        <v>3234.85</v>
      </c>
      <c r="E4" s="3">
        <f>IF(D4="",D3,D4)</f>
        <v>3234.85</v>
      </c>
      <c r="F4" s="3">
        <f>MAX($E$2:E4)</f>
        <v>3257.85</v>
      </c>
      <c r="G4" s="3">
        <f t="shared" si="0"/>
        <v>-0.70598707736697519</v>
      </c>
      <c r="I4" s="2">
        <v>43833</v>
      </c>
      <c r="J4" s="3">
        <f>IFERROR(VLOOKUP(I4,$A$1:$G$1610,3,FALSE),J3)</f>
        <v>14.02</v>
      </c>
      <c r="K4" s="3">
        <f>IFERROR(VLOOKUP(I4,$A$1:$G$1610,7,FALSE),K3)</f>
        <v>-0.70598707736697519</v>
      </c>
      <c r="L4" s="5">
        <f t="shared" si="1"/>
        <v>0</v>
      </c>
    </row>
    <row r="5" spans="1:14" x14ac:dyDescent="0.25">
      <c r="A5" s="2">
        <v>43836</v>
      </c>
      <c r="B5" s="3">
        <v>13.85</v>
      </c>
      <c r="C5" s="3">
        <f>IF(B5="",B4,B5)</f>
        <v>13.85</v>
      </c>
      <c r="D5" s="3">
        <v>3246.28</v>
      </c>
      <c r="E5" s="3">
        <f>IF(D5="",D4,D5)</f>
        <v>3246.28</v>
      </c>
      <c r="F5" s="3">
        <f>MAX($E$2:E5)</f>
        <v>3257.85</v>
      </c>
      <c r="G5" s="3">
        <f>(E5-F5)/F5*100</f>
        <v>-0.35514219500589989</v>
      </c>
      <c r="I5" s="2">
        <v>43834</v>
      </c>
      <c r="J5" s="3">
        <f>IFERROR(VLOOKUP(I5,$A$1:$G$1610,3,FALSE),J4)</f>
        <v>14.02</v>
      </c>
      <c r="K5" s="3">
        <f>IFERROR(VLOOKUP(I5,$A$1:$G$1610,7,FALSE),K4)</f>
        <v>-0.70598707736697519</v>
      </c>
      <c r="L5" s="5">
        <f t="shared" si="1"/>
        <v>0</v>
      </c>
      <c r="N5" t="s">
        <v>12</v>
      </c>
    </row>
    <row r="6" spans="1:14" x14ac:dyDescent="0.25">
      <c r="A6" s="2">
        <v>43837</v>
      </c>
      <c r="B6" s="3">
        <v>13.79</v>
      </c>
      <c r="C6" s="3">
        <f t="shared" si="2"/>
        <v>13.79</v>
      </c>
      <c r="D6" s="3">
        <v>3237.18</v>
      </c>
      <c r="E6" s="3">
        <f t="shared" ref="E6:E68" si="3">IF(D6="",D5,D6)</f>
        <v>3237.18</v>
      </c>
      <c r="F6" s="3">
        <f>MAX($E$2:E6)</f>
        <v>3257.85</v>
      </c>
      <c r="G6" s="3">
        <f t="shared" si="0"/>
        <v>-0.63446751692067083</v>
      </c>
      <c r="I6" s="2">
        <v>43835</v>
      </c>
      <c r="J6" s="3">
        <f>IFERROR(VLOOKUP(I6,$A$1:$G$1610,3,FALSE),J5)</f>
        <v>14.02</v>
      </c>
      <c r="K6" s="3">
        <f>IFERROR(VLOOKUP(I6,$A$1:$G$1610,7,FALSE),K5)</f>
        <v>-0.70598707736697519</v>
      </c>
      <c r="L6" s="5">
        <f t="shared" si="1"/>
        <v>0</v>
      </c>
      <c r="N6">
        <f>COUNTIF(L:L,1)</f>
        <v>635</v>
      </c>
    </row>
    <row r="7" spans="1:14" x14ac:dyDescent="0.25">
      <c r="A7" s="2">
        <v>43838</v>
      </c>
      <c r="B7" s="3">
        <v>13.45</v>
      </c>
      <c r="C7" s="3">
        <f t="shared" si="2"/>
        <v>13.45</v>
      </c>
      <c r="D7" s="3">
        <v>3253.05</v>
      </c>
      <c r="E7" s="3">
        <f t="shared" si="3"/>
        <v>3253.05</v>
      </c>
      <c r="F7" s="3">
        <f>MAX($E$2:E7)</f>
        <v>3257.85</v>
      </c>
      <c r="G7" s="3">
        <f t="shared" si="0"/>
        <v>-0.14733643353744733</v>
      </c>
      <c r="I7" s="2">
        <v>43836</v>
      </c>
      <c r="J7" s="3">
        <f>IFERROR(VLOOKUP(I7,$A$1:$G$1610,3,FALSE),J6)</f>
        <v>13.85</v>
      </c>
      <c r="K7" s="3">
        <f>IFERROR(VLOOKUP(I7,$A$1:$G$1610,7,FALSE),K6)</f>
        <v>-0.35514219500589989</v>
      </c>
      <c r="L7" s="5">
        <f t="shared" si="1"/>
        <v>0</v>
      </c>
    </row>
    <row r="8" spans="1:14" x14ac:dyDescent="0.25">
      <c r="A8" s="2">
        <v>43839</v>
      </c>
      <c r="B8" s="3">
        <v>12.54</v>
      </c>
      <c r="C8" s="3">
        <f t="shared" si="2"/>
        <v>12.54</v>
      </c>
      <c r="D8" s="3">
        <v>3274.7</v>
      </c>
      <c r="E8" s="3">
        <f t="shared" si="3"/>
        <v>3274.7</v>
      </c>
      <c r="F8" s="3">
        <f>MAX($E$2:E8)</f>
        <v>3274.7</v>
      </c>
      <c r="G8" s="3">
        <f t="shared" si="0"/>
        <v>0</v>
      </c>
      <c r="I8" s="2">
        <v>43837</v>
      </c>
      <c r="J8" s="3">
        <f>IFERROR(VLOOKUP(I8,$A$1:$G$1610,3,FALSE),J7)</f>
        <v>13.79</v>
      </c>
      <c r="K8" s="3">
        <f>IFERROR(VLOOKUP(I8,$A$1:$G$1610,7,FALSE),K7)</f>
        <v>-0.63446751692067083</v>
      </c>
      <c r="L8" s="5">
        <f t="shared" si="1"/>
        <v>0</v>
      </c>
      <c r="N8" t="s">
        <v>13</v>
      </c>
    </row>
    <row r="9" spans="1:14" x14ac:dyDescent="0.25">
      <c r="A9" s="2">
        <v>43840</v>
      </c>
      <c r="B9" s="3">
        <v>12.56</v>
      </c>
      <c r="C9" s="3">
        <f t="shared" si="2"/>
        <v>12.56</v>
      </c>
      <c r="D9" s="3">
        <v>3265.35</v>
      </c>
      <c r="E9" s="3">
        <f t="shared" si="3"/>
        <v>3265.35</v>
      </c>
      <c r="F9" s="3">
        <f>MAX($E$2:E9)</f>
        <v>3274.7</v>
      </c>
      <c r="G9" s="3">
        <f t="shared" si="0"/>
        <v>-0.28552233792408188</v>
      </c>
      <c r="I9" s="2">
        <v>43838</v>
      </c>
      <c r="J9" s="3">
        <f>IFERROR(VLOOKUP(I9,$A$1:$G$1610,3,FALSE),J8)</f>
        <v>13.45</v>
      </c>
      <c r="K9" s="3">
        <f>IFERROR(VLOOKUP(I9,$A$1:$G$1610,7,FALSE),K8)</f>
        <v>-0.14733643353744733</v>
      </c>
      <c r="L9" s="5">
        <f t="shared" si="1"/>
        <v>0</v>
      </c>
      <c r="N9" s="3">
        <f>N6/N3*100</f>
        <v>28.209684584629052</v>
      </c>
    </row>
    <row r="10" spans="1:14" x14ac:dyDescent="0.25">
      <c r="A10" s="2">
        <v>43843</v>
      </c>
      <c r="B10" s="3">
        <v>12.32</v>
      </c>
      <c r="C10" s="3">
        <f t="shared" si="2"/>
        <v>12.32</v>
      </c>
      <c r="D10" s="3">
        <v>3288.13</v>
      </c>
      <c r="E10" s="3">
        <f t="shared" si="3"/>
        <v>3288.13</v>
      </c>
      <c r="F10" s="3">
        <f>MAX($E$2:E10)</f>
        <v>3288.13</v>
      </c>
      <c r="G10" s="3">
        <f t="shared" si="0"/>
        <v>0</v>
      </c>
      <c r="I10" s="2">
        <v>43839</v>
      </c>
      <c r="J10" s="3">
        <f>IFERROR(VLOOKUP(I10,$A$1:$G$1610,3,FALSE),J9)</f>
        <v>12.54</v>
      </c>
      <c r="K10" s="3">
        <f>IFERROR(VLOOKUP(I10,$A$1:$G$1610,7,FALSE),K9)</f>
        <v>0</v>
      </c>
      <c r="L10" s="5">
        <f t="shared" si="1"/>
        <v>0</v>
      </c>
      <c r="N10" t="s">
        <v>14</v>
      </c>
    </row>
    <row r="11" spans="1:14" x14ac:dyDescent="0.25">
      <c r="A11" s="2">
        <v>43844</v>
      </c>
      <c r="B11" s="3">
        <v>12.39</v>
      </c>
      <c r="C11" s="3">
        <f t="shared" si="2"/>
        <v>12.39</v>
      </c>
      <c r="D11" s="3">
        <v>3283.15</v>
      </c>
      <c r="E11" s="3">
        <f t="shared" si="3"/>
        <v>3283.15</v>
      </c>
      <c r="F11" s="3">
        <f>MAX($E$2:E11)</f>
        <v>3288.13</v>
      </c>
      <c r="G11" s="3">
        <f t="shared" si="0"/>
        <v>-0.15145386587513324</v>
      </c>
      <c r="I11" s="2">
        <v>43840</v>
      </c>
      <c r="J11" s="3">
        <f>IFERROR(VLOOKUP(I11,$A$1:$G$1610,3,FALSE),J10)</f>
        <v>12.56</v>
      </c>
      <c r="K11" s="3">
        <f>IFERROR(VLOOKUP(I11,$A$1:$G$1610,7,FALSE),K10)</f>
        <v>-0.28552233792408188</v>
      </c>
      <c r="L11" s="5">
        <f t="shared" si="1"/>
        <v>0</v>
      </c>
      <c r="N11" s="3">
        <f>(1/N3)*SUM(K1:K2252)</f>
        <v>-6.0662231733534107</v>
      </c>
    </row>
    <row r="12" spans="1:14" x14ac:dyDescent="0.25">
      <c r="A12" s="2">
        <v>43845</v>
      </c>
      <c r="B12" s="3">
        <v>12.42</v>
      </c>
      <c r="C12" s="3">
        <f t="shared" si="2"/>
        <v>12.42</v>
      </c>
      <c r="D12" s="3">
        <v>3289.29</v>
      </c>
      <c r="E12" s="3">
        <f t="shared" si="3"/>
        <v>3289.29</v>
      </c>
      <c r="F12" s="3">
        <f>MAX($E$2:E12)</f>
        <v>3289.29</v>
      </c>
      <c r="G12" s="3">
        <f t="shared" si="0"/>
        <v>0</v>
      </c>
      <c r="I12" s="2">
        <v>43841</v>
      </c>
      <c r="J12" s="3">
        <f>IFERROR(VLOOKUP(I12,$A$1:$G$1610,3,FALSE),J11)</f>
        <v>12.56</v>
      </c>
      <c r="K12" s="3">
        <f>IFERROR(VLOOKUP(I12,$A$1:$G$1610,7,FALSE),K11)</f>
        <v>-0.28552233792408188</v>
      </c>
      <c r="L12" s="5">
        <f t="shared" si="1"/>
        <v>0</v>
      </c>
    </row>
    <row r="13" spans="1:14" x14ac:dyDescent="0.25">
      <c r="A13" s="2">
        <v>43846</v>
      </c>
      <c r="B13" s="3">
        <v>12.32</v>
      </c>
      <c r="C13" s="3">
        <f t="shared" si="2"/>
        <v>12.32</v>
      </c>
      <c r="D13" s="3">
        <v>3316.81</v>
      </c>
      <c r="E13" s="3">
        <f t="shared" si="3"/>
        <v>3316.81</v>
      </c>
      <c r="F13" s="3">
        <f>MAX($E$2:E13)</f>
        <v>3316.81</v>
      </c>
      <c r="G13" s="3">
        <f t="shared" si="0"/>
        <v>0</v>
      </c>
      <c r="I13" s="2">
        <v>43842</v>
      </c>
      <c r="J13" s="3">
        <f>IFERROR(VLOOKUP(I13,$A$1:$G$1610,3,FALSE),J12)</f>
        <v>12.56</v>
      </c>
      <c r="K13" s="3">
        <f>IFERROR(VLOOKUP(I13,$A$1:$G$1610,7,FALSE),K12)</f>
        <v>-0.28552233792408188</v>
      </c>
      <c r="L13" s="5">
        <f t="shared" si="1"/>
        <v>0</v>
      </c>
    </row>
    <row r="14" spans="1:14" x14ac:dyDescent="0.25">
      <c r="A14" s="2">
        <v>43847</v>
      </c>
      <c r="B14" s="3">
        <v>12.1</v>
      </c>
      <c r="C14" s="3">
        <f t="shared" si="2"/>
        <v>12.1</v>
      </c>
      <c r="D14" s="3">
        <v>3329.62</v>
      </c>
      <c r="E14" s="3">
        <f t="shared" si="3"/>
        <v>3329.62</v>
      </c>
      <c r="F14" s="3">
        <f>MAX($E$2:E14)</f>
        <v>3329.62</v>
      </c>
      <c r="G14" s="3">
        <f t="shared" si="0"/>
        <v>0</v>
      </c>
      <c r="I14" s="2">
        <v>43843</v>
      </c>
      <c r="J14" s="3">
        <f>IFERROR(VLOOKUP(I14,$A$1:$G$1610,3,FALSE),J13)</f>
        <v>12.32</v>
      </c>
      <c r="K14" s="3">
        <f>IFERROR(VLOOKUP(I14,$A$1:$G$1610,7,FALSE),K13)</f>
        <v>0</v>
      </c>
      <c r="L14" s="5">
        <f t="shared" si="1"/>
        <v>0</v>
      </c>
    </row>
    <row r="15" spans="1:14" x14ac:dyDescent="0.25">
      <c r="A15" s="2">
        <v>43850</v>
      </c>
      <c r="C15" s="3">
        <f t="shared" si="2"/>
        <v>12.1</v>
      </c>
      <c r="E15" s="3">
        <f t="shared" si="3"/>
        <v>3329.62</v>
      </c>
      <c r="F15" s="3">
        <f>MAX($E$2:E15)</f>
        <v>3329.62</v>
      </c>
      <c r="G15" s="3">
        <f t="shared" si="0"/>
        <v>0</v>
      </c>
      <c r="I15" s="2">
        <v>43844</v>
      </c>
      <c r="J15" s="3">
        <f>IFERROR(VLOOKUP(I15,$A$1:$G$1610,3,FALSE),J14)</f>
        <v>12.39</v>
      </c>
      <c r="K15" s="3">
        <f>IFERROR(VLOOKUP(I15,$A$1:$G$1610,7,FALSE),K14)</f>
        <v>-0.15145386587513324</v>
      </c>
      <c r="L15" s="5">
        <f t="shared" si="1"/>
        <v>0</v>
      </c>
    </row>
    <row r="16" spans="1:14" x14ac:dyDescent="0.25">
      <c r="A16" s="2">
        <v>43851</v>
      </c>
      <c r="B16" s="3">
        <v>12.85</v>
      </c>
      <c r="C16" s="3">
        <f t="shared" si="2"/>
        <v>12.85</v>
      </c>
      <c r="D16" s="3">
        <v>3320.79</v>
      </c>
      <c r="E16" s="3">
        <f t="shared" si="3"/>
        <v>3320.79</v>
      </c>
      <c r="F16" s="3">
        <f>MAX($E$2:E16)</f>
        <v>3329.62</v>
      </c>
      <c r="G16" s="3">
        <f t="shared" si="0"/>
        <v>-0.26519542770646282</v>
      </c>
      <c r="I16" s="2">
        <v>43845</v>
      </c>
      <c r="J16" s="3">
        <f>IFERROR(VLOOKUP(I16,$A$1:$G$1610,3,FALSE),J15)</f>
        <v>12.42</v>
      </c>
      <c r="K16" s="3">
        <f>IFERROR(VLOOKUP(I16,$A$1:$G$1610,7,FALSE),K15)</f>
        <v>0</v>
      </c>
      <c r="L16" s="5">
        <f t="shared" si="1"/>
        <v>0</v>
      </c>
    </row>
    <row r="17" spans="1:12" x14ac:dyDescent="0.25">
      <c r="A17" s="2">
        <v>43852</v>
      </c>
      <c r="B17" s="3">
        <v>12.91</v>
      </c>
      <c r="C17" s="3">
        <f t="shared" si="2"/>
        <v>12.91</v>
      </c>
      <c r="D17" s="3">
        <v>3321.75</v>
      </c>
      <c r="E17" s="3">
        <f t="shared" si="3"/>
        <v>3321.75</v>
      </c>
      <c r="F17" s="3">
        <f>MAX($E$2:E17)</f>
        <v>3329.62</v>
      </c>
      <c r="G17" s="3">
        <f t="shared" si="0"/>
        <v>-0.23636330872591743</v>
      </c>
      <c r="I17" s="2">
        <v>43846</v>
      </c>
      <c r="J17" s="3">
        <f>IFERROR(VLOOKUP(I17,$A$1:$G$1610,3,FALSE),J16)</f>
        <v>12.32</v>
      </c>
      <c r="K17" s="3">
        <f>IFERROR(VLOOKUP(I17,$A$1:$G$1610,7,FALSE),K16)</f>
        <v>0</v>
      </c>
      <c r="L17" s="5">
        <f t="shared" si="1"/>
        <v>0</v>
      </c>
    </row>
    <row r="18" spans="1:12" x14ac:dyDescent="0.25">
      <c r="A18" s="2">
        <v>43853</v>
      </c>
      <c r="B18" s="3">
        <v>12.98</v>
      </c>
      <c r="C18" s="3">
        <f t="shared" si="2"/>
        <v>12.98</v>
      </c>
      <c r="D18" s="3">
        <v>3325.54</v>
      </c>
      <c r="E18" s="3">
        <f t="shared" si="3"/>
        <v>3325.54</v>
      </c>
      <c r="F18" s="3">
        <f>MAX($E$2:E18)</f>
        <v>3329.62</v>
      </c>
      <c r="G18" s="3">
        <f t="shared" si="0"/>
        <v>-0.12253650566731121</v>
      </c>
      <c r="I18" s="2">
        <v>43847</v>
      </c>
      <c r="J18" s="3">
        <f>IFERROR(VLOOKUP(I18,$A$1:$G$1610,3,FALSE),J17)</f>
        <v>12.1</v>
      </c>
      <c r="K18" s="3">
        <f>IFERROR(VLOOKUP(I18,$A$1:$G$1610,7,FALSE),K17)</f>
        <v>0</v>
      </c>
      <c r="L18" s="5">
        <f t="shared" si="1"/>
        <v>0</v>
      </c>
    </row>
    <row r="19" spans="1:12" x14ac:dyDescent="0.25">
      <c r="A19" s="2">
        <v>43854</v>
      </c>
      <c r="B19" s="3">
        <v>14.56</v>
      </c>
      <c r="C19" s="3">
        <f t="shared" si="2"/>
        <v>14.56</v>
      </c>
      <c r="D19" s="3">
        <v>3295.47</v>
      </c>
      <c r="E19" s="3">
        <f t="shared" si="3"/>
        <v>3295.47</v>
      </c>
      <c r="F19" s="3">
        <f>MAX($E$2:E19)</f>
        <v>3329.62</v>
      </c>
      <c r="G19" s="3">
        <f t="shared" si="0"/>
        <v>-1.0256425658183244</v>
      </c>
      <c r="I19" s="2">
        <v>43848</v>
      </c>
      <c r="J19" s="3">
        <f>IFERROR(VLOOKUP(I19,$A$1:$G$1610,3,FALSE),J18)</f>
        <v>12.1</v>
      </c>
      <c r="K19" s="3">
        <f>IFERROR(VLOOKUP(I19,$A$1:$G$1610,7,FALSE),K18)</f>
        <v>0</v>
      </c>
      <c r="L19" s="5">
        <f t="shared" si="1"/>
        <v>0</v>
      </c>
    </row>
    <row r="20" spans="1:12" x14ac:dyDescent="0.25">
      <c r="A20" s="2">
        <v>43857</v>
      </c>
      <c r="B20" s="3">
        <v>18.23</v>
      </c>
      <c r="C20" s="3">
        <f t="shared" si="2"/>
        <v>18.23</v>
      </c>
      <c r="D20" s="3">
        <v>3243.63</v>
      </c>
      <c r="E20" s="3">
        <f t="shared" si="3"/>
        <v>3243.63</v>
      </c>
      <c r="F20" s="3">
        <f>MAX($E$2:E20)</f>
        <v>3329.62</v>
      </c>
      <c r="G20" s="3">
        <f t="shared" si="0"/>
        <v>-2.5825769907677087</v>
      </c>
      <c r="I20" s="2">
        <v>43849</v>
      </c>
      <c r="J20" s="3">
        <f>IFERROR(VLOOKUP(I20,$A$1:$G$1610,3,FALSE),J19)</f>
        <v>12.1</v>
      </c>
      <c r="K20" s="3">
        <f>IFERROR(VLOOKUP(I20,$A$1:$G$1610,7,FALSE),K19)</f>
        <v>0</v>
      </c>
      <c r="L20" s="5">
        <f t="shared" si="1"/>
        <v>0</v>
      </c>
    </row>
    <row r="21" spans="1:12" x14ac:dyDescent="0.25">
      <c r="A21" s="2">
        <v>43858</v>
      </c>
      <c r="B21" s="3">
        <v>16.28</v>
      </c>
      <c r="C21" s="3">
        <f t="shared" si="2"/>
        <v>16.28</v>
      </c>
      <c r="D21" s="3">
        <v>3276.24</v>
      </c>
      <c r="E21" s="3">
        <f t="shared" si="3"/>
        <v>3276.24</v>
      </c>
      <c r="F21" s="3">
        <f>MAX($E$2:E21)</f>
        <v>3329.62</v>
      </c>
      <c r="G21" s="3">
        <f t="shared" si="0"/>
        <v>-1.6031859491473535</v>
      </c>
      <c r="I21" s="2">
        <v>43850</v>
      </c>
      <c r="J21" s="3">
        <f>IFERROR(VLOOKUP(I21,$A$1:$G$1610,3,FALSE),J20)</f>
        <v>12.1</v>
      </c>
      <c r="K21" s="3">
        <f>IFERROR(VLOOKUP(I21,$A$1:$G$1610,7,FALSE),K20)</f>
        <v>0</v>
      </c>
      <c r="L21" s="5">
        <f t="shared" si="1"/>
        <v>0</v>
      </c>
    </row>
    <row r="22" spans="1:12" x14ac:dyDescent="0.25">
      <c r="A22" s="2">
        <v>43859</v>
      </c>
      <c r="B22" s="3">
        <v>16.39</v>
      </c>
      <c r="C22" s="3">
        <f t="shared" si="2"/>
        <v>16.39</v>
      </c>
      <c r="D22" s="3">
        <v>3273.4</v>
      </c>
      <c r="E22" s="3">
        <f t="shared" si="3"/>
        <v>3273.4</v>
      </c>
      <c r="F22" s="3">
        <f>MAX($E$2:E22)</f>
        <v>3329.62</v>
      </c>
      <c r="G22" s="3">
        <f t="shared" si="0"/>
        <v>-1.688480967798121</v>
      </c>
      <c r="I22" s="2">
        <v>43851</v>
      </c>
      <c r="J22" s="3">
        <f>IFERROR(VLOOKUP(I22,$A$1:$G$1610,3,FALSE),J21)</f>
        <v>12.85</v>
      </c>
      <c r="K22" s="3">
        <f>IFERROR(VLOOKUP(I22,$A$1:$G$1610,7,FALSE),K21)</f>
        <v>-0.26519542770646282</v>
      </c>
      <c r="L22" s="5">
        <f t="shared" si="1"/>
        <v>0</v>
      </c>
    </row>
    <row r="23" spans="1:12" x14ac:dyDescent="0.25">
      <c r="A23" s="2">
        <v>43860</v>
      </c>
      <c r="B23" s="3">
        <v>15.49</v>
      </c>
      <c r="C23" s="3">
        <f t="shared" si="2"/>
        <v>15.49</v>
      </c>
      <c r="D23" s="3">
        <v>3283.66</v>
      </c>
      <c r="E23" s="3">
        <f t="shared" si="3"/>
        <v>3283.66</v>
      </c>
      <c r="F23" s="3">
        <f>MAX($E$2:E23)</f>
        <v>3329.62</v>
      </c>
      <c r="G23" s="3">
        <f t="shared" si="0"/>
        <v>-1.3803376961935609</v>
      </c>
      <c r="I23" s="2">
        <v>43852</v>
      </c>
      <c r="J23" s="3">
        <f>IFERROR(VLOOKUP(I23,$A$1:$G$1610,3,FALSE),J22)</f>
        <v>12.91</v>
      </c>
      <c r="K23" s="3">
        <f>IFERROR(VLOOKUP(I23,$A$1:$G$1610,7,FALSE),K22)</f>
        <v>-0.23636330872591743</v>
      </c>
      <c r="L23" s="5">
        <f t="shared" si="1"/>
        <v>0</v>
      </c>
    </row>
    <row r="24" spans="1:12" x14ac:dyDescent="0.25">
      <c r="A24" s="2">
        <v>43861</v>
      </c>
      <c r="B24" s="3">
        <v>18.84</v>
      </c>
      <c r="C24" s="3">
        <f t="shared" si="2"/>
        <v>18.84</v>
      </c>
      <c r="D24" s="3">
        <v>3225.52</v>
      </c>
      <c r="E24" s="3">
        <f t="shared" si="3"/>
        <v>3225.52</v>
      </c>
      <c r="F24" s="3">
        <f>MAX($E$2:E24)</f>
        <v>3329.62</v>
      </c>
      <c r="G24" s="3">
        <f t="shared" si="0"/>
        <v>-3.1264829019527727</v>
      </c>
      <c r="I24" s="2">
        <v>43853</v>
      </c>
      <c r="J24" s="3">
        <f>IFERROR(VLOOKUP(I24,$A$1:$G$1610,3,FALSE),J23)</f>
        <v>12.98</v>
      </c>
      <c r="K24" s="3">
        <f>IFERROR(VLOOKUP(I24,$A$1:$G$1610,7,FALSE),K23)</f>
        <v>-0.12253650566731121</v>
      </c>
      <c r="L24" s="5">
        <f t="shared" si="1"/>
        <v>0</v>
      </c>
    </row>
    <row r="25" spans="1:12" x14ac:dyDescent="0.25">
      <c r="A25" s="2">
        <v>43864</v>
      </c>
      <c r="B25" s="3">
        <v>17.97</v>
      </c>
      <c r="C25" s="3">
        <f t="shared" si="2"/>
        <v>17.97</v>
      </c>
      <c r="D25" s="3">
        <v>3248.92</v>
      </c>
      <c r="E25" s="3">
        <f t="shared" si="3"/>
        <v>3248.92</v>
      </c>
      <c r="F25" s="3">
        <f>MAX($E$2:E25)</f>
        <v>3329.62</v>
      </c>
      <c r="G25" s="3">
        <f t="shared" si="0"/>
        <v>-2.4237000018020023</v>
      </c>
      <c r="I25" s="2">
        <v>43854</v>
      </c>
      <c r="J25" s="3">
        <f>IFERROR(VLOOKUP(I25,$A$1:$G$1610,3,FALSE),J24)</f>
        <v>14.56</v>
      </c>
      <c r="K25" s="3">
        <f>IFERROR(VLOOKUP(I25,$A$1:$G$1610,7,FALSE),K24)</f>
        <v>-1.0256425658183244</v>
      </c>
      <c r="L25" s="5">
        <f t="shared" si="1"/>
        <v>0</v>
      </c>
    </row>
    <row r="26" spans="1:12" x14ac:dyDescent="0.25">
      <c r="A26" s="2">
        <v>43865</v>
      </c>
      <c r="B26" s="3">
        <v>16.05</v>
      </c>
      <c r="C26" s="3">
        <f t="shared" si="2"/>
        <v>16.05</v>
      </c>
      <c r="D26" s="3">
        <v>3297.59</v>
      </c>
      <c r="E26" s="3">
        <f t="shared" si="3"/>
        <v>3297.59</v>
      </c>
      <c r="F26" s="3">
        <f>MAX($E$2:E26)</f>
        <v>3329.62</v>
      </c>
      <c r="G26" s="3">
        <f t="shared" si="0"/>
        <v>-0.96197163640294525</v>
      </c>
      <c r="I26" s="2">
        <v>43855</v>
      </c>
      <c r="J26" s="3">
        <f>IFERROR(VLOOKUP(I26,$A$1:$G$1610,3,FALSE),J25)</f>
        <v>14.56</v>
      </c>
      <c r="K26" s="3">
        <f>IFERROR(VLOOKUP(I26,$A$1:$G$1610,7,FALSE),K25)</f>
        <v>-1.0256425658183244</v>
      </c>
      <c r="L26" s="5">
        <f t="shared" si="1"/>
        <v>0</v>
      </c>
    </row>
    <row r="27" spans="1:12" x14ac:dyDescent="0.25">
      <c r="A27" s="2">
        <v>43866</v>
      </c>
      <c r="B27" s="3">
        <v>15.15</v>
      </c>
      <c r="C27" s="3">
        <f t="shared" si="2"/>
        <v>15.15</v>
      </c>
      <c r="D27" s="3">
        <v>3334.69</v>
      </c>
      <c r="E27" s="3">
        <f t="shared" si="3"/>
        <v>3334.69</v>
      </c>
      <c r="F27" s="3">
        <f>MAX($E$2:E27)</f>
        <v>3334.69</v>
      </c>
      <c r="G27" s="3">
        <f t="shared" si="0"/>
        <v>0</v>
      </c>
      <c r="I27" s="2">
        <v>43856</v>
      </c>
      <c r="J27" s="3">
        <f>IFERROR(VLOOKUP(I27,$A$1:$G$1610,3,FALSE),J26)</f>
        <v>14.56</v>
      </c>
      <c r="K27" s="3">
        <f>IFERROR(VLOOKUP(I27,$A$1:$G$1610,7,FALSE),K26)</f>
        <v>-1.0256425658183244</v>
      </c>
      <c r="L27" s="5">
        <f t="shared" si="1"/>
        <v>0</v>
      </c>
    </row>
    <row r="28" spans="1:12" x14ac:dyDescent="0.25">
      <c r="A28" s="2">
        <v>43867</v>
      </c>
      <c r="B28" s="3">
        <v>14.96</v>
      </c>
      <c r="C28" s="3">
        <f t="shared" si="2"/>
        <v>14.96</v>
      </c>
      <c r="D28" s="3">
        <v>3345.78</v>
      </c>
      <c r="E28" s="3">
        <f t="shared" si="3"/>
        <v>3345.78</v>
      </c>
      <c r="F28" s="3">
        <f>MAX($E$2:E28)</f>
        <v>3345.78</v>
      </c>
      <c r="G28" s="3">
        <f t="shared" si="0"/>
        <v>0</v>
      </c>
      <c r="I28" s="2">
        <v>43857</v>
      </c>
      <c r="J28" s="3">
        <f>IFERROR(VLOOKUP(I28,$A$1:$G$1610,3,FALSE),J27)</f>
        <v>18.23</v>
      </c>
      <c r="K28" s="3">
        <f>IFERROR(VLOOKUP(I28,$A$1:$G$1610,7,FALSE),K27)</f>
        <v>-2.5825769907677087</v>
      </c>
      <c r="L28" s="5">
        <f t="shared" si="1"/>
        <v>0</v>
      </c>
    </row>
    <row r="29" spans="1:12" x14ac:dyDescent="0.25">
      <c r="A29" s="2">
        <v>43868</v>
      </c>
      <c r="B29" s="3">
        <v>15.47</v>
      </c>
      <c r="C29" s="3">
        <f t="shared" si="2"/>
        <v>15.47</v>
      </c>
      <c r="D29" s="3">
        <v>3327.71</v>
      </c>
      <c r="E29" s="3">
        <f t="shared" si="3"/>
        <v>3327.71</v>
      </c>
      <c r="F29" s="3">
        <f>MAX($E$2:E29)</f>
        <v>3345.78</v>
      </c>
      <c r="G29" s="3">
        <f t="shared" si="0"/>
        <v>-0.54008332885007859</v>
      </c>
      <c r="I29" s="2">
        <v>43858</v>
      </c>
      <c r="J29" s="3">
        <f>IFERROR(VLOOKUP(I29,$A$1:$G$1610,3,FALSE),J28)</f>
        <v>16.28</v>
      </c>
      <c r="K29" s="3">
        <f>IFERROR(VLOOKUP(I29,$A$1:$G$1610,7,FALSE),K28)</f>
        <v>-1.6031859491473535</v>
      </c>
      <c r="L29" s="5">
        <f t="shared" si="1"/>
        <v>0</v>
      </c>
    </row>
    <row r="30" spans="1:12" x14ac:dyDescent="0.25">
      <c r="A30" s="2">
        <v>43871</v>
      </c>
      <c r="B30" s="3">
        <v>15.04</v>
      </c>
      <c r="C30" s="3">
        <f t="shared" si="2"/>
        <v>15.04</v>
      </c>
      <c r="D30" s="3">
        <v>3352.09</v>
      </c>
      <c r="E30" s="3">
        <f t="shared" si="3"/>
        <v>3352.09</v>
      </c>
      <c r="F30" s="3">
        <f>MAX($E$2:E30)</f>
        <v>3352.09</v>
      </c>
      <c r="G30" s="3">
        <f t="shared" si="0"/>
        <v>0</v>
      </c>
      <c r="I30" s="2">
        <v>43859</v>
      </c>
      <c r="J30" s="3">
        <f>IFERROR(VLOOKUP(I30,$A$1:$G$1610,3,FALSE),J29)</f>
        <v>16.39</v>
      </c>
      <c r="K30" s="3">
        <f>IFERROR(VLOOKUP(I30,$A$1:$G$1610,7,FALSE),K29)</f>
        <v>-1.688480967798121</v>
      </c>
      <c r="L30" s="5">
        <f t="shared" si="1"/>
        <v>0</v>
      </c>
    </row>
    <row r="31" spans="1:12" x14ac:dyDescent="0.25">
      <c r="A31" s="2">
        <v>43872</v>
      </c>
      <c r="B31" s="3">
        <v>15.18</v>
      </c>
      <c r="C31" s="3">
        <f t="shared" si="2"/>
        <v>15.18</v>
      </c>
      <c r="D31" s="3">
        <v>3357.75</v>
      </c>
      <c r="E31" s="3">
        <f t="shared" si="3"/>
        <v>3357.75</v>
      </c>
      <c r="F31" s="3">
        <f>MAX($E$2:E31)</f>
        <v>3357.75</v>
      </c>
      <c r="G31" s="3">
        <f t="shared" si="0"/>
        <v>0</v>
      </c>
      <c r="I31" s="2">
        <v>43860</v>
      </c>
      <c r="J31" s="3">
        <f>IFERROR(VLOOKUP(I31,$A$1:$G$1610,3,FALSE),J30)</f>
        <v>15.49</v>
      </c>
      <c r="K31" s="3">
        <f>IFERROR(VLOOKUP(I31,$A$1:$G$1610,7,FALSE),K30)</f>
        <v>-1.3803376961935609</v>
      </c>
      <c r="L31" s="5">
        <f t="shared" si="1"/>
        <v>0</v>
      </c>
    </row>
    <row r="32" spans="1:12" x14ac:dyDescent="0.25">
      <c r="A32" s="2">
        <v>43873</v>
      </c>
      <c r="B32" s="3">
        <v>13.74</v>
      </c>
      <c r="C32" s="3">
        <f t="shared" si="2"/>
        <v>13.74</v>
      </c>
      <c r="D32" s="3">
        <v>3379.45</v>
      </c>
      <c r="E32" s="3">
        <f t="shared" si="3"/>
        <v>3379.45</v>
      </c>
      <c r="F32" s="3">
        <f>MAX($E$2:E32)</f>
        <v>3379.45</v>
      </c>
      <c r="G32" s="3">
        <f t="shared" si="0"/>
        <v>0</v>
      </c>
      <c r="I32" s="2">
        <v>43861</v>
      </c>
      <c r="J32" s="3">
        <f>IFERROR(VLOOKUP(I32,$A$1:$G$1610,3,FALSE),J31)</f>
        <v>18.84</v>
      </c>
      <c r="K32" s="3">
        <f>IFERROR(VLOOKUP(I32,$A$1:$G$1610,7,FALSE),K31)</f>
        <v>-3.1264829019527727</v>
      </c>
      <c r="L32" s="5">
        <f t="shared" si="1"/>
        <v>0</v>
      </c>
    </row>
    <row r="33" spans="1:12" x14ac:dyDescent="0.25">
      <c r="A33" s="2">
        <v>43874</v>
      </c>
      <c r="B33" s="3">
        <v>14.15</v>
      </c>
      <c r="C33" s="3">
        <f t="shared" si="2"/>
        <v>14.15</v>
      </c>
      <c r="D33" s="3">
        <v>3373.94</v>
      </c>
      <c r="E33" s="3">
        <f t="shared" si="3"/>
        <v>3373.94</v>
      </c>
      <c r="F33" s="3">
        <f>MAX($E$2:E33)</f>
        <v>3379.45</v>
      </c>
      <c r="G33" s="3">
        <f t="shared" si="0"/>
        <v>-0.16304428235363044</v>
      </c>
      <c r="I33" s="2">
        <v>43862</v>
      </c>
      <c r="J33" s="3">
        <f>IFERROR(VLOOKUP(I33,$A$1:$G$1610,3,FALSE),J32)</f>
        <v>18.84</v>
      </c>
      <c r="K33" s="3">
        <f>IFERROR(VLOOKUP(I33,$A$1:$G$1610,7,FALSE),K32)</f>
        <v>-3.1264829019527727</v>
      </c>
      <c r="L33" s="5">
        <f t="shared" si="1"/>
        <v>0</v>
      </c>
    </row>
    <row r="34" spans="1:12" x14ac:dyDescent="0.25">
      <c r="A34" s="2">
        <v>43875</v>
      </c>
      <c r="B34" s="3">
        <v>13.68</v>
      </c>
      <c r="C34" s="3">
        <f t="shared" si="2"/>
        <v>13.68</v>
      </c>
      <c r="D34" s="3">
        <v>3380.16</v>
      </c>
      <c r="E34" s="3">
        <f t="shared" si="3"/>
        <v>3380.16</v>
      </c>
      <c r="F34" s="3">
        <f>MAX($E$2:E34)</f>
        <v>3380.16</v>
      </c>
      <c r="G34" s="3">
        <f t="shared" si="0"/>
        <v>0</v>
      </c>
      <c r="I34" s="2">
        <v>43863</v>
      </c>
      <c r="J34" s="3">
        <f>IFERROR(VLOOKUP(I34,$A$1:$G$1610,3,FALSE),J33)</f>
        <v>18.84</v>
      </c>
      <c r="K34" s="3">
        <f>IFERROR(VLOOKUP(I34,$A$1:$G$1610,7,FALSE),K33)</f>
        <v>-3.1264829019527727</v>
      </c>
      <c r="L34" s="5">
        <f t="shared" si="1"/>
        <v>0</v>
      </c>
    </row>
    <row r="35" spans="1:12" x14ac:dyDescent="0.25">
      <c r="A35" s="2">
        <v>43878</v>
      </c>
      <c r="C35" s="3">
        <f t="shared" si="2"/>
        <v>13.68</v>
      </c>
      <c r="E35" s="3">
        <f t="shared" si="3"/>
        <v>3380.16</v>
      </c>
      <c r="F35" s="3">
        <f>MAX($E$2:E35)</f>
        <v>3380.16</v>
      </c>
      <c r="G35" s="3">
        <f t="shared" si="0"/>
        <v>0</v>
      </c>
      <c r="I35" s="2">
        <v>43864</v>
      </c>
      <c r="J35" s="3">
        <f>IFERROR(VLOOKUP(I35,$A$1:$G$1610,3,FALSE),J34)</f>
        <v>17.97</v>
      </c>
      <c r="K35" s="3">
        <f>IFERROR(VLOOKUP(I35,$A$1:$G$1610,7,FALSE),K34)</f>
        <v>-2.4237000018020023</v>
      </c>
      <c r="L35" s="5">
        <f t="shared" si="1"/>
        <v>0</v>
      </c>
    </row>
    <row r="36" spans="1:12" x14ac:dyDescent="0.25">
      <c r="A36" s="2">
        <v>43879</v>
      </c>
      <c r="B36" s="3">
        <v>14.83</v>
      </c>
      <c r="C36" s="3">
        <f t="shared" si="2"/>
        <v>14.83</v>
      </c>
      <c r="D36" s="3">
        <v>3370.29</v>
      </c>
      <c r="E36" s="3">
        <f t="shared" si="3"/>
        <v>3370.29</v>
      </c>
      <c r="F36" s="3">
        <f>MAX($E$2:E36)</f>
        <v>3380.16</v>
      </c>
      <c r="G36" s="3">
        <f t="shared" si="0"/>
        <v>-0.29199801192842623</v>
      </c>
      <c r="I36" s="2">
        <v>43865</v>
      </c>
      <c r="J36" s="3">
        <f>IFERROR(VLOOKUP(I36,$A$1:$G$1610,3,FALSE),J35)</f>
        <v>16.05</v>
      </c>
      <c r="K36" s="3">
        <f>IFERROR(VLOOKUP(I36,$A$1:$G$1610,7,FALSE),K35)</f>
        <v>-0.96197163640294525</v>
      </c>
      <c r="L36" s="5">
        <f t="shared" si="1"/>
        <v>0</v>
      </c>
    </row>
    <row r="37" spans="1:12" x14ac:dyDescent="0.25">
      <c r="A37" s="2">
        <v>43880</v>
      </c>
      <c r="B37" s="3">
        <v>14.38</v>
      </c>
      <c r="C37" s="3">
        <f t="shared" si="2"/>
        <v>14.38</v>
      </c>
      <c r="D37" s="3">
        <v>3386.15</v>
      </c>
      <c r="E37" s="3">
        <f t="shared" si="3"/>
        <v>3386.15</v>
      </c>
      <c r="F37" s="3">
        <f>MAX($E$2:E37)</f>
        <v>3386.15</v>
      </c>
      <c r="G37" s="3">
        <f t="shared" si="0"/>
        <v>0</v>
      </c>
      <c r="I37" s="2">
        <v>43866</v>
      </c>
      <c r="J37" s="3">
        <f>IFERROR(VLOOKUP(I37,$A$1:$G$1610,3,FALSE),J36)</f>
        <v>15.15</v>
      </c>
      <c r="K37" s="3">
        <f>IFERROR(VLOOKUP(I37,$A$1:$G$1610,7,FALSE),K36)</f>
        <v>0</v>
      </c>
      <c r="L37" s="5">
        <f t="shared" si="1"/>
        <v>0</v>
      </c>
    </row>
    <row r="38" spans="1:12" x14ac:dyDescent="0.25">
      <c r="A38" s="2">
        <v>43881</v>
      </c>
      <c r="B38" s="3">
        <v>15.56</v>
      </c>
      <c r="C38" s="3">
        <f t="shared" si="2"/>
        <v>15.56</v>
      </c>
      <c r="D38" s="3">
        <v>3373.23</v>
      </c>
      <c r="E38" s="3">
        <f t="shared" si="3"/>
        <v>3373.23</v>
      </c>
      <c r="F38" s="3">
        <f>MAX($E$2:E38)</f>
        <v>3386.15</v>
      </c>
      <c r="G38" s="3">
        <f t="shared" si="0"/>
        <v>-0.38155427255142482</v>
      </c>
      <c r="I38" s="2">
        <v>43867</v>
      </c>
      <c r="J38" s="3">
        <f>IFERROR(VLOOKUP(I38,$A$1:$G$1610,3,FALSE),J37)</f>
        <v>14.96</v>
      </c>
      <c r="K38" s="3">
        <f>IFERROR(VLOOKUP(I38,$A$1:$G$1610,7,FALSE),K37)</f>
        <v>0</v>
      </c>
      <c r="L38" s="5">
        <f t="shared" si="1"/>
        <v>0</v>
      </c>
    </row>
    <row r="39" spans="1:12" x14ac:dyDescent="0.25">
      <c r="A39" s="2">
        <v>43882</v>
      </c>
      <c r="B39" s="3">
        <v>17.079999999999998</v>
      </c>
      <c r="C39" s="3">
        <f t="shared" si="2"/>
        <v>17.079999999999998</v>
      </c>
      <c r="D39" s="3">
        <v>3337.75</v>
      </c>
      <c r="E39" s="3">
        <f t="shared" si="3"/>
        <v>3337.75</v>
      </c>
      <c r="F39" s="3">
        <f>MAX($E$2:E39)</f>
        <v>3386.15</v>
      </c>
      <c r="G39" s="3">
        <f t="shared" si="0"/>
        <v>-1.4293519188458896</v>
      </c>
      <c r="I39" s="2">
        <v>43868</v>
      </c>
      <c r="J39" s="3">
        <f>IFERROR(VLOOKUP(I39,$A$1:$G$1610,3,FALSE),J38)</f>
        <v>15.47</v>
      </c>
      <c r="K39" s="3">
        <f>IFERROR(VLOOKUP(I39,$A$1:$G$1610,7,FALSE),K38)</f>
        <v>-0.54008332885007859</v>
      </c>
      <c r="L39" s="5">
        <f t="shared" si="1"/>
        <v>0</v>
      </c>
    </row>
    <row r="40" spans="1:12" x14ac:dyDescent="0.25">
      <c r="A40" s="2">
        <v>43885</v>
      </c>
      <c r="B40" s="3">
        <v>25.03</v>
      </c>
      <c r="C40" s="3">
        <f t="shared" si="2"/>
        <v>25.03</v>
      </c>
      <c r="D40" s="3">
        <v>3225.89</v>
      </c>
      <c r="E40" s="3">
        <f t="shared" si="3"/>
        <v>3225.89</v>
      </c>
      <c r="F40" s="3">
        <f>MAX($E$2:E40)</f>
        <v>3386.15</v>
      </c>
      <c r="G40" s="3">
        <f t="shared" si="0"/>
        <v>-4.7328086469884738</v>
      </c>
      <c r="I40" s="2">
        <v>43869</v>
      </c>
      <c r="J40" s="3">
        <f>IFERROR(VLOOKUP(I40,$A$1:$G$1610,3,FALSE),J39)</f>
        <v>15.47</v>
      </c>
      <c r="K40" s="3">
        <f>IFERROR(VLOOKUP(I40,$A$1:$G$1610,7,FALSE),K39)</f>
        <v>-0.54008332885007859</v>
      </c>
      <c r="L40" s="5">
        <f t="shared" si="1"/>
        <v>0</v>
      </c>
    </row>
    <row r="41" spans="1:12" x14ac:dyDescent="0.25">
      <c r="A41" s="2">
        <v>43886</v>
      </c>
      <c r="B41" s="3">
        <v>27.85</v>
      </c>
      <c r="C41" s="3">
        <f t="shared" si="2"/>
        <v>27.85</v>
      </c>
      <c r="D41" s="3">
        <v>3128.21</v>
      </c>
      <c r="E41" s="3">
        <f t="shared" si="3"/>
        <v>3128.21</v>
      </c>
      <c r="F41" s="3">
        <f>MAX($E$2:E41)</f>
        <v>3386.15</v>
      </c>
      <c r="G41" s="3">
        <f t="shared" si="0"/>
        <v>-7.6175007013865317</v>
      </c>
      <c r="I41" s="2">
        <v>43870</v>
      </c>
      <c r="J41" s="3">
        <f>IFERROR(VLOOKUP(I41,$A$1:$G$1610,3,FALSE),J40)</f>
        <v>15.47</v>
      </c>
      <c r="K41" s="3">
        <f>IFERROR(VLOOKUP(I41,$A$1:$G$1610,7,FALSE),K40)</f>
        <v>-0.54008332885007859</v>
      </c>
      <c r="L41" s="5">
        <f t="shared" si="1"/>
        <v>0</v>
      </c>
    </row>
    <row r="42" spans="1:12" x14ac:dyDescent="0.25">
      <c r="A42" s="2">
        <v>43887</v>
      </c>
      <c r="B42" s="3">
        <v>27.56</v>
      </c>
      <c r="C42" s="3">
        <f t="shared" si="2"/>
        <v>27.56</v>
      </c>
      <c r="D42" s="3">
        <v>3116.39</v>
      </c>
      <c r="E42" s="3">
        <f t="shared" si="3"/>
        <v>3116.39</v>
      </c>
      <c r="F42" s="3">
        <f>MAX($E$2:E42)</f>
        <v>3386.15</v>
      </c>
      <c r="G42" s="3">
        <f t="shared" si="0"/>
        <v>-7.9665697030550984</v>
      </c>
      <c r="I42" s="2">
        <v>43871</v>
      </c>
      <c r="J42" s="3">
        <f>IFERROR(VLOOKUP(I42,$A$1:$G$1610,3,FALSE),J41)</f>
        <v>15.04</v>
      </c>
      <c r="K42" s="3">
        <f>IFERROR(VLOOKUP(I42,$A$1:$G$1610,7,FALSE),K41)</f>
        <v>0</v>
      </c>
      <c r="L42" s="5">
        <f t="shared" si="1"/>
        <v>0</v>
      </c>
    </row>
    <row r="43" spans="1:12" x14ac:dyDescent="0.25">
      <c r="A43" s="2">
        <v>43888</v>
      </c>
      <c r="B43" s="3">
        <v>39.159999999999997</v>
      </c>
      <c r="C43" s="3">
        <f t="shared" si="2"/>
        <v>39.159999999999997</v>
      </c>
      <c r="D43" s="3">
        <v>2978.76</v>
      </c>
      <c r="E43" s="3">
        <f t="shared" si="3"/>
        <v>2978.76</v>
      </c>
      <c r="F43" s="3">
        <f>MAX($E$2:E43)</f>
        <v>3386.15</v>
      </c>
      <c r="G43" s="3">
        <f t="shared" si="0"/>
        <v>-12.031067731789786</v>
      </c>
      <c r="I43" s="2">
        <v>43872</v>
      </c>
      <c r="J43" s="3">
        <f>IFERROR(VLOOKUP(I43,$A$1:$G$1610,3,FALSE),J42)</f>
        <v>15.18</v>
      </c>
      <c r="K43" s="3">
        <f>IFERROR(VLOOKUP(I43,$A$1:$G$1610,7,FALSE),K42)</f>
        <v>0</v>
      </c>
      <c r="L43" s="5">
        <f t="shared" si="1"/>
        <v>0</v>
      </c>
    </row>
    <row r="44" spans="1:12" x14ac:dyDescent="0.25">
      <c r="A44" s="2">
        <v>43889</v>
      </c>
      <c r="B44" s="3">
        <v>40.11</v>
      </c>
      <c r="C44" s="3">
        <f t="shared" si="2"/>
        <v>40.11</v>
      </c>
      <c r="D44" s="3">
        <v>2954.22</v>
      </c>
      <c r="E44" s="3">
        <f t="shared" si="3"/>
        <v>2954.22</v>
      </c>
      <c r="F44" s="3">
        <f>MAX($E$2:E44)</f>
        <v>3386.15</v>
      </c>
      <c r="G44" s="3">
        <f t="shared" si="0"/>
        <v>-12.755784593121991</v>
      </c>
      <c r="I44" s="2">
        <v>43873</v>
      </c>
      <c r="J44" s="3">
        <f>IFERROR(VLOOKUP(I44,$A$1:$G$1610,3,FALSE),J43)</f>
        <v>13.74</v>
      </c>
      <c r="K44" s="3">
        <f>IFERROR(VLOOKUP(I44,$A$1:$G$1610,7,FALSE),K43)</f>
        <v>0</v>
      </c>
      <c r="L44" s="5">
        <f t="shared" si="1"/>
        <v>0</v>
      </c>
    </row>
    <row r="45" spans="1:12" x14ac:dyDescent="0.25">
      <c r="A45" s="2">
        <v>43892</v>
      </c>
      <c r="B45" s="3">
        <v>33.42</v>
      </c>
      <c r="C45" s="3">
        <f t="shared" si="2"/>
        <v>33.42</v>
      </c>
      <c r="D45" s="3">
        <v>3090.23</v>
      </c>
      <c r="E45" s="3">
        <f t="shared" si="3"/>
        <v>3090.23</v>
      </c>
      <c r="F45" s="3">
        <f>MAX($E$2:E45)</f>
        <v>3386.15</v>
      </c>
      <c r="G45" s="3">
        <f t="shared" si="0"/>
        <v>-8.7391285087784087</v>
      </c>
      <c r="I45" s="2">
        <v>43874</v>
      </c>
      <c r="J45" s="3">
        <f>IFERROR(VLOOKUP(I45,$A$1:$G$1610,3,FALSE),J44)</f>
        <v>14.15</v>
      </c>
      <c r="K45" s="3">
        <f>IFERROR(VLOOKUP(I45,$A$1:$G$1610,7,FALSE),K44)</f>
        <v>-0.16304428235363044</v>
      </c>
      <c r="L45" s="5">
        <f t="shared" si="1"/>
        <v>0</v>
      </c>
    </row>
    <row r="46" spans="1:12" x14ac:dyDescent="0.25">
      <c r="A46" s="2">
        <v>43893</v>
      </c>
      <c r="B46" s="3">
        <v>36.82</v>
      </c>
      <c r="C46" s="3">
        <f t="shared" si="2"/>
        <v>36.82</v>
      </c>
      <c r="D46" s="3">
        <v>3003.37</v>
      </c>
      <c r="E46" s="3">
        <f t="shared" si="3"/>
        <v>3003.37</v>
      </c>
      <c r="F46" s="3">
        <f>MAX($E$2:E46)</f>
        <v>3386.15</v>
      </c>
      <c r="G46" s="3">
        <f t="shared" si="0"/>
        <v>-11.304283625946878</v>
      </c>
      <c r="I46" s="2">
        <v>43875</v>
      </c>
      <c r="J46" s="3">
        <f>IFERROR(VLOOKUP(I46,$A$1:$G$1610,3,FALSE),J45)</f>
        <v>13.68</v>
      </c>
      <c r="K46" s="3">
        <f>IFERROR(VLOOKUP(I46,$A$1:$G$1610,7,FALSE),K45)</f>
        <v>0</v>
      </c>
      <c r="L46" s="5">
        <f t="shared" si="1"/>
        <v>0</v>
      </c>
    </row>
    <row r="47" spans="1:12" x14ac:dyDescent="0.25">
      <c r="A47" s="2">
        <v>43894</v>
      </c>
      <c r="B47" s="3">
        <v>31.99</v>
      </c>
      <c r="C47" s="3">
        <f t="shared" si="2"/>
        <v>31.99</v>
      </c>
      <c r="D47" s="3">
        <v>3130.12</v>
      </c>
      <c r="E47" s="3">
        <f t="shared" si="3"/>
        <v>3130.12</v>
      </c>
      <c r="F47" s="3">
        <f>MAX($E$2:E47)</f>
        <v>3386.15</v>
      </c>
      <c r="G47" s="3">
        <f t="shared" si="0"/>
        <v>-7.5610944583081139</v>
      </c>
      <c r="I47" s="2">
        <v>43876</v>
      </c>
      <c r="J47" s="3">
        <f>IFERROR(VLOOKUP(I47,$A$1:$G$1610,3,FALSE),J46)</f>
        <v>13.68</v>
      </c>
      <c r="K47" s="3">
        <f>IFERROR(VLOOKUP(I47,$A$1:$G$1610,7,FALSE),K46)</f>
        <v>0</v>
      </c>
      <c r="L47" s="5">
        <f t="shared" si="1"/>
        <v>0</v>
      </c>
    </row>
    <row r="48" spans="1:12" x14ac:dyDescent="0.25">
      <c r="A48" s="2">
        <v>43895</v>
      </c>
      <c r="B48" s="3">
        <v>39.619999999999997</v>
      </c>
      <c r="C48" s="3">
        <f t="shared" si="2"/>
        <v>39.619999999999997</v>
      </c>
      <c r="D48" s="3">
        <v>3023.94</v>
      </c>
      <c r="E48" s="3">
        <f t="shared" si="3"/>
        <v>3023.94</v>
      </c>
      <c r="F48" s="3">
        <f>MAX($E$2:E48)</f>
        <v>3386.15</v>
      </c>
      <c r="G48" s="3">
        <f t="shared" si="0"/>
        <v>-10.696809060437371</v>
      </c>
      <c r="I48" s="2">
        <v>43877</v>
      </c>
      <c r="J48" s="3">
        <f>IFERROR(VLOOKUP(I48,$A$1:$G$1610,3,FALSE),J47)</f>
        <v>13.68</v>
      </c>
      <c r="K48" s="3">
        <f>IFERROR(VLOOKUP(I48,$A$1:$G$1610,7,FALSE),K47)</f>
        <v>0</v>
      </c>
      <c r="L48" s="5">
        <f t="shared" si="1"/>
        <v>0</v>
      </c>
    </row>
    <row r="49" spans="1:12" x14ac:dyDescent="0.25">
      <c r="A49" s="2">
        <v>43896</v>
      </c>
      <c r="B49" s="3">
        <v>41.94</v>
      </c>
      <c r="C49" s="3">
        <f t="shared" si="2"/>
        <v>41.94</v>
      </c>
      <c r="D49" s="3">
        <v>2972.37</v>
      </c>
      <c r="E49" s="3">
        <f t="shared" si="3"/>
        <v>2972.37</v>
      </c>
      <c r="F49" s="3">
        <f>MAX($E$2:E49)</f>
        <v>3386.15</v>
      </c>
      <c r="G49" s="3">
        <f t="shared" si="0"/>
        <v>-12.21977762355478</v>
      </c>
      <c r="I49" s="2">
        <v>43878</v>
      </c>
      <c r="J49" s="3">
        <f>IFERROR(VLOOKUP(I49,$A$1:$G$1610,3,FALSE),J48)</f>
        <v>13.68</v>
      </c>
      <c r="K49" s="3">
        <f>IFERROR(VLOOKUP(I49,$A$1:$G$1610,7,FALSE),K48)</f>
        <v>0</v>
      </c>
      <c r="L49" s="5">
        <f t="shared" si="1"/>
        <v>0</v>
      </c>
    </row>
    <row r="50" spans="1:12" x14ac:dyDescent="0.25">
      <c r="A50" s="2">
        <v>43899</v>
      </c>
      <c r="B50" s="3">
        <v>54.46</v>
      </c>
      <c r="C50" s="3">
        <f t="shared" si="2"/>
        <v>54.46</v>
      </c>
      <c r="D50" s="3">
        <v>2746.56</v>
      </c>
      <c r="E50" s="3">
        <f t="shared" si="3"/>
        <v>2746.56</v>
      </c>
      <c r="F50" s="3">
        <f>MAX($E$2:E50)</f>
        <v>3386.15</v>
      </c>
      <c r="G50" s="3">
        <f t="shared" si="0"/>
        <v>-18.888413094517375</v>
      </c>
      <c r="I50" s="2">
        <v>43879</v>
      </c>
      <c r="J50" s="3">
        <f>IFERROR(VLOOKUP(I50,$A$1:$G$1610,3,FALSE),J49)</f>
        <v>14.83</v>
      </c>
      <c r="K50" s="3">
        <f>IFERROR(VLOOKUP(I50,$A$1:$G$1610,7,FALSE),K49)</f>
        <v>-0.29199801192842623</v>
      </c>
      <c r="L50" s="5">
        <f t="shared" si="1"/>
        <v>0</v>
      </c>
    </row>
    <row r="51" spans="1:12" x14ac:dyDescent="0.25">
      <c r="A51" s="2">
        <v>43900</v>
      </c>
      <c r="B51" s="3">
        <v>47.3</v>
      </c>
      <c r="C51" s="3">
        <f t="shared" si="2"/>
        <v>47.3</v>
      </c>
      <c r="D51" s="3">
        <v>2882.23</v>
      </c>
      <c r="E51" s="3">
        <f t="shared" si="3"/>
        <v>2882.23</v>
      </c>
      <c r="F51" s="3">
        <f>MAX($E$2:E51)</f>
        <v>3386.15</v>
      </c>
      <c r="G51" s="3">
        <f t="shared" si="0"/>
        <v>-14.881797912083044</v>
      </c>
      <c r="I51" s="2">
        <v>43880</v>
      </c>
      <c r="J51" s="3">
        <f>IFERROR(VLOOKUP(I51,$A$1:$G$1610,3,FALSE),J50)</f>
        <v>14.38</v>
      </c>
      <c r="K51" s="3">
        <f>IFERROR(VLOOKUP(I51,$A$1:$G$1610,7,FALSE),K50)</f>
        <v>0</v>
      </c>
      <c r="L51" s="5">
        <f t="shared" si="1"/>
        <v>0</v>
      </c>
    </row>
    <row r="52" spans="1:12" x14ac:dyDescent="0.25">
      <c r="A52" s="2">
        <v>43901</v>
      </c>
      <c r="B52" s="3">
        <v>53.9</v>
      </c>
      <c r="C52" s="3">
        <f t="shared" si="2"/>
        <v>53.9</v>
      </c>
      <c r="D52" s="3">
        <v>2741.38</v>
      </c>
      <c r="E52" s="3">
        <f t="shared" si="3"/>
        <v>2741.38</v>
      </c>
      <c r="F52" s="3">
        <f>MAX($E$2:E52)</f>
        <v>3386.15</v>
      </c>
      <c r="G52" s="3">
        <f t="shared" si="0"/>
        <v>-19.041389188311207</v>
      </c>
      <c r="I52" s="2">
        <v>43881</v>
      </c>
      <c r="J52" s="3">
        <f>IFERROR(VLOOKUP(I52,$A$1:$G$1610,3,FALSE),J51)</f>
        <v>15.56</v>
      </c>
      <c r="K52" s="3">
        <f>IFERROR(VLOOKUP(I52,$A$1:$G$1610,7,FALSE),K51)</f>
        <v>-0.38155427255142482</v>
      </c>
      <c r="L52" s="5">
        <f t="shared" si="1"/>
        <v>0</v>
      </c>
    </row>
    <row r="53" spans="1:12" x14ac:dyDescent="0.25">
      <c r="A53" s="2">
        <v>43902</v>
      </c>
      <c r="B53" s="3">
        <v>75.47</v>
      </c>
      <c r="C53" s="3">
        <f t="shared" si="2"/>
        <v>75.47</v>
      </c>
      <c r="D53" s="3">
        <v>2480.64</v>
      </c>
      <c r="E53" s="3">
        <f t="shared" si="3"/>
        <v>2480.64</v>
      </c>
      <c r="F53" s="3">
        <f>MAX($E$2:E53)</f>
        <v>3386.15</v>
      </c>
      <c r="G53" s="3">
        <f t="shared" si="0"/>
        <v>-26.741579670126846</v>
      </c>
      <c r="I53" s="2">
        <v>43882</v>
      </c>
      <c r="J53" s="3">
        <f>IFERROR(VLOOKUP(I53,$A$1:$G$1610,3,FALSE),J52)</f>
        <v>17.079999999999998</v>
      </c>
      <c r="K53" s="3">
        <f>IFERROR(VLOOKUP(I53,$A$1:$G$1610,7,FALSE),K52)</f>
        <v>-1.4293519188458896</v>
      </c>
      <c r="L53" s="5">
        <f t="shared" si="1"/>
        <v>0</v>
      </c>
    </row>
    <row r="54" spans="1:12" x14ac:dyDescent="0.25">
      <c r="A54" s="2">
        <v>43903</v>
      </c>
      <c r="B54" s="3">
        <v>57.83</v>
      </c>
      <c r="C54" s="3">
        <f t="shared" si="2"/>
        <v>57.83</v>
      </c>
      <c r="D54" s="3">
        <v>2711.02</v>
      </c>
      <c r="E54" s="3">
        <f t="shared" si="3"/>
        <v>2711.02</v>
      </c>
      <c r="F54" s="3">
        <f>MAX($E$2:E54)</f>
        <v>3386.15</v>
      </c>
      <c r="G54" s="3">
        <f t="shared" si="0"/>
        <v>-19.937982664678177</v>
      </c>
      <c r="I54" s="2">
        <v>43883</v>
      </c>
      <c r="J54" s="3">
        <f>IFERROR(VLOOKUP(I54,$A$1:$G$1610,3,FALSE),J53)</f>
        <v>17.079999999999998</v>
      </c>
      <c r="K54" s="3">
        <f>IFERROR(VLOOKUP(I54,$A$1:$G$1610,7,FALSE),K53)</f>
        <v>-1.4293519188458896</v>
      </c>
      <c r="L54" s="5">
        <f t="shared" si="1"/>
        <v>0</v>
      </c>
    </row>
    <row r="55" spans="1:12" x14ac:dyDescent="0.25">
      <c r="A55" s="2">
        <v>43906</v>
      </c>
      <c r="B55" s="3">
        <v>82.69</v>
      </c>
      <c r="C55" s="3">
        <f t="shared" si="2"/>
        <v>82.69</v>
      </c>
      <c r="D55" s="3">
        <v>2386.13</v>
      </c>
      <c r="E55" s="3">
        <f t="shared" si="3"/>
        <v>2386.13</v>
      </c>
      <c r="F55" s="3">
        <f>MAX($E$2:E55)</f>
        <v>3386.15</v>
      </c>
      <c r="G55" s="3">
        <f t="shared" si="0"/>
        <v>-29.532655080253384</v>
      </c>
      <c r="I55" s="2">
        <v>43884</v>
      </c>
      <c r="J55" s="3">
        <f>IFERROR(VLOOKUP(I55,$A$1:$G$1610,3,FALSE),J54)</f>
        <v>17.079999999999998</v>
      </c>
      <c r="K55" s="3">
        <f>IFERROR(VLOOKUP(I55,$A$1:$G$1610,7,FALSE),K54)</f>
        <v>-1.4293519188458896</v>
      </c>
      <c r="L55" s="5">
        <f t="shared" si="1"/>
        <v>0</v>
      </c>
    </row>
    <row r="56" spans="1:12" x14ac:dyDescent="0.25">
      <c r="A56" s="2">
        <v>43907</v>
      </c>
      <c r="B56" s="3">
        <v>75.91</v>
      </c>
      <c r="C56" s="3">
        <f t="shared" si="2"/>
        <v>75.91</v>
      </c>
      <c r="D56" s="3">
        <v>2529.19</v>
      </c>
      <c r="E56" s="3">
        <f t="shared" si="3"/>
        <v>2529.19</v>
      </c>
      <c r="F56" s="3">
        <f>MAX($E$2:E56)</f>
        <v>3386.15</v>
      </c>
      <c r="G56" s="3">
        <f t="shared" si="0"/>
        <v>-25.307797941615107</v>
      </c>
      <c r="I56" s="2">
        <v>43885</v>
      </c>
      <c r="J56" s="3">
        <f>IFERROR(VLOOKUP(I56,$A$1:$G$1610,3,FALSE),J55)</f>
        <v>25.03</v>
      </c>
      <c r="K56" s="3">
        <f>IFERROR(VLOOKUP(I56,$A$1:$G$1610,7,FALSE),K55)</f>
        <v>-4.7328086469884738</v>
      </c>
      <c r="L56" s="5">
        <f t="shared" si="1"/>
        <v>0</v>
      </c>
    </row>
    <row r="57" spans="1:12" x14ac:dyDescent="0.25">
      <c r="A57" s="2">
        <v>43908</v>
      </c>
      <c r="B57" s="3">
        <v>76.45</v>
      </c>
      <c r="C57" s="3">
        <f t="shared" si="2"/>
        <v>76.45</v>
      </c>
      <c r="D57" s="3">
        <v>2398.1</v>
      </c>
      <c r="E57" s="3">
        <f t="shared" si="3"/>
        <v>2398.1</v>
      </c>
      <c r="F57" s="3">
        <f>MAX($E$2:E57)</f>
        <v>3386.15</v>
      </c>
      <c r="G57" s="3">
        <f t="shared" si="0"/>
        <v>-29.17915626891898</v>
      </c>
      <c r="I57" s="2">
        <v>43886</v>
      </c>
      <c r="J57" s="3">
        <f>IFERROR(VLOOKUP(I57,$A$1:$G$1610,3,FALSE),J56)</f>
        <v>27.85</v>
      </c>
      <c r="K57" s="3">
        <f>IFERROR(VLOOKUP(I57,$A$1:$G$1610,7,FALSE),K56)</f>
        <v>-7.6175007013865317</v>
      </c>
      <c r="L57" s="5">
        <f t="shared" si="1"/>
        <v>0</v>
      </c>
    </row>
    <row r="58" spans="1:12" x14ac:dyDescent="0.25">
      <c r="A58" s="2">
        <v>43909</v>
      </c>
      <c r="B58" s="3">
        <v>72</v>
      </c>
      <c r="C58" s="3">
        <f t="shared" si="2"/>
        <v>72</v>
      </c>
      <c r="D58" s="3">
        <v>2409.39</v>
      </c>
      <c r="E58" s="3">
        <f t="shared" si="3"/>
        <v>2409.39</v>
      </c>
      <c r="F58" s="3">
        <f>MAX($E$2:E58)</f>
        <v>3386.15</v>
      </c>
      <c r="G58" s="3">
        <f t="shared" si="0"/>
        <v>-28.845739261403075</v>
      </c>
      <c r="I58" s="2">
        <v>43887</v>
      </c>
      <c r="J58" s="3">
        <f>IFERROR(VLOOKUP(I58,$A$1:$G$1610,3,FALSE),J57)</f>
        <v>27.56</v>
      </c>
      <c r="K58" s="3">
        <f>IFERROR(VLOOKUP(I58,$A$1:$G$1610,7,FALSE),K57)</f>
        <v>-7.9665697030550984</v>
      </c>
      <c r="L58" s="5">
        <f t="shared" si="1"/>
        <v>0</v>
      </c>
    </row>
    <row r="59" spans="1:12" x14ac:dyDescent="0.25">
      <c r="A59" s="2">
        <v>43910</v>
      </c>
      <c r="B59" s="3">
        <v>66.040000000000006</v>
      </c>
      <c r="C59" s="3">
        <f t="shared" si="2"/>
        <v>66.040000000000006</v>
      </c>
      <c r="D59" s="3">
        <v>2304.92</v>
      </c>
      <c r="E59" s="3">
        <f t="shared" si="3"/>
        <v>2304.92</v>
      </c>
      <c r="F59" s="3">
        <f>MAX($E$2:E59)</f>
        <v>3386.15</v>
      </c>
      <c r="G59" s="3">
        <f t="shared" si="0"/>
        <v>-31.930954033341703</v>
      </c>
      <c r="I59" s="2">
        <v>43888</v>
      </c>
      <c r="J59" s="3">
        <f>IFERROR(VLOOKUP(I59,$A$1:$G$1610,3,FALSE),J58)</f>
        <v>39.159999999999997</v>
      </c>
      <c r="K59" s="3">
        <f>IFERROR(VLOOKUP(I59,$A$1:$G$1610,7,FALSE),K58)</f>
        <v>-12.031067731789786</v>
      </c>
      <c r="L59" s="5">
        <f t="shared" si="1"/>
        <v>1</v>
      </c>
    </row>
    <row r="60" spans="1:12" x14ac:dyDescent="0.25">
      <c r="A60" s="2">
        <v>43913</v>
      </c>
      <c r="B60" s="3">
        <v>61.59</v>
      </c>
      <c r="C60" s="3">
        <f t="shared" si="2"/>
        <v>61.59</v>
      </c>
      <c r="D60" s="3">
        <v>2237.4</v>
      </c>
      <c r="E60" s="3">
        <f t="shared" si="3"/>
        <v>2237.4</v>
      </c>
      <c r="F60" s="3">
        <f>MAX($E$2:E60)</f>
        <v>3386.15</v>
      </c>
      <c r="G60" s="3">
        <f t="shared" si="0"/>
        <v>-33.924959024260595</v>
      </c>
      <c r="I60" s="2">
        <v>43889</v>
      </c>
      <c r="J60" s="3">
        <f>IFERROR(VLOOKUP(I60,$A$1:$G$1610,3,FALSE),J59)</f>
        <v>40.11</v>
      </c>
      <c r="K60" s="3">
        <f>IFERROR(VLOOKUP(I60,$A$1:$G$1610,7,FALSE),K59)</f>
        <v>-12.755784593121991</v>
      </c>
      <c r="L60" s="5">
        <f t="shared" si="1"/>
        <v>1</v>
      </c>
    </row>
    <row r="61" spans="1:12" x14ac:dyDescent="0.25">
      <c r="A61" s="2">
        <v>43914</v>
      </c>
      <c r="B61" s="3">
        <v>61.67</v>
      </c>
      <c r="C61" s="3">
        <f t="shared" si="2"/>
        <v>61.67</v>
      </c>
      <c r="D61" s="3">
        <v>2447.33</v>
      </c>
      <c r="E61" s="3">
        <f t="shared" si="3"/>
        <v>2447.33</v>
      </c>
      <c r="F61" s="3">
        <f>MAX($E$2:E61)</f>
        <v>3386.15</v>
      </c>
      <c r="G61" s="3">
        <f t="shared" si="0"/>
        <v>-27.725292736588759</v>
      </c>
      <c r="I61" s="2">
        <v>43890</v>
      </c>
      <c r="J61" s="3">
        <f>IFERROR(VLOOKUP(I61,$A$1:$G$1610,3,FALSE),J60)</f>
        <v>40.11</v>
      </c>
      <c r="K61" s="3">
        <f>IFERROR(VLOOKUP(I61,$A$1:$G$1610,7,FALSE),K60)</f>
        <v>-12.755784593121991</v>
      </c>
      <c r="L61" s="5">
        <f t="shared" si="1"/>
        <v>1</v>
      </c>
    </row>
    <row r="62" spans="1:12" x14ac:dyDescent="0.25">
      <c r="A62" s="2">
        <v>43915</v>
      </c>
      <c r="B62" s="3">
        <v>63.95</v>
      </c>
      <c r="C62" s="3">
        <f t="shared" si="2"/>
        <v>63.95</v>
      </c>
      <c r="D62" s="3">
        <v>2475.56</v>
      </c>
      <c r="E62" s="3">
        <f t="shared" si="3"/>
        <v>2475.56</v>
      </c>
      <c r="F62" s="3">
        <f>MAX($E$2:E62)</f>
        <v>3386.15</v>
      </c>
      <c r="G62" s="3">
        <f t="shared" si="0"/>
        <v>-26.891602557476784</v>
      </c>
      <c r="I62" s="2">
        <v>43891</v>
      </c>
      <c r="J62" s="3">
        <f>IFERROR(VLOOKUP(I62,$A$1:$G$1610,3,FALSE),J61)</f>
        <v>40.11</v>
      </c>
      <c r="K62" s="3">
        <f>IFERROR(VLOOKUP(I62,$A$1:$G$1610,7,FALSE),K61)</f>
        <v>-12.755784593121991</v>
      </c>
      <c r="L62" s="5">
        <f t="shared" si="1"/>
        <v>1</v>
      </c>
    </row>
    <row r="63" spans="1:12" x14ac:dyDescent="0.25">
      <c r="A63" s="2">
        <v>43916</v>
      </c>
      <c r="B63" s="3">
        <v>61</v>
      </c>
      <c r="C63" s="3">
        <f t="shared" si="2"/>
        <v>61</v>
      </c>
      <c r="D63" s="3">
        <v>2630.07</v>
      </c>
      <c r="E63" s="3">
        <f t="shared" si="3"/>
        <v>2630.07</v>
      </c>
      <c r="F63" s="3">
        <f>MAX($E$2:E63)</f>
        <v>3386.15</v>
      </c>
      <c r="G63" s="3">
        <f t="shared" si="0"/>
        <v>-22.328603281012356</v>
      </c>
      <c r="I63" s="2">
        <v>43892</v>
      </c>
      <c r="J63" s="3">
        <f>IFERROR(VLOOKUP(I63,$A$1:$G$1610,3,FALSE),J62)</f>
        <v>33.42</v>
      </c>
      <c r="K63" s="3">
        <f>IFERROR(VLOOKUP(I63,$A$1:$G$1610,7,FALSE),K62)</f>
        <v>-8.7391285087784087</v>
      </c>
      <c r="L63" s="5">
        <f t="shared" si="1"/>
        <v>1</v>
      </c>
    </row>
    <row r="64" spans="1:12" x14ac:dyDescent="0.25">
      <c r="A64" s="2">
        <v>43917</v>
      </c>
      <c r="B64" s="3">
        <v>65.540000000000006</v>
      </c>
      <c r="C64" s="3">
        <f t="shared" si="2"/>
        <v>65.540000000000006</v>
      </c>
      <c r="D64" s="3">
        <v>2541.4699999999998</v>
      </c>
      <c r="E64" s="3">
        <f t="shared" si="3"/>
        <v>2541.4699999999998</v>
      </c>
      <c r="F64" s="3">
        <f>MAX($E$2:E64)</f>
        <v>3386.15</v>
      </c>
      <c r="G64" s="3">
        <f t="shared" si="0"/>
        <v>-24.945144190304632</v>
      </c>
      <c r="I64" s="2">
        <v>43893</v>
      </c>
      <c r="J64" s="3">
        <f>IFERROR(VLOOKUP(I64,$A$1:$G$1610,3,FALSE),J63)</f>
        <v>36.82</v>
      </c>
      <c r="K64" s="3">
        <f>IFERROR(VLOOKUP(I64,$A$1:$G$1610,7,FALSE),K63)</f>
        <v>-11.304283625946878</v>
      </c>
      <c r="L64" s="5">
        <f t="shared" si="1"/>
        <v>1</v>
      </c>
    </row>
    <row r="65" spans="1:12" x14ac:dyDescent="0.25">
      <c r="A65" s="2">
        <v>43920</v>
      </c>
      <c r="B65" s="3">
        <v>57.08</v>
      </c>
      <c r="C65" s="3">
        <f t="shared" si="2"/>
        <v>57.08</v>
      </c>
      <c r="D65" s="3">
        <v>2626.65</v>
      </c>
      <c r="E65" s="3">
        <f t="shared" si="3"/>
        <v>2626.65</v>
      </c>
      <c r="F65" s="3">
        <f>MAX($E$2:E65)</f>
        <v>3386.15</v>
      </c>
      <c r="G65" s="3">
        <f t="shared" si="0"/>
        <v>-22.429602941393618</v>
      </c>
      <c r="I65" s="2">
        <v>43894</v>
      </c>
      <c r="J65" s="3">
        <f>IFERROR(VLOOKUP(I65,$A$1:$G$1610,3,FALSE),J64)</f>
        <v>31.99</v>
      </c>
      <c r="K65" s="3">
        <f>IFERROR(VLOOKUP(I65,$A$1:$G$1610,7,FALSE),K64)</f>
        <v>-7.5610944583081139</v>
      </c>
      <c r="L65" s="5">
        <f t="shared" si="1"/>
        <v>1</v>
      </c>
    </row>
    <row r="66" spans="1:12" x14ac:dyDescent="0.25">
      <c r="A66" s="2">
        <v>43921</v>
      </c>
      <c r="B66" s="3">
        <v>53.54</v>
      </c>
      <c r="C66" s="3">
        <f t="shared" si="2"/>
        <v>53.54</v>
      </c>
      <c r="D66" s="3">
        <v>2584.59</v>
      </c>
      <c r="E66" s="3">
        <f t="shared" si="3"/>
        <v>2584.59</v>
      </c>
      <c r="F66" s="3">
        <f>MAX($E$2:E66)</f>
        <v>3386.15</v>
      </c>
      <c r="G66" s="3">
        <f t="shared" ref="G66:G129" si="4">(E66-F66)/F66*100</f>
        <v>-23.671721571696466</v>
      </c>
      <c r="I66" s="2">
        <v>43895</v>
      </c>
      <c r="J66" s="3">
        <f>IFERROR(VLOOKUP(I66,$A$1:$G$1610,3,FALSE),J65)</f>
        <v>39.619999999999997</v>
      </c>
      <c r="K66" s="3">
        <f>IFERROR(VLOOKUP(I66,$A$1:$G$1610,7,FALSE),K65)</f>
        <v>-10.696809060437371</v>
      </c>
      <c r="L66" s="5">
        <f t="shared" ref="L66:L129" si="5">IF(OR(J66&gt;=30,K66&lt;-10),1,0)</f>
        <v>1</v>
      </c>
    </row>
    <row r="67" spans="1:12" x14ac:dyDescent="0.25">
      <c r="A67" s="2">
        <v>43922</v>
      </c>
      <c r="B67" s="3">
        <v>57.06</v>
      </c>
      <c r="C67" s="3">
        <f t="shared" ref="C67:C130" si="6">IF(B67="",B66,B67)</f>
        <v>57.06</v>
      </c>
      <c r="D67" s="3">
        <v>2470.5</v>
      </c>
      <c r="E67" s="3">
        <f t="shared" si="3"/>
        <v>2470.5</v>
      </c>
      <c r="F67" s="3">
        <f>MAX($E$2:E67)</f>
        <v>3386.15</v>
      </c>
      <c r="G67" s="3">
        <f t="shared" si="4"/>
        <v>-27.041034803537944</v>
      </c>
      <c r="I67" s="2">
        <v>43896</v>
      </c>
      <c r="J67" s="3">
        <f>IFERROR(VLOOKUP(I67,$A$1:$G$1610,3,FALSE),J66)</f>
        <v>41.94</v>
      </c>
      <c r="K67" s="3">
        <f>IFERROR(VLOOKUP(I67,$A$1:$G$1610,7,FALSE),K66)</f>
        <v>-12.21977762355478</v>
      </c>
      <c r="L67" s="5">
        <f t="shared" si="5"/>
        <v>1</v>
      </c>
    </row>
    <row r="68" spans="1:12" x14ac:dyDescent="0.25">
      <c r="A68" s="2">
        <v>43923</v>
      </c>
      <c r="B68" s="3">
        <v>50.91</v>
      </c>
      <c r="C68" s="3">
        <f t="shared" si="6"/>
        <v>50.91</v>
      </c>
      <c r="D68" s="3">
        <v>2526.9</v>
      </c>
      <c r="E68" s="3">
        <f t="shared" si="3"/>
        <v>2526.9</v>
      </c>
      <c r="F68" s="3">
        <f>MAX($E$2:E68)</f>
        <v>3386.15</v>
      </c>
      <c r="G68" s="3">
        <f t="shared" si="4"/>
        <v>-25.375426369180339</v>
      </c>
      <c r="I68" s="2">
        <v>43897</v>
      </c>
      <c r="J68" s="3">
        <f>IFERROR(VLOOKUP(I68,$A$1:$G$1610,3,FALSE),J67)</f>
        <v>41.94</v>
      </c>
      <c r="K68" s="3">
        <f>IFERROR(VLOOKUP(I68,$A$1:$G$1610,7,FALSE),K67)</f>
        <v>-12.21977762355478</v>
      </c>
      <c r="L68" s="5">
        <f t="shared" si="5"/>
        <v>1</v>
      </c>
    </row>
    <row r="69" spans="1:12" x14ac:dyDescent="0.25">
      <c r="A69" s="2">
        <v>43924</v>
      </c>
      <c r="B69" s="3">
        <v>46.8</v>
      </c>
      <c r="C69" s="3">
        <f t="shared" si="6"/>
        <v>46.8</v>
      </c>
      <c r="D69" s="3">
        <v>2488.65</v>
      </c>
      <c r="E69" s="3">
        <f t="shared" ref="E69:E132" si="7">IF(D69="",D68,D69)</f>
        <v>2488.65</v>
      </c>
      <c r="F69" s="3">
        <f>MAX($E$2:E69)</f>
        <v>3386.15</v>
      </c>
      <c r="G69" s="3">
        <f t="shared" si="4"/>
        <v>-26.505027833970736</v>
      </c>
      <c r="I69" s="2">
        <v>43898</v>
      </c>
      <c r="J69" s="3">
        <f>IFERROR(VLOOKUP(I69,$A$1:$G$1610,3,FALSE),J68)</f>
        <v>41.94</v>
      </c>
      <c r="K69" s="3">
        <f>IFERROR(VLOOKUP(I69,$A$1:$G$1610,7,FALSE),K68)</f>
        <v>-12.21977762355478</v>
      </c>
      <c r="L69" s="5">
        <f t="shared" si="5"/>
        <v>1</v>
      </c>
    </row>
    <row r="70" spans="1:12" x14ac:dyDescent="0.25">
      <c r="A70" s="2">
        <v>43927</v>
      </c>
      <c r="B70" s="3">
        <v>45.24</v>
      </c>
      <c r="C70" s="3">
        <f t="shared" si="6"/>
        <v>45.24</v>
      </c>
      <c r="D70" s="3">
        <v>2663.68</v>
      </c>
      <c r="E70" s="3">
        <f t="shared" si="7"/>
        <v>2663.68</v>
      </c>
      <c r="F70" s="3">
        <f>MAX($E$2:E70)</f>
        <v>3386.15</v>
      </c>
      <c r="G70" s="3">
        <f t="shared" si="4"/>
        <v>-21.336030595218766</v>
      </c>
      <c r="I70" s="2">
        <v>43899</v>
      </c>
      <c r="J70" s="3">
        <f>IFERROR(VLOOKUP(I70,$A$1:$G$1610,3,FALSE),J69)</f>
        <v>54.46</v>
      </c>
      <c r="K70" s="3">
        <f>IFERROR(VLOOKUP(I70,$A$1:$G$1610,7,FALSE),K69)</f>
        <v>-18.888413094517375</v>
      </c>
      <c r="L70" s="5">
        <f t="shared" si="5"/>
        <v>1</v>
      </c>
    </row>
    <row r="71" spans="1:12" x14ac:dyDescent="0.25">
      <c r="A71" s="2">
        <v>43928</v>
      </c>
      <c r="B71" s="3">
        <v>46.7</v>
      </c>
      <c r="C71" s="3">
        <f t="shared" si="6"/>
        <v>46.7</v>
      </c>
      <c r="D71" s="3">
        <v>2659.41</v>
      </c>
      <c r="E71" s="3">
        <f t="shared" si="7"/>
        <v>2659.41</v>
      </c>
      <c r="F71" s="3">
        <f>MAX($E$2:E71)</f>
        <v>3386.15</v>
      </c>
      <c r="G71" s="3">
        <f t="shared" si="4"/>
        <v>-21.462132510373145</v>
      </c>
      <c r="I71" s="2">
        <v>43900</v>
      </c>
      <c r="J71" s="3">
        <f>IFERROR(VLOOKUP(I71,$A$1:$G$1610,3,FALSE),J70)</f>
        <v>47.3</v>
      </c>
      <c r="K71" s="3">
        <f>IFERROR(VLOOKUP(I71,$A$1:$G$1610,7,FALSE),K70)</f>
        <v>-14.881797912083044</v>
      </c>
      <c r="L71" s="5">
        <f t="shared" si="5"/>
        <v>1</v>
      </c>
    </row>
    <row r="72" spans="1:12" x14ac:dyDescent="0.25">
      <c r="A72" s="2">
        <v>43929</v>
      </c>
      <c r="B72" s="3">
        <v>43.35</v>
      </c>
      <c r="C72" s="3">
        <f t="shared" si="6"/>
        <v>43.35</v>
      </c>
      <c r="D72" s="3">
        <v>2749.98</v>
      </c>
      <c r="E72" s="3">
        <f t="shared" si="7"/>
        <v>2749.98</v>
      </c>
      <c r="F72" s="3">
        <f>MAX($E$2:E72)</f>
        <v>3386.15</v>
      </c>
      <c r="G72" s="3">
        <f t="shared" si="4"/>
        <v>-18.787413434136116</v>
      </c>
      <c r="I72" s="2">
        <v>43901</v>
      </c>
      <c r="J72" s="3">
        <f>IFERROR(VLOOKUP(I72,$A$1:$G$1610,3,FALSE),J71)</f>
        <v>53.9</v>
      </c>
      <c r="K72" s="3">
        <f>IFERROR(VLOOKUP(I72,$A$1:$G$1610,7,FALSE),K71)</f>
        <v>-19.041389188311207</v>
      </c>
      <c r="L72" s="5">
        <f t="shared" si="5"/>
        <v>1</v>
      </c>
    </row>
    <row r="73" spans="1:12" x14ac:dyDescent="0.25">
      <c r="A73" s="2">
        <v>43930</v>
      </c>
      <c r="B73" s="3">
        <v>41.67</v>
      </c>
      <c r="C73" s="3">
        <f t="shared" si="6"/>
        <v>41.67</v>
      </c>
      <c r="D73" s="3">
        <v>2789.82</v>
      </c>
      <c r="E73" s="3">
        <f t="shared" si="7"/>
        <v>2789.82</v>
      </c>
      <c r="F73" s="3">
        <f>MAX($E$2:E73)</f>
        <v>3386.15</v>
      </c>
      <c r="G73" s="3">
        <f t="shared" si="4"/>
        <v>-17.61085598688776</v>
      </c>
      <c r="I73" s="2">
        <v>43902</v>
      </c>
      <c r="J73" s="3">
        <f>IFERROR(VLOOKUP(I73,$A$1:$G$1610,3,FALSE),J72)</f>
        <v>75.47</v>
      </c>
      <c r="K73" s="3">
        <f>IFERROR(VLOOKUP(I73,$A$1:$G$1610,7,FALSE),K72)</f>
        <v>-26.741579670126846</v>
      </c>
      <c r="L73" s="5">
        <f t="shared" si="5"/>
        <v>1</v>
      </c>
    </row>
    <row r="74" spans="1:12" x14ac:dyDescent="0.25">
      <c r="A74" s="2">
        <v>43931</v>
      </c>
      <c r="C74" s="3">
        <f t="shared" si="6"/>
        <v>41.67</v>
      </c>
      <c r="E74" s="3">
        <f t="shared" si="7"/>
        <v>2789.82</v>
      </c>
      <c r="F74" s="3">
        <f>MAX($E$2:E74)</f>
        <v>3386.15</v>
      </c>
      <c r="G74" s="3">
        <f t="shared" si="4"/>
        <v>-17.61085598688776</v>
      </c>
      <c r="I74" s="2">
        <v>43903</v>
      </c>
      <c r="J74" s="3">
        <f>IFERROR(VLOOKUP(I74,$A$1:$G$1610,3,FALSE),J73)</f>
        <v>57.83</v>
      </c>
      <c r="K74" s="3">
        <f>IFERROR(VLOOKUP(I74,$A$1:$G$1610,7,FALSE),K73)</f>
        <v>-19.937982664678177</v>
      </c>
      <c r="L74" s="5">
        <f t="shared" si="5"/>
        <v>1</v>
      </c>
    </row>
    <row r="75" spans="1:12" x14ac:dyDescent="0.25">
      <c r="A75" s="2">
        <v>43934</v>
      </c>
      <c r="B75" s="3">
        <v>41.17</v>
      </c>
      <c r="C75" s="3">
        <f t="shared" si="6"/>
        <v>41.17</v>
      </c>
      <c r="D75" s="3">
        <v>2761.63</v>
      </c>
      <c r="E75" s="3">
        <f t="shared" si="7"/>
        <v>2761.63</v>
      </c>
      <c r="F75" s="3">
        <f>MAX($E$2:E75)</f>
        <v>3386.15</v>
      </c>
      <c r="G75" s="3">
        <f t="shared" si="4"/>
        <v>-18.443364883422177</v>
      </c>
      <c r="I75" s="2">
        <v>43904</v>
      </c>
      <c r="J75" s="3">
        <f>IFERROR(VLOOKUP(I75,$A$1:$G$1610,3,FALSE),J74)</f>
        <v>57.83</v>
      </c>
      <c r="K75" s="3">
        <f>IFERROR(VLOOKUP(I75,$A$1:$G$1610,7,FALSE),K74)</f>
        <v>-19.937982664678177</v>
      </c>
      <c r="L75" s="5">
        <f t="shared" si="5"/>
        <v>1</v>
      </c>
    </row>
    <row r="76" spans="1:12" x14ac:dyDescent="0.25">
      <c r="A76" s="2">
        <v>43935</v>
      </c>
      <c r="B76" s="3">
        <v>37.76</v>
      </c>
      <c r="C76" s="3">
        <f t="shared" si="6"/>
        <v>37.76</v>
      </c>
      <c r="D76" s="3">
        <v>2846.06</v>
      </c>
      <c r="E76" s="3">
        <f t="shared" si="7"/>
        <v>2846.06</v>
      </c>
      <c r="F76" s="3">
        <f>MAX($E$2:E76)</f>
        <v>3386.15</v>
      </c>
      <c r="G76" s="3">
        <f t="shared" si="4"/>
        <v>-15.949972682840396</v>
      </c>
      <c r="I76" s="2">
        <v>43905</v>
      </c>
      <c r="J76" s="3">
        <f>IFERROR(VLOOKUP(I76,$A$1:$G$1610,3,FALSE),J75)</f>
        <v>57.83</v>
      </c>
      <c r="K76" s="3">
        <f>IFERROR(VLOOKUP(I76,$A$1:$G$1610,7,FALSE),K75)</f>
        <v>-19.937982664678177</v>
      </c>
      <c r="L76" s="5">
        <f t="shared" si="5"/>
        <v>1</v>
      </c>
    </row>
    <row r="77" spans="1:12" x14ac:dyDescent="0.25">
      <c r="A77" s="2">
        <v>43936</v>
      </c>
      <c r="B77" s="3">
        <v>40.840000000000003</v>
      </c>
      <c r="C77" s="3">
        <f t="shared" si="6"/>
        <v>40.840000000000003</v>
      </c>
      <c r="D77" s="3">
        <v>2783.36</v>
      </c>
      <c r="E77" s="3">
        <f t="shared" si="7"/>
        <v>2783.36</v>
      </c>
      <c r="F77" s="3">
        <f>MAX($E$2:E77)</f>
        <v>3386.15</v>
      </c>
      <c r="G77" s="3">
        <f t="shared" si="4"/>
        <v>-17.801633123163473</v>
      </c>
      <c r="I77" s="2">
        <v>43906</v>
      </c>
      <c r="J77" s="3">
        <f>IFERROR(VLOOKUP(I77,$A$1:$G$1610,3,FALSE),J76)</f>
        <v>82.69</v>
      </c>
      <c r="K77" s="3">
        <f>IFERROR(VLOOKUP(I77,$A$1:$G$1610,7,FALSE),K76)</f>
        <v>-29.532655080253384</v>
      </c>
      <c r="L77" s="5">
        <f t="shared" si="5"/>
        <v>1</v>
      </c>
    </row>
    <row r="78" spans="1:12" x14ac:dyDescent="0.25">
      <c r="A78" s="2">
        <v>43937</v>
      </c>
      <c r="B78" s="3">
        <v>40.11</v>
      </c>
      <c r="C78" s="3">
        <f t="shared" si="6"/>
        <v>40.11</v>
      </c>
      <c r="D78" s="3">
        <v>2799.55</v>
      </c>
      <c r="E78" s="3">
        <f t="shared" si="7"/>
        <v>2799.55</v>
      </c>
      <c r="F78" s="3">
        <f>MAX($E$2:E78)</f>
        <v>3386.15</v>
      </c>
      <c r="G78" s="3">
        <f t="shared" si="4"/>
        <v>-17.323508999896635</v>
      </c>
      <c r="I78" s="2">
        <v>43907</v>
      </c>
      <c r="J78" s="3">
        <f>IFERROR(VLOOKUP(I78,$A$1:$G$1610,3,FALSE),J77)</f>
        <v>75.91</v>
      </c>
      <c r="K78" s="3">
        <f>IFERROR(VLOOKUP(I78,$A$1:$G$1610,7,FALSE),K77)</f>
        <v>-25.307797941615107</v>
      </c>
      <c r="L78" s="5">
        <f t="shared" si="5"/>
        <v>1</v>
      </c>
    </row>
    <row r="79" spans="1:12" x14ac:dyDescent="0.25">
      <c r="A79" s="2">
        <v>43938</v>
      </c>
      <c r="B79" s="3">
        <v>38.15</v>
      </c>
      <c r="C79" s="3">
        <f t="shared" si="6"/>
        <v>38.15</v>
      </c>
      <c r="D79" s="3">
        <v>2874.56</v>
      </c>
      <c r="E79" s="3">
        <f t="shared" si="7"/>
        <v>2874.56</v>
      </c>
      <c r="F79" s="3">
        <f>MAX($E$2:E79)</f>
        <v>3386.15</v>
      </c>
      <c r="G79" s="3">
        <f t="shared" si="4"/>
        <v>-15.108308846329907</v>
      </c>
      <c r="I79" s="2">
        <v>43908</v>
      </c>
      <c r="J79" s="3">
        <f>IFERROR(VLOOKUP(I79,$A$1:$G$1610,3,FALSE),J78)</f>
        <v>76.45</v>
      </c>
      <c r="K79" s="3">
        <f>IFERROR(VLOOKUP(I79,$A$1:$G$1610,7,FALSE),K78)</f>
        <v>-29.17915626891898</v>
      </c>
      <c r="L79" s="5">
        <f t="shared" si="5"/>
        <v>1</v>
      </c>
    </row>
    <row r="80" spans="1:12" x14ac:dyDescent="0.25">
      <c r="A80" s="2">
        <v>43941</v>
      </c>
      <c r="B80" s="3">
        <v>43.83</v>
      </c>
      <c r="C80" s="3">
        <f t="shared" si="6"/>
        <v>43.83</v>
      </c>
      <c r="D80" s="3">
        <v>2823.16</v>
      </c>
      <c r="E80" s="3">
        <f t="shared" si="7"/>
        <v>2823.16</v>
      </c>
      <c r="F80" s="3">
        <f>MAX($E$2:E80)</f>
        <v>3386.15</v>
      </c>
      <c r="G80" s="3">
        <f t="shared" si="4"/>
        <v>-16.626256958492689</v>
      </c>
      <c r="I80" s="2">
        <v>43909</v>
      </c>
      <c r="J80" s="3">
        <f>IFERROR(VLOOKUP(I80,$A$1:$G$1610,3,FALSE),J79)</f>
        <v>72</v>
      </c>
      <c r="K80" s="3">
        <f>IFERROR(VLOOKUP(I80,$A$1:$G$1610,7,FALSE),K79)</f>
        <v>-28.845739261403075</v>
      </c>
      <c r="L80" s="5">
        <f t="shared" si="5"/>
        <v>1</v>
      </c>
    </row>
    <row r="81" spans="1:12" x14ac:dyDescent="0.25">
      <c r="A81" s="2">
        <v>43942</v>
      </c>
      <c r="B81" s="3">
        <v>45.41</v>
      </c>
      <c r="C81" s="3">
        <f t="shared" si="6"/>
        <v>45.41</v>
      </c>
      <c r="D81" s="3">
        <v>2736.56</v>
      </c>
      <c r="E81" s="3">
        <f t="shared" si="7"/>
        <v>2736.56</v>
      </c>
      <c r="F81" s="3">
        <f>MAX($E$2:E81)</f>
        <v>3386.15</v>
      </c>
      <c r="G81" s="3">
        <f t="shared" si="4"/>
        <v>-19.183733738907023</v>
      </c>
      <c r="I81" s="2">
        <v>43910</v>
      </c>
      <c r="J81" s="3">
        <f>IFERROR(VLOOKUP(I81,$A$1:$G$1610,3,FALSE),J80)</f>
        <v>66.040000000000006</v>
      </c>
      <c r="K81" s="3">
        <f>IFERROR(VLOOKUP(I81,$A$1:$G$1610,7,FALSE),K80)</f>
        <v>-31.930954033341703</v>
      </c>
      <c r="L81" s="5">
        <f t="shared" si="5"/>
        <v>1</v>
      </c>
    </row>
    <row r="82" spans="1:12" x14ac:dyDescent="0.25">
      <c r="A82" s="2">
        <v>43943</v>
      </c>
      <c r="B82" s="3">
        <v>41.98</v>
      </c>
      <c r="C82" s="3">
        <f t="shared" si="6"/>
        <v>41.98</v>
      </c>
      <c r="D82" s="3">
        <v>2799.31</v>
      </c>
      <c r="E82" s="3">
        <f t="shared" si="7"/>
        <v>2799.31</v>
      </c>
      <c r="F82" s="3">
        <f>MAX($E$2:E82)</f>
        <v>3386.15</v>
      </c>
      <c r="G82" s="3">
        <f t="shared" si="4"/>
        <v>-17.330596695361994</v>
      </c>
      <c r="I82" s="2">
        <v>43911</v>
      </c>
      <c r="J82" s="3">
        <f>IFERROR(VLOOKUP(I82,$A$1:$G$1610,3,FALSE),J81)</f>
        <v>66.040000000000006</v>
      </c>
      <c r="K82" s="3">
        <f>IFERROR(VLOOKUP(I82,$A$1:$G$1610,7,FALSE),K81)</f>
        <v>-31.930954033341703</v>
      </c>
      <c r="L82" s="5">
        <f t="shared" si="5"/>
        <v>1</v>
      </c>
    </row>
    <row r="83" spans="1:12" x14ac:dyDescent="0.25">
      <c r="A83" s="2">
        <v>43944</v>
      </c>
      <c r="B83" s="3">
        <v>41.38</v>
      </c>
      <c r="C83" s="3">
        <f t="shared" si="6"/>
        <v>41.38</v>
      </c>
      <c r="D83" s="3">
        <v>2797.8</v>
      </c>
      <c r="E83" s="3">
        <f t="shared" si="7"/>
        <v>2797.8</v>
      </c>
      <c r="F83" s="3">
        <f>MAX($E$2:E83)</f>
        <v>3386.15</v>
      </c>
      <c r="G83" s="3">
        <f t="shared" si="4"/>
        <v>-17.375190112664825</v>
      </c>
      <c r="I83" s="2">
        <v>43912</v>
      </c>
      <c r="J83" s="3">
        <f>IFERROR(VLOOKUP(I83,$A$1:$G$1610,3,FALSE),J82)</f>
        <v>66.040000000000006</v>
      </c>
      <c r="K83" s="3">
        <f>IFERROR(VLOOKUP(I83,$A$1:$G$1610,7,FALSE),K82)</f>
        <v>-31.930954033341703</v>
      </c>
      <c r="L83" s="5">
        <f t="shared" si="5"/>
        <v>1</v>
      </c>
    </row>
    <row r="84" spans="1:12" x14ac:dyDescent="0.25">
      <c r="A84" s="2">
        <v>43945</v>
      </c>
      <c r="B84" s="3">
        <v>35.93</v>
      </c>
      <c r="C84" s="3">
        <f t="shared" si="6"/>
        <v>35.93</v>
      </c>
      <c r="D84" s="3">
        <v>2836.74</v>
      </c>
      <c r="E84" s="3">
        <f t="shared" si="7"/>
        <v>2836.74</v>
      </c>
      <c r="F84" s="3">
        <f>MAX($E$2:E84)</f>
        <v>3386.15</v>
      </c>
      <c r="G84" s="3">
        <f t="shared" si="4"/>
        <v>-16.225211523411552</v>
      </c>
      <c r="I84" s="2">
        <v>43913</v>
      </c>
      <c r="J84" s="3">
        <f>IFERROR(VLOOKUP(I84,$A$1:$G$1610,3,FALSE),J83)</f>
        <v>61.59</v>
      </c>
      <c r="K84" s="3">
        <f>IFERROR(VLOOKUP(I84,$A$1:$G$1610,7,FALSE),K83)</f>
        <v>-33.924959024260595</v>
      </c>
      <c r="L84" s="5">
        <f t="shared" si="5"/>
        <v>1</v>
      </c>
    </row>
    <row r="85" spans="1:12" x14ac:dyDescent="0.25">
      <c r="A85" s="2">
        <v>43948</v>
      </c>
      <c r="B85" s="3">
        <v>33.29</v>
      </c>
      <c r="C85" s="3">
        <f t="shared" si="6"/>
        <v>33.29</v>
      </c>
      <c r="D85" s="3">
        <v>2878.48</v>
      </c>
      <c r="E85" s="3">
        <f t="shared" si="7"/>
        <v>2878.48</v>
      </c>
      <c r="F85" s="3">
        <f>MAX($E$2:E85)</f>
        <v>3386.15</v>
      </c>
      <c r="G85" s="3">
        <f t="shared" si="4"/>
        <v>-14.992543153729162</v>
      </c>
      <c r="I85" s="2">
        <v>43914</v>
      </c>
      <c r="J85" s="3">
        <f>IFERROR(VLOOKUP(I85,$A$1:$G$1610,3,FALSE),J84)</f>
        <v>61.67</v>
      </c>
      <c r="K85" s="3">
        <f>IFERROR(VLOOKUP(I85,$A$1:$G$1610,7,FALSE),K84)</f>
        <v>-27.725292736588759</v>
      </c>
      <c r="L85" s="5">
        <f t="shared" si="5"/>
        <v>1</v>
      </c>
    </row>
    <row r="86" spans="1:12" x14ac:dyDescent="0.25">
      <c r="A86" s="2">
        <v>43949</v>
      </c>
      <c r="B86" s="3">
        <v>33.57</v>
      </c>
      <c r="C86" s="3">
        <f t="shared" si="6"/>
        <v>33.57</v>
      </c>
      <c r="D86" s="3">
        <v>2863.39</v>
      </c>
      <c r="E86" s="3">
        <f t="shared" si="7"/>
        <v>2863.39</v>
      </c>
      <c r="F86" s="3">
        <f>MAX($E$2:E86)</f>
        <v>3386.15</v>
      </c>
      <c r="G86" s="3">
        <f t="shared" si="4"/>
        <v>-15.438182006113143</v>
      </c>
      <c r="I86" s="2">
        <v>43915</v>
      </c>
      <c r="J86" s="3">
        <f>IFERROR(VLOOKUP(I86,$A$1:$G$1610,3,FALSE),J85)</f>
        <v>63.95</v>
      </c>
      <c r="K86" s="3">
        <f>IFERROR(VLOOKUP(I86,$A$1:$G$1610,7,FALSE),K85)</f>
        <v>-26.891602557476784</v>
      </c>
      <c r="L86" s="5">
        <f t="shared" si="5"/>
        <v>1</v>
      </c>
    </row>
    <row r="87" spans="1:12" x14ac:dyDescent="0.25">
      <c r="A87" s="2">
        <v>43950</v>
      </c>
      <c r="B87" s="3">
        <v>31.23</v>
      </c>
      <c r="C87" s="3">
        <f t="shared" si="6"/>
        <v>31.23</v>
      </c>
      <c r="D87" s="3">
        <v>2939.51</v>
      </c>
      <c r="E87" s="3">
        <f t="shared" si="7"/>
        <v>2939.51</v>
      </c>
      <c r="F87" s="3">
        <f>MAX($E$2:E87)</f>
        <v>3386.15</v>
      </c>
      <c r="G87" s="3">
        <f t="shared" si="4"/>
        <v>-13.190201261019146</v>
      </c>
      <c r="I87" s="2">
        <v>43916</v>
      </c>
      <c r="J87" s="3">
        <f>IFERROR(VLOOKUP(I87,$A$1:$G$1610,3,FALSE),J86)</f>
        <v>61</v>
      </c>
      <c r="K87" s="3">
        <f>IFERROR(VLOOKUP(I87,$A$1:$G$1610,7,FALSE),K86)</f>
        <v>-22.328603281012356</v>
      </c>
      <c r="L87" s="5">
        <f t="shared" si="5"/>
        <v>1</v>
      </c>
    </row>
    <row r="88" spans="1:12" x14ac:dyDescent="0.25">
      <c r="A88" s="2">
        <v>43951</v>
      </c>
      <c r="B88" s="3">
        <v>34.15</v>
      </c>
      <c r="C88" s="3">
        <f t="shared" si="6"/>
        <v>34.15</v>
      </c>
      <c r="D88" s="3">
        <v>2912.43</v>
      </c>
      <c r="E88" s="3">
        <f t="shared" si="7"/>
        <v>2912.43</v>
      </c>
      <c r="F88" s="3">
        <f>MAX($E$2:E88)</f>
        <v>3386.15</v>
      </c>
      <c r="G88" s="3">
        <f t="shared" si="4"/>
        <v>-13.989929566026321</v>
      </c>
      <c r="I88" s="2">
        <v>43917</v>
      </c>
      <c r="J88" s="3">
        <f>IFERROR(VLOOKUP(I88,$A$1:$G$1610,3,FALSE),J87)</f>
        <v>65.540000000000006</v>
      </c>
      <c r="K88" s="3">
        <f>IFERROR(VLOOKUP(I88,$A$1:$G$1610,7,FALSE),K87)</f>
        <v>-24.945144190304632</v>
      </c>
      <c r="L88" s="5">
        <f t="shared" si="5"/>
        <v>1</v>
      </c>
    </row>
    <row r="89" spans="1:12" x14ac:dyDescent="0.25">
      <c r="A89" s="2">
        <v>43952</v>
      </c>
      <c r="B89" s="3">
        <v>37.19</v>
      </c>
      <c r="C89" s="3">
        <f t="shared" si="6"/>
        <v>37.19</v>
      </c>
      <c r="D89" s="3">
        <v>2830.71</v>
      </c>
      <c r="E89" s="3">
        <f t="shared" si="7"/>
        <v>2830.71</v>
      </c>
      <c r="F89" s="3">
        <f>MAX($E$2:E89)</f>
        <v>3386.15</v>
      </c>
      <c r="G89" s="3">
        <f t="shared" si="4"/>
        <v>-16.403289871978501</v>
      </c>
      <c r="I89" s="2">
        <v>43918</v>
      </c>
      <c r="J89" s="3">
        <f>IFERROR(VLOOKUP(I89,$A$1:$G$1610,3,FALSE),J88)</f>
        <v>65.540000000000006</v>
      </c>
      <c r="K89" s="3">
        <f>IFERROR(VLOOKUP(I89,$A$1:$G$1610,7,FALSE),K88)</f>
        <v>-24.945144190304632</v>
      </c>
      <c r="L89" s="5">
        <f t="shared" si="5"/>
        <v>1</v>
      </c>
    </row>
    <row r="90" spans="1:12" x14ac:dyDescent="0.25">
      <c r="A90" s="2">
        <v>43955</v>
      </c>
      <c r="B90" s="3">
        <v>35.97</v>
      </c>
      <c r="C90" s="3">
        <f t="shared" si="6"/>
        <v>35.97</v>
      </c>
      <c r="D90" s="3">
        <v>2842.74</v>
      </c>
      <c r="E90" s="3">
        <f t="shared" si="7"/>
        <v>2842.74</v>
      </c>
      <c r="F90" s="3">
        <f>MAX($E$2:E90)</f>
        <v>3386.15</v>
      </c>
      <c r="G90" s="3">
        <f t="shared" si="4"/>
        <v>-16.048019136777768</v>
      </c>
      <c r="I90" s="2">
        <v>43919</v>
      </c>
      <c r="J90" s="3">
        <f>IFERROR(VLOOKUP(I90,$A$1:$G$1610,3,FALSE),J89)</f>
        <v>65.540000000000006</v>
      </c>
      <c r="K90" s="3">
        <f>IFERROR(VLOOKUP(I90,$A$1:$G$1610,7,FALSE),K89)</f>
        <v>-24.945144190304632</v>
      </c>
      <c r="L90" s="5">
        <f t="shared" si="5"/>
        <v>1</v>
      </c>
    </row>
    <row r="91" spans="1:12" x14ac:dyDescent="0.25">
      <c r="A91" s="2">
        <v>43956</v>
      </c>
      <c r="B91" s="3">
        <v>33.61</v>
      </c>
      <c r="C91" s="3">
        <f t="shared" si="6"/>
        <v>33.61</v>
      </c>
      <c r="D91" s="3">
        <v>2868.44</v>
      </c>
      <c r="E91" s="3">
        <f t="shared" si="7"/>
        <v>2868.44</v>
      </c>
      <c r="F91" s="3">
        <f>MAX($E$2:E91)</f>
        <v>3386.15</v>
      </c>
      <c r="G91" s="3">
        <f t="shared" si="4"/>
        <v>-15.289045080696367</v>
      </c>
      <c r="I91" s="2">
        <v>43920</v>
      </c>
      <c r="J91" s="3">
        <f>IFERROR(VLOOKUP(I91,$A$1:$G$1610,3,FALSE),J90)</f>
        <v>57.08</v>
      </c>
      <c r="K91" s="3">
        <f>IFERROR(VLOOKUP(I91,$A$1:$G$1610,7,FALSE),K90)</f>
        <v>-22.429602941393618</v>
      </c>
      <c r="L91" s="5">
        <f t="shared" si="5"/>
        <v>1</v>
      </c>
    </row>
    <row r="92" spans="1:12" x14ac:dyDescent="0.25">
      <c r="A92" s="2">
        <v>43957</v>
      </c>
      <c r="B92" s="3">
        <v>34.119999999999997</v>
      </c>
      <c r="C92" s="3">
        <f t="shared" si="6"/>
        <v>34.119999999999997</v>
      </c>
      <c r="D92" s="3">
        <v>2848.42</v>
      </c>
      <c r="E92" s="3">
        <f t="shared" si="7"/>
        <v>2848.42</v>
      </c>
      <c r="F92" s="3">
        <f>MAX($E$2:E92)</f>
        <v>3386.15</v>
      </c>
      <c r="G92" s="3">
        <f t="shared" si="4"/>
        <v>-15.880277010764438</v>
      </c>
      <c r="I92" s="2">
        <v>43921</v>
      </c>
      <c r="J92" s="3">
        <f>IFERROR(VLOOKUP(I92,$A$1:$G$1610,3,FALSE),J91)</f>
        <v>53.54</v>
      </c>
      <c r="K92" s="3">
        <f>IFERROR(VLOOKUP(I92,$A$1:$G$1610,7,FALSE),K91)</f>
        <v>-23.671721571696466</v>
      </c>
      <c r="L92" s="5">
        <f t="shared" si="5"/>
        <v>1</v>
      </c>
    </row>
    <row r="93" spans="1:12" x14ac:dyDescent="0.25">
      <c r="A93" s="2">
        <v>43958</v>
      </c>
      <c r="B93" s="3">
        <v>31.44</v>
      </c>
      <c r="C93" s="3">
        <f t="shared" si="6"/>
        <v>31.44</v>
      </c>
      <c r="D93" s="3">
        <v>2881.19</v>
      </c>
      <c r="E93" s="3">
        <f t="shared" si="7"/>
        <v>2881.19</v>
      </c>
      <c r="F93" s="3">
        <f>MAX($E$2:E93)</f>
        <v>3386.15</v>
      </c>
      <c r="G93" s="3">
        <f t="shared" si="4"/>
        <v>-14.912511259099567</v>
      </c>
      <c r="I93" s="2">
        <v>43922</v>
      </c>
      <c r="J93" s="3">
        <f>IFERROR(VLOOKUP(I93,$A$1:$G$1610,3,FALSE),J92)</f>
        <v>57.06</v>
      </c>
      <c r="K93" s="3">
        <f>IFERROR(VLOOKUP(I93,$A$1:$G$1610,7,FALSE),K92)</f>
        <v>-27.041034803537944</v>
      </c>
      <c r="L93" s="5">
        <f t="shared" si="5"/>
        <v>1</v>
      </c>
    </row>
    <row r="94" spans="1:12" x14ac:dyDescent="0.25">
      <c r="A94" s="2">
        <v>43959</v>
      </c>
      <c r="B94" s="3">
        <v>27.98</v>
      </c>
      <c r="C94" s="3">
        <f t="shared" si="6"/>
        <v>27.98</v>
      </c>
      <c r="D94" s="3">
        <v>2929.8</v>
      </c>
      <c r="E94" s="3">
        <f t="shared" si="7"/>
        <v>2929.8</v>
      </c>
      <c r="F94" s="3">
        <f>MAX($E$2:E94)</f>
        <v>3386.15</v>
      </c>
      <c r="G94" s="3">
        <f t="shared" si="4"/>
        <v>-13.476957606721495</v>
      </c>
      <c r="I94" s="2">
        <v>43923</v>
      </c>
      <c r="J94" s="3">
        <f>IFERROR(VLOOKUP(I94,$A$1:$G$1610,3,FALSE),J93)</f>
        <v>50.91</v>
      </c>
      <c r="K94" s="3">
        <f>IFERROR(VLOOKUP(I94,$A$1:$G$1610,7,FALSE),K93)</f>
        <v>-25.375426369180339</v>
      </c>
      <c r="L94" s="5">
        <f t="shared" si="5"/>
        <v>1</v>
      </c>
    </row>
    <row r="95" spans="1:12" x14ac:dyDescent="0.25">
      <c r="A95" s="2">
        <v>43962</v>
      </c>
      <c r="B95" s="3">
        <v>27.57</v>
      </c>
      <c r="C95" s="3">
        <f t="shared" si="6"/>
        <v>27.57</v>
      </c>
      <c r="D95" s="3">
        <v>2930.32</v>
      </c>
      <c r="E95" s="3">
        <f t="shared" si="7"/>
        <v>2930.32</v>
      </c>
      <c r="F95" s="3">
        <f>MAX($E$2:E95)</f>
        <v>3386.15</v>
      </c>
      <c r="G95" s="3">
        <f t="shared" si="4"/>
        <v>-13.461600933213234</v>
      </c>
      <c r="I95" s="2">
        <v>43924</v>
      </c>
      <c r="J95" s="3">
        <f>IFERROR(VLOOKUP(I95,$A$1:$G$1610,3,FALSE),J94)</f>
        <v>46.8</v>
      </c>
      <c r="K95" s="3">
        <f>IFERROR(VLOOKUP(I95,$A$1:$G$1610,7,FALSE),K94)</f>
        <v>-26.505027833970736</v>
      </c>
      <c r="L95" s="5">
        <f t="shared" si="5"/>
        <v>1</v>
      </c>
    </row>
    <row r="96" spans="1:12" x14ac:dyDescent="0.25">
      <c r="A96" s="2">
        <v>43963</v>
      </c>
      <c r="B96" s="3">
        <v>33.04</v>
      </c>
      <c r="C96" s="3">
        <f t="shared" si="6"/>
        <v>33.04</v>
      </c>
      <c r="D96" s="3">
        <v>2870.12</v>
      </c>
      <c r="E96" s="3">
        <f t="shared" si="7"/>
        <v>2870.12</v>
      </c>
      <c r="F96" s="3">
        <f>MAX($E$2:E96)</f>
        <v>3386.15</v>
      </c>
      <c r="G96" s="3">
        <f t="shared" si="4"/>
        <v>-15.239431212438911</v>
      </c>
      <c r="I96" s="2">
        <v>43925</v>
      </c>
      <c r="J96" s="3">
        <f>IFERROR(VLOOKUP(I96,$A$1:$G$1610,3,FALSE),J95)</f>
        <v>46.8</v>
      </c>
      <c r="K96" s="3">
        <f>IFERROR(VLOOKUP(I96,$A$1:$G$1610,7,FALSE),K95)</f>
        <v>-26.505027833970736</v>
      </c>
      <c r="L96" s="5">
        <f t="shared" si="5"/>
        <v>1</v>
      </c>
    </row>
    <row r="97" spans="1:12" x14ac:dyDescent="0.25">
      <c r="A97" s="2">
        <v>43964</v>
      </c>
      <c r="B97" s="3">
        <v>35.28</v>
      </c>
      <c r="C97" s="3">
        <f t="shared" si="6"/>
        <v>35.28</v>
      </c>
      <c r="D97" s="3">
        <v>2820</v>
      </c>
      <c r="E97" s="3">
        <f t="shared" si="7"/>
        <v>2820</v>
      </c>
      <c r="F97" s="3">
        <f>MAX($E$2:E97)</f>
        <v>3386.15</v>
      </c>
      <c r="G97" s="3">
        <f t="shared" si="4"/>
        <v>-16.719578282119812</v>
      </c>
      <c r="I97" s="2">
        <v>43926</v>
      </c>
      <c r="J97" s="3">
        <f>IFERROR(VLOOKUP(I97,$A$1:$G$1610,3,FALSE),J96)</f>
        <v>46.8</v>
      </c>
      <c r="K97" s="3">
        <f>IFERROR(VLOOKUP(I97,$A$1:$G$1610,7,FALSE),K96)</f>
        <v>-26.505027833970736</v>
      </c>
      <c r="L97" s="5">
        <f t="shared" si="5"/>
        <v>1</v>
      </c>
    </row>
    <row r="98" spans="1:12" x14ac:dyDescent="0.25">
      <c r="A98" s="2">
        <v>43965</v>
      </c>
      <c r="B98" s="3">
        <v>32.61</v>
      </c>
      <c r="C98" s="3">
        <f t="shared" si="6"/>
        <v>32.61</v>
      </c>
      <c r="D98" s="3">
        <v>2852.5</v>
      </c>
      <c r="E98" s="3">
        <f t="shared" si="7"/>
        <v>2852.5</v>
      </c>
      <c r="F98" s="3">
        <f>MAX($E$2:E98)</f>
        <v>3386.15</v>
      </c>
      <c r="G98" s="3">
        <f t="shared" si="4"/>
        <v>-15.759786187853464</v>
      </c>
      <c r="I98" s="2">
        <v>43927</v>
      </c>
      <c r="J98" s="3">
        <f>IFERROR(VLOOKUP(I98,$A$1:$G$1610,3,FALSE),J97)</f>
        <v>45.24</v>
      </c>
      <c r="K98" s="3">
        <f>IFERROR(VLOOKUP(I98,$A$1:$G$1610,7,FALSE),K97)</f>
        <v>-21.336030595218766</v>
      </c>
      <c r="L98" s="5">
        <f t="shared" si="5"/>
        <v>1</v>
      </c>
    </row>
    <row r="99" spans="1:12" x14ac:dyDescent="0.25">
      <c r="A99" s="2">
        <v>43966</v>
      </c>
      <c r="B99" s="3">
        <v>31.89</v>
      </c>
      <c r="C99" s="3">
        <f t="shared" si="6"/>
        <v>31.89</v>
      </c>
      <c r="D99" s="3">
        <v>2863.7</v>
      </c>
      <c r="E99" s="3">
        <f t="shared" si="7"/>
        <v>2863.7</v>
      </c>
      <c r="F99" s="3">
        <f>MAX($E$2:E99)</f>
        <v>3386.15</v>
      </c>
      <c r="G99" s="3">
        <f t="shared" si="4"/>
        <v>-15.429027066137065</v>
      </c>
      <c r="I99" s="2">
        <v>43928</v>
      </c>
      <c r="J99" s="3">
        <f>IFERROR(VLOOKUP(I99,$A$1:$G$1610,3,FALSE),J98)</f>
        <v>46.7</v>
      </c>
      <c r="K99" s="3">
        <f>IFERROR(VLOOKUP(I99,$A$1:$G$1610,7,FALSE),K98)</f>
        <v>-21.462132510373145</v>
      </c>
      <c r="L99" s="5">
        <f t="shared" si="5"/>
        <v>1</v>
      </c>
    </row>
    <row r="100" spans="1:12" x14ac:dyDescent="0.25">
      <c r="A100" s="2">
        <v>43969</v>
      </c>
      <c r="B100" s="3">
        <v>29.3</v>
      </c>
      <c r="C100" s="3">
        <f t="shared" si="6"/>
        <v>29.3</v>
      </c>
      <c r="D100" s="3">
        <v>2953.91</v>
      </c>
      <c r="E100" s="3">
        <f t="shared" si="7"/>
        <v>2953.91</v>
      </c>
      <c r="F100" s="3">
        <f>MAX($E$2:E100)</f>
        <v>3386.15</v>
      </c>
      <c r="G100" s="3">
        <f t="shared" si="4"/>
        <v>-12.764939533098069</v>
      </c>
      <c r="I100" s="2">
        <v>43929</v>
      </c>
      <c r="J100" s="3">
        <f>IFERROR(VLOOKUP(I100,$A$1:$G$1610,3,FALSE),J99)</f>
        <v>43.35</v>
      </c>
      <c r="K100" s="3">
        <f>IFERROR(VLOOKUP(I100,$A$1:$G$1610,7,FALSE),K99)</f>
        <v>-18.787413434136116</v>
      </c>
      <c r="L100" s="5">
        <f t="shared" si="5"/>
        <v>1</v>
      </c>
    </row>
    <row r="101" spans="1:12" x14ac:dyDescent="0.25">
      <c r="A101" s="2">
        <v>43970</v>
      </c>
      <c r="B101" s="3">
        <v>30.53</v>
      </c>
      <c r="C101" s="3">
        <f t="shared" si="6"/>
        <v>30.53</v>
      </c>
      <c r="D101" s="3">
        <v>2922.94</v>
      </c>
      <c r="E101" s="3">
        <f t="shared" si="7"/>
        <v>2922.94</v>
      </c>
      <c r="F101" s="3">
        <f>MAX($E$2:E101)</f>
        <v>3386.15</v>
      </c>
      <c r="G101" s="3">
        <f t="shared" si="4"/>
        <v>-13.679547568772795</v>
      </c>
      <c r="I101" s="2">
        <v>43930</v>
      </c>
      <c r="J101" s="3">
        <f>IFERROR(VLOOKUP(I101,$A$1:$G$1610,3,FALSE),J100)</f>
        <v>41.67</v>
      </c>
      <c r="K101" s="3">
        <f>IFERROR(VLOOKUP(I101,$A$1:$G$1610,7,FALSE),K100)</f>
        <v>-17.61085598688776</v>
      </c>
      <c r="L101" s="5">
        <f t="shared" si="5"/>
        <v>1</v>
      </c>
    </row>
    <row r="102" spans="1:12" x14ac:dyDescent="0.25">
      <c r="A102" s="2">
        <v>43971</v>
      </c>
      <c r="B102" s="3">
        <v>27.99</v>
      </c>
      <c r="C102" s="3">
        <f t="shared" si="6"/>
        <v>27.99</v>
      </c>
      <c r="D102" s="3">
        <v>2971.61</v>
      </c>
      <c r="E102" s="3">
        <f t="shared" si="7"/>
        <v>2971.61</v>
      </c>
      <c r="F102" s="3">
        <f>MAX($E$2:E102)</f>
        <v>3386.15</v>
      </c>
      <c r="G102" s="3">
        <f t="shared" si="4"/>
        <v>-12.242221992528385</v>
      </c>
      <c r="I102" s="2">
        <v>43931</v>
      </c>
      <c r="J102" s="3">
        <f>IFERROR(VLOOKUP(I102,$A$1:$G$1610,3,FALSE),J101)</f>
        <v>41.67</v>
      </c>
      <c r="K102" s="3">
        <f>IFERROR(VLOOKUP(I102,$A$1:$G$1610,7,FALSE),K101)</f>
        <v>-17.61085598688776</v>
      </c>
      <c r="L102" s="5">
        <f t="shared" si="5"/>
        <v>1</v>
      </c>
    </row>
    <row r="103" spans="1:12" x14ac:dyDescent="0.25">
      <c r="A103" s="2">
        <v>43972</v>
      </c>
      <c r="B103" s="3">
        <v>29.53</v>
      </c>
      <c r="C103" s="3">
        <f t="shared" si="6"/>
        <v>29.53</v>
      </c>
      <c r="D103" s="3">
        <v>2948.51</v>
      </c>
      <c r="E103" s="3">
        <f t="shared" si="7"/>
        <v>2948.51</v>
      </c>
      <c r="F103" s="3">
        <f>MAX($E$2:E103)</f>
        <v>3386.15</v>
      </c>
      <c r="G103" s="3">
        <f t="shared" si="4"/>
        <v>-12.924412681068468</v>
      </c>
      <c r="I103" s="2">
        <v>43932</v>
      </c>
      <c r="J103" s="3">
        <f>IFERROR(VLOOKUP(I103,$A$1:$G$1610,3,FALSE),J102)</f>
        <v>41.67</v>
      </c>
      <c r="K103" s="3">
        <f>IFERROR(VLOOKUP(I103,$A$1:$G$1610,7,FALSE),K102)</f>
        <v>-17.61085598688776</v>
      </c>
      <c r="L103" s="5">
        <f t="shared" si="5"/>
        <v>1</v>
      </c>
    </row>
    <row r="104" spans="1:12" x14ac:dyDescent="0.25">
      <c r="A104" s="2">
        <v>43973</v>
      </c>
      <c r="B104" s="3">
        <v>28.16</v>
      </c>
      <c r="C104" s="3">
        <f t="shared" si="6"/>
        <v>28.16</v>
      </c>
      <c r="D104" s="3">
        <v>2955.45</v>
      </c>
      <c r="E104" s="3">
        <f t="shared" si="7"/>
        <v>2955.45</v>
      </c>
      <c r="F104" s="3">
        <f>MAX($E$2:E104)</f>
        <v>3386.15</v>
      </c>
      <c r="G104" s="3">
        <f t="shared" si="4"/>
        <v>-12.719460153862064</v>
      </c>
      <c r="I104" s="2">
        <v>43933</v>
      </c>
      <c r="J104" s="3">
        <f>IFERROR(VLOOKUP(I104,$A$1:$G$1610,3,FALSE),J103)</f>
        <v>41.67</v>
      </c>
      <c r="K104" s="3">
        <f>IFERROR(VLOOKUP(I104,$A$1:$G$1610,7,FALSE),K103)</f>
        <v>-17.61085598688776</v>
      </c>
      <c r="L104" s="5">
        <f t="shared" si="5"/>
        <v>1</v>
      </c>
    </row>
    <row r="105" spans="1:12" x14ac:dyDescent="0.25">
      <c r="A105" s="2">
        <v>43976</v>
      </c>
      <c r="C105" s="3">
        <f t="shared" si="6"/>
        <v>28.16</v>
      </c>
      <c r="E105" s="3">
        <f t="shared" si="7"/>
        <v>2955.45</v>
      </c>
      <c r="F105" s="3">
        <f>MAX($E$2:E105)</f>
        <v>3386.15</v>
      </c>
      <c r="G105" s="3">
        <f t="shared" si="4"/>
        <v>-12.719460153862064</v>
      </c>
      <c r="I105" s="2">
        <v>43934</v>
      </c>
      <c r="J105" s="3">
        <f>IFERROR(VLOOKUP(I105,$A$1:$G$1610,3,FALSE),J104)</f>
        <v>41.17</v>
      </c>
      <c r="K105" s="3">
        <f>IFERROR(VLOOKUP(I105,$A$1:$G$1610,7,FALSE),K104)</f>
        <v>-18.443364883422177</v>
      </c>
      <c r="L105" s="5">
        <f t="shared" si="5"/>
        <v>1</v>
      </c>
    </row>
    <row r="106" spans="1:12" x14ac:dyDescent="0.25">
      <c r="A106" s="2">
        <v>43977</v>
      </c>
      <c r="B106" s="3">
        <v>28.01</v>
      </c>
      <c r="C106" s="3">
        <f t="shared" si="6"/>
        <v>28.01</v>
      </c>
      <c r="D106" s="3">
        <v>2991.77</v>
      </c>
      <c r="E106" s="3">
        <f t="shared" si="7"/>
        <v>2991.77</v>
      </c>
      <c r="F106" s="3">
        <f>MAX($E$2:E106)</f>
        <v>3386.15</v>
      </c>
      <c r="G106" s="3">
        <f t="shared" si="4"/>
        <v>-11.646855573438863</v>
      </c>
      <c r="I106" s="2">
        <v>43935</v>
      </c>
      <c r="J106" s="3">
        <f>IFERROR(VLOOKUP(I106,$A$1:$G$1610,3,FALSE),J105)</f>
        <v>37.76</v>
      </c>
      <c r="K106" s="3">
        <f>IFERROR(VLOOKUP(I106,$A$1:$G$1610,7,FALSE),K105)</f>
        <v>-15.949972682840396</v>
      </c>
      <c r="L106" s="5">
        <f t="shared" si="5"/>
        <v>1</v>
      </c>
    </row>
    <row r="107" spans="1:12" x14ac:dyDescent="0.25">
      <c r="A107" s="2">
        <v>43978</v>
      </c>
      <c r="B107" s="3">
        <v>27.62</v>
      </c>
      <c r="C107" s="3">
        <f t="shared" si="6"/>
        <v>27.62</v>
      </c>
      <c r="D107" s="3">
        <v>3036.13</v>
      </c>
      <c r="E107" s="3">
        <f t="shared" si="7"/>
        <v>3036.13</v>
      </c>
      <c r="F107" s="3">
        <f>MAX($E$2:E107)</f>
        <v>3386.15</v>
      </c>
      <c r="G107" s="3">
        <f t="shared" si="4"/>
        <v>-10.336813194926391</v>
      </c>
      <c r="I107" s="2">
        <v>43936</v>
      </c>
      <c r="J107" s="3">
        <f>IFERROR(VLOOKUP(I107,$A$1:$G$1610,3,FALSE),J106)</f>
        <v>40.840000000000003</v>
      </c>
      <c r="K107" s="3">
        <f>IFERROR(VLOOKUP(I107,$A$1:$G$1610,7,FALSE),K106)</f>
        <v>-17.801633123163473</v>
      </c>
      <c r="L107" s="5">
        <f t="shared" si="5"/>
        <v>1</v>
      </c>
    </row>
    <row r="108" spans="1:12" x14ac:dyDescent="0.25">
      <c r="A108" s="2">
        <v>43979</v>
      </c>
      <c r="B108" s="3">
        <v>28.59</v>
      </c>
      <c r="C108" s="3">
        <f t="shared" si="6"/>
        <v>28.59</v>
      </c>
      <c r="D108" s="3">
        <v>3029.73</v>
      </c>
      <c r="E108" s="3">
        <f t="shared" si="7"/>
        <v>3029.73</v>
      </c>
      <c r="F108" s="3">
        <f>MAX($E$2:E108)</f>
        <v>3386.15</v>
      </c>
      <c r="G108" s="3">
        <f t="shared" si="4"/>
        <v>-10.525818407335768</v>
      </c>
      <c r="I108" s="2">
        <v>43937</v>
      </c>
      <c r="J108" s="3">
        <f>IFERROR(VLOOKUP(I108,$A$1:$G$1610,3,FALSE),J107)</f>
        <v>40.11</v>
      </c>
      <c r="K108" s="3">
        <f>IFERROR(VLOOKUP(I108,$A$1:$G$1610,7,FALSE),K107)</f>
        <v>-17.323508999896635</v>
      </c>
      <c r="L108" s="5">
        <f t="shared" si="5"/>
        <v>1</v>
      </c>
    </row>
    <row r="109" spans="1:12" x14ac:dyDescent="0.25">
      <c r="A109" s="2">
        <v>43980</v>
      </c>
      <c r="B109" s="3">
        <v>27.51</v>
      </c>
      <c r="C109" s="3">
        <f t="shared" si="6"/>
        <v>27.51</v>
      </c>
      <c r="D109" s="3">
        <v>3044.31</v>
      </c>
      <c r="E109" s="3">
        <f t="shared" si="7"/>
        <v>3044.31</v>
      </c>
      <c r="F109" s="3">
        <f>MAX($E$2:E109)</f>
        <v>3386.15</v>
      </c>
      <c r="G109" s="3">
        <f t="shared" si="4"/>
        <v>-10.095240907815665</v>
      </c>
      <c r="I109" s="2">
        <v>43938</v>
      </c>
      <c r="J109" s="3">
        <f>IFERROR(VLOOKUP(I109,$A$1:$G$1610,3,FALSE),J108)</f>
        <v>38.15</v>
      </c>
      <c r="K109" s="3">
        <f>IFERROR(VLOOKUP(I109,$A$1:$G$1610,7,FALSE),K108)</f>
        <v>-15.108308846329907</v>
      </c>
      <c r="L109" s="5">
        <f t="shared" si="5"/>
        <v>1</v>
      </c>
    </row>
    <row r="110" spans="1:12" x14ac:dyDescent="0.25">
      <c r="A110" s="2">
        <v>43983</v>
      </c>
      <c r="B110" s="3">
        <v>28.23</v>
      </c>
      <c r="C110" s="3">
        <f t="shared" si="6"/>
        <v>28.23</v>
      </c>
      <c r="D110" s="3">
        <v>3055.73</v>
      </c>
      <c r="E110" s="3">
        <f t="shared" si="7"/>
        <v>3055.73</v>
      </c>
      <c r="F110" s="3">
        <f>MAX($E$2:E110)</f>
        <v>3386.15</v>
      </c>
      <c r="G110" s="3">
        <f t="shared" si="4"/>
        <v>-9.7579847319226864</v>
      </c>
      <c r="I110" s="2">
        <v>43939</v>
      </c>
      <c r="J110" s="3">
        <f>IFERROR(VLOOKUP(I110,$A$1:$G$1610,3,FALSE),J109)</f>
        <v>38.15</v>
      </c>
      <c r="K110" s="3">
        <f>IFERROR(VLOOKUP(I110,$A$1:$G$1610,7,FALSE),K109)</f>
        <v>-15.108308846329907</v>
      </c>
      <c r="L110" s="5">
        <f t="shared" si="5"/>
        <v>1</v>
      </c>
    </row>
    <row r="111" spans="1:12" x14ac:dyDescent="0.25">
      <c r="A111" s="2">
        <v>43984</v>
      </c>
      <c r="B111" s="3">
        <v>26.84</v>
      </c>
      <c r="C111" s="3">
        <f t="shared" si="6"/>
        <v>26.84</v>
      </c>
      <c r="D111" s="3">
        <v>3080.82</v>
      </c>
      <c r="E111" s="3">
        <f t="shared" si="7"/>
        <v>3080.82</v>
      </c>
      <c r="F111" s="3">
        <f>MAX($E$2:E111)</f>
        <v>3386.15</v>
      </c>
      <c r="G111" s="3">
        <f t="shared" si="4"/>
        <v>-9.0170252351490614</v>
      </c>
      <c r="I111" s="2">
        <v>43940</v>
      </c>
      <c r="J111" s="3">
        <f>IFERROR(VLOOKUP(I111,$A$1:$G$1610,3,FALSE),J110)</f>
        <v>38.15</v>
      </c>
      <c r="K111" s="3">
        <f>IFERROR(VLOOKUP(I111,$A$1:$G$1610,7,FALSE),K110)</f>
        <v>-15.108308846329907</v>
      </c>
      <c r="L111" s="5">
        <f t="shared" si="5"/>
        <v>1</v>
      </c>
    </row>
    <row r="112" spans="1:12" x14ac:dyDescent="0.25">
      <c r="A112" s="2">
        <v>43985</v>
      </c>
      <c r="B112" s="3">
        <v>25.66</v>
      </c>
      <c r="C112" s="3">
        <f t="shared" si="6"/>
        <v>25.66</v>
      </c>
      <c r="D112" s="3">
        <v>3122.87</v>
      </c>
      <c r="E112" s="3">
        <f t="shared" si="7"/>
        <v>3122.87</v>
      </c>
      <c r="F112" s="3">
        <f>MAX($E$2:E112)</f>
        <v>3386.15</v>
      </c>
      <c r="G112" s="3">
        <f t="shared" si="4"/>
        <v>-7.7752019254906077</v>
      </c>
      <c r="I112" s="2">
        <v>43941</v>
      </c>
      <c r="J112" s="3">
        <f>IFERROR(VLOOKUP(I112,$A$1:$G$1610,3,FALSE),J111)</f>
        <v>43.83</v>
      </c>
      <c r="K112" s="3">
        <f>IFERROR(VLOOKUP(I112,$A$1:$G$1610,7,FALSE),K111)</f>
        <v>-16.626256958492689</v>
      </c>
      <c r="L112" s="5">
        <f t="shared" si="5"/>
        <v>1</v>
      </c>
    </row>
    <row r="113" spans="1:12" x14ac:dyDescent="0.25">
      <c r="A113" s="2">
        <v>43986</v>
      </c>
      <c r="B113" s="3">
        <v>25.81</v>
      </c>
      <c r="C113" s="3">
        <f t="shared" si="6"/>
        <v>25.81</v>
      </c>
      <c r="D113" s="3">
        <v>3112.35</v>
      </c>
      <c r="E113" s="3">
        <f t="shared" si="7"/>
        <v>3112.35</v>
      </c>
      <c r="F113" s="3">
        <f>MAX($E$2:E113)</f>
        <v>3386.15</v>
      </c>
      <c r="G113" s="3">
        <f t="shared" si="4"/>
        <v>-8.0858792433885149</v>
      </c>
      <c r="I113" s="2">
        <v>43942</v>
      </c>
      <c r="J113" s="3">
        <f>IFERROR(VLOOKUP(I113,$A$1:$G$1610,3,FALSE),J112)</f>
        <v>45.41</v>
      </c>
      <c r="K113" s="3">
        <f>IFERROR(VLOOKUP(I113,$A$1:$G$1610,7,FALSE),K112)</f>
        <v>-19.183733738907023</v>
      </c>
      <c r="L113" s="5">
        <f t="shared" si="5"/>
        <v>1</v>
      </c>
    </row>
    <row r="114" spans="1:12" x14ac:dyDescent="0.25">
      <c r="A114" s="2">
        <v>43987</v>
      </c>
      <c r="B114" s="3">
        <v>24.52</v>
      </c>
      <c r="C114" s="3">
        <f t="shared" si="6"/>
        <v>24.52</v>
      </c>
      <c r="D114" s="3">
        <v>3193.93</v>
      </c>
      <c r="E114" s="3">
        <f t="shared" si="7"/>
        <v>3193.93</v>
      </c>
      <c r="F114" s="3">
        <f>MAX($E$2:E114)</f>
        <v>3386.15</v>
      </c>
      <c r="G114" s="3">
        <f t="shared" si="4"/>
        <v>-5.6766534264577837</v>
      </c>
      <c r="I114" s="2">
        <v>43943</v>
      </c>
      <c r="J114" s="3">
        <f>IFERROR(VLOOKUP(I114,$A$1:$G$1610,3,FALSE),J113)</f>
        <v>41.98</v>
      </c>
      <c r="K114" s="3">
        <f>IFERROR(VLOOKUP(I114,$A$1:$G$1610,7,FALSE),K113)</f>
        <v>-17.330596695361994</v>
      </c>
      <c r="L114" s="5">
        <f t="shared" si="5"/>
        <v>1</v>
      </c>
    </row>
    <row r="115" spans="1:12" x14ac:dyDescent="0.25">
      <c r="A115" s="2">
        <v>43990</v>
      </c>
      <c r="B115" s="3">
        <v>25.81</v>
      </c>
      <c r="C115" s="3">
        <f t="shared" si="6"/>
        <v>25.81</v>
      </c>
      <c r="D115" s="3">
        <v>3232.39</v>
      </c>
      <c r="E115" s="3">
        <f t="shared" si="7"/>
        <v>3232.39</v>
      </c>
      <c r="F115" s="3">
        <f>MAX($E$2:E115)</f>
        <v>3386.15</v>
      </c>
      <c r="G115" s="3">
        <f t="shared" si="4"/>
        <v>-4.5408502281352039</v>
      </c>
      <c r="I115" s="2">
        <v>43944</v>
      </c>
      <c r="J115" s="3">
        <f>IFERROR(VLOOKUP(I115,$A$1:$G$1610,3,FALSE),J114)</f>
        <v>41.38</v>
      </c>
      <c r="K115" s="3">
        <f>IFERROR(VLOOKUP(I115,$A$1:$G$1610,7,FALSE),K114)</f>
        <v>-17.375190112664825</v>
      </c>
      <c r="L115" s="5">
        <f t="shared" si="5"/>
        <v>1</v>
      </c>
    </row>
    <row r="116" spans="1:12" x14ac:dyDescent="0.25">
      <c r="A116" s="2">
        <v>43991</v>
      </c>
      <c r="B116" s="3">
        <v>27.57</v>
      </c>
      <c r="C116" s="3">
        <f t="shared" si="6"/>
        <v>27.57</v>
      </c>
      <c r="D116" s="3">
        <v>3207.18</v>
      </c>
      <c r="E116" s="3">
        <f t="shared" si="7"/>
        <v>3207.18</v>
      </c>
      <c r="F116" s="3">
        <f>MAX($E$2:E116)</f>
        <v>3386.15</v>
      </c>
      <c r="G116" s="3">
        <f t="shared" si="4"/>
        <v>-5.2853535726415029</v>
      </c>
      <c r="I116" s="2">
        <v>43945</v>
      </c>
      <c r="J116" s="3">
        <f>IFERROR(VLOOKUP(I116,$A$1:$G$1610,3,FALSE),J115)</f>
        <v>35.93</v>
      </c>
      <c r="K116" s="3">
        <f>IFERROR(VLOOKUP(I116,$A$1:$G$1610,7,FALSE),K115)</f>
        <v>-16.225211523411552</v>
      </c>
      <c r="L116" s="5">
        <f t="shared" si="5"/>
        <v>1</v>
      </c>
    </row>
    <row r="117" spans="1:12" x14ac:dyDescent="0.25">
      <c r="A117" s="2">
        <v>43992</v>
      </c>
      <c r="B117" s="3">
        <v>27.57</v>
      </c>
      <c r="C117" s="3">
        <f t="shared" si="6"/>
        <v>27.57</v>
      </c>
      <c r="D117" s="3">
        <v>3190.14</v>
      </c>
      <c r="E117" s="3">
        <f t="shared" si="7"/>
        <v>3190.14</v>
      </c>
      <c r="F117" s="3">
        <f>MAX($E$2:E117)</f>
        <v>3386.15</v>
      </c>
      <c r="G117" s="3">
        <f t="shared" si="4"/>
        <v>-5.7885799506814584</v>
      </c>
      <c r="I117" s="2">
        <v>43946</v>
      </c>
      <c r="J117" s="3">
        <f>IFERROR(VLOOKUP(I117,$A$1:$G$1610,3,FALSE),J116)</f>
        <v>35.93</v>
      </c>
      <c r="K117" s="3">
        <f>IFERROR(VLOOKUP(I117,$A$1:$G$1610,7,FALSE),K116)</f>
        <v>-16.225211523411552</v>
      </c>
      <c r="L117" s="5">
        <f t="shared" si="5"/>
        <v>1</v>
      </c>
    </row>
    <row r="118" spans="1:12" x14ac:dyDescent="0.25">
      <c r="A118" s="2">
        <v>43993</v>
      </c>
      <c r="B118" s="3">
        <v>40.79</v>
      </c>
      <c r="C118" s="3">
        <f t="shared" si="6"/>
        <v>40.79</v>
      </c>
      <c r="D118" s="3">
        <v>3002.1</v>
      </c>
      <c r="E118" s="3">
        <f t="shared" si="7"/>
        <v>3002.1</v>
      </c>
      <c r="F118" s="3">
        <f>MAX($E$2:E118)</f>
        <v>3386.15</v>
      </c>
      <c r="G118" s="3">
        <f t="shared" si="4"/>
        <v>-11.341789347784362</v>
      </c>
      <c r="I118" s="2">
        <v>43947</v>
      </c>
      <c r="J118" s="3">
        <f>IFERROR(VLOOKUP(I118,$A$1:$G$1610,3,FALSE),J117)</f>
        <v>35.93</v>
      </c>
      <c r="K118" s="3">
        <f>IFERROR(VLOOKUP(I118,$A$1:$G$1610,7,FALSE),K117)</f>
        <v>-16.225211523411552</v>
      </c>
      <c r="L118" s="5">
        <f t="shared" si="5"/>
        <v>1</v>
      </c>
    </row>
    <row r="119" spans="1:12" x14ac:dyDescent="0.25">
      <c r="A119" s="2">
        <v>43994</v>
      </c>
      <c r="B119" s="3">
        <v>36.090000000000003</v>
      </c>
      <c r="C119" s="3">
        <f t="shared" si="6"/>
        <v>36.090000000000003</v>
      </c>
      <c r="D119" s="3">
        <v>3041.31</v>
      </c>
      <c r="E119" s="3">
        <f t="shared" si="7"/>
        <v>3041.31</v>
      </c>
      <c r="F119" s="3">
        <f>MAX($E$2:E119)</f>
        <v>3386.15</v>
      </c>
      <c r="G119" s="3">
        <f t="shared" si="4"/>
        <v>-10.183837101132559</v>
      </c>
      <c r="I119" s="2">
        <v>43948</v>
      </c>
      <c r="J119" s="3">
        <f>IFERROR(VLOOKUP(I119,$A$1:$G$1610,3,FALSE),J118)</f>
        <v>33.29</v>
      </c>
      <c r="K119" s="3">
        <f>IFERROR(VLOOKUP(I119,$A$1:$G$1610,7,FALSE),K118)</f>
        <v>-14.992543153729162</v>
      </c>
      <c r="L119" s="5">
        <f t="shared" si="5"/>
        <v>1</v>
      </c>
    </row>
    <row r="120" spans="1:12" x14ac:dyDescent="0.25">
      <c r="A120" s="2">
        <v>43997</v>
      </c>
      <c r="B120" s="3">
        <v>34.4</v>
      </c>
      <c r="C120" s="3">
        <f t="shared" si="6"/>
        <v>34.4</v>
      </c>
      <c r="D120" s="3">
        <v>3066.59</v>
      </c>
      <c r="E120" s="3">
        <f t="shared" si="7"/>
        <v>3066.59</v>
      </c>
      <c r="F120" s="3">
        <f>MAX($E$2:E120)</f>
        <v>3386.15</v>
      </c>
      <c r="G120" s="3">
        <f t="shared" si="4"/>
        <v>-9.4372665121155279</v>
      </c>
      <c r="I120" s="2">
        <v>43949</v>
      </c>
      <c r="J120" s="3">
        <f>IFERROR(VLOOKUP(I120,$A$1:$G$1610,3,FALSE),J119)</f>
        <v>33.57</v>
      </c>
      <c r="K120" s="3">
        <f>IFERROR(VLOOKUP(I120,$A$1:$G$1610,7,FALSE),K119)</f>
        <v>-15.438182006113143</v>
      </c>
      <c r="L120" s="5">
        <f t="shared" si="5"/>
        <v>1</v>
      </c>
    </row>
    <row r="121" spans="1:12" x14ac:dyDescent="0.25">
      <c r="A121" s="2">
        <v>43998</v>
      </c>
      <c r="B121" s="3">
        <v>33.67</v>
      </c>
      <c r="C121" s="3">
        <f t="shared" si="6"/>
        <v>33.67</v>
      </c>
      <c r="D121" s="3">
        <v>3124.74</v>
      </c>
      <c r="E121" s="3">
        <f t="shared" si="7"/>
        <v>3124.74</v>
      </c>
      <c r="F121" s="3">
        <f>MAX($E$2:E121)</f>
        <v>3386.15</v>
      </c>
      <c r="G121" s="3">
        <f t="shared" si="4"/>
        <v>-7.7199769649897467</v>
      </c>
      <c r="I121" s="2">
        <v>43950</v>
      </c>
      <c r="J121" s="3">
        <f>IFERROR(VLOOKUP(I121,$A$1:$G$1610,3,FALSE),J120)</f>
        <v>31.23</v>
      </c>
      <c r="K121" s="3">
        <f>IFERROR(VLOOKUP(I121,$A$1:$G$1610,7,FALSE),K120)</f>
        <v>-13.190201261019146</v>
      </c>
      <c r="L121" s="5">
        <f t="shared" si="5"/>
        <v>1</v>
      </c>
    </row>
    <row r="122" spans="1:12" x14ac:dyDescent="0.25">
      <c r="A122" s="2">
        <v>43999</v>
      </c>
      <c r="B122" s="3">
        <v>33.47</v>
      </c>
      <c r="C122" s="3">
        <f t="shared" si="6"/>
        <v>33.47</v>
      </c>
      <c r="D122" s="3">
        <v>3113.49</v>
      </c>
      <c r="E122" s="3">
        <f t="shared" si="7"/>
        <v>3113.49</v>
      </c>
      <c r="F122" s="3">
        <f>MAX($E$2:E122)</f>
        <v>3386.15</v>
      </c>
      <c r="G122" s="3">
        <f t="shared" si="4"/>
        <v>-8.0522126899280977</v>
      </c>
      <c r="I122" s="2">
        <v>43951</v>
      </c>
      <c r="J122" s="3">
        <f>IFERROR(VLOOKUP(I122,$A$1:$G$1610,3,FALSE),J121)</f>
        <v>34.15</v>
      </c>
      <c r="K122" s="3">
        <f>IFERROR(VLOOKUP(I122,$A$1:$G$1610,7,FALSE),K121)</f>
        <v>-13.989929566026321</v>
      </c>
      <c r="L122" s="5">
        <f t="shared" si="5"/>
        <v>1</v>
      </c>
    </row>
    <row r="123" spans="1:12" x14ac:dyDescent="0.25">
      <c r="A123" s="2">
        <v>44000</v>
      </c>
      <c r="B123" s="3">
        <v>32.94</v>
      </c>
      <c r="C123" s="3">
        <f t="shared" si="6"/>
        <v>32.94</v>
      </c>
      <c r="D123" s="3">
        <v>3115.34</v>
      </c>
      <c r="E123" s="3">
        <f t="shared" si="7"/>
        <v>3115.34</v>
      </c>
      <c r="F123" s="3">
        <f>MAX($E$2:E123)</f>
        <v>3386.15</v>
      </c>
      <c r="G123" s="3">
        <f t="shared" si="4"/>
        <v>-7.9975783707160035</v>
      </c>
      <c r="I123" s="2">
        <v>43952</v>
      </c>
      <c r="J123" s="3">
        <f>IFERROR(VLOOKUP(I123,$A$1:$G$1610,3,FALSE),J122)</f>
        <v>37.19</v>
      </c>
      <c r="K123" s="3">
        <f>IFERROR(VLOOKUP(I123,$A$1:$G$1610,7,FALSE),K122)</f>
        <v>-16.403289871978501</v>
      </c>
      <c r="L123" s="5">
        <f t="shared" si="5"/>
        <v>1</v>
      </c>
    </row>
    <row r="124" spans="1:12" x14ac:dyDescent="0.25">
      <c r="A124" s="2">
        <v>44001</v>
      </c>
      <c r="B124" s="3">
        <v>35.119999999999997</v>
      </c>
      <c r="C124" s="3">
        <f t="shared" si="6"/>
        <v>35.119999999999997</v>
      </c>
      <c r="D124" s="3">
        <v>3097.74</v>
      </c>
      <c r="E124" s="3">
        <f t="shared" si="7"/>
        <v>3097.74</v>
      </c>
      <c r="F124" s="3">
        <f>MAX($E$2:E124)</f>
        <v>3386.15</v>
      </c>
      <c r="G124" s="3">
        <f t="shared" si="4"/>
        <v>-8.5173427048417913</v>
      </c>
      <c r="I124" s="2">
        <v>43953</v>
      </c>
      <c r="J124" s="3">
        <f>IFERROR(VLOOKUP(I124,$A$1:$G$1610,3,FALSE),J123)</f>
        <v>37.19</v>
      </c>
      <c r="K124" s="3">
        <f>IFERROR(VLOOKUP(I124,$A$1:$G$1610,7,FALSE),K123)</f>
        <v>-16.403289871978501</v>
      </c>
      <c r="L124" s="5">
        <f t="shared" si="5"/>
        <v>1</v>
      </c>
    </row>
    <row r="125" spans="1:12" x14ac:dyDescent="0.25">
      <c r="A125" s="2">
        <v>44004</v>
      </c>
      <c r="B125" s="3">
        <v>31.77</v>
      </c>
      <c r="C125" s="3">
        <f t="shared" si="6"/>
        <v>31.77</v>
      </c>
      <c r="D125" s="3">
        <v>3117.86</v>
      </c>
      <c r="E125" s="3">
        <f t="shared" si="7"/>
        <v>3117.86</v>
      </c>
      <c r="F125" s="3">
        <f>MAX($E$2:E125)</f>
        <v>3386.15</v>
      </c>
      <c r="G125" s="3">
        <f t="shared" si="4"/>
        <v>-7.9231575683298123</v>
      </c>
      <c r="I125" s="2">
        <v>43954</v>
      </c>
      <c r="J125" s="3">
        <f>IFERROR(VLOOKUP(I125,$A$1:$G$1610,3,FALSE),J124)</f>
        <v>37.19</v>
      </c>
      <c r="K125" s="3">
        <f>IFERROR(VLOOKUP(I125,$A$1:$G$1610,7,FALSE),K124)</f>
        <v>-16.403289871978501</v>
      </c>
      <c r="L125" s="5">
        <f t="shared" si="5"/>
        <v>1</v>
      </c>
    </row>
    <row r="126" spans="1:12" x14ac:dyDescent="0.25">
      <c r="A126" s="2">
        <v>44005</v>
      </c>
      <c r="B126" s="3">
        <v>31.37</v>
      </c>
      <c r="C126" s="3">
        <f t="shared" si="6"/>
        <v>31.37</v>
      </c>
      <c r="D126" s="3">
        <v>3131.29</v>
      </c>
      <c r="E126" s="3">
        <f t="shared" si="7"/>
        <v>3131.29</v>
      </c>
      <c r="F126" s="3">
        <f>MAX($E$2:E126)</f>
        <v>3386.15</v>
      </c>
      <c r="G126" s="3">
        <f t="shared" si="4"/>
        <v>-7.5265419429145233</v>
      </c>
      <c r="I126" s="2">
        <v>43955</v>
      </c>
      <c r="J126" s="3">
        <f>IFERROR(VLOOKUP(I126,$A$1:$G$1610,3,FALSE),J125)</f>
        <v>35.97</v>
      </c>
      <c r="K126" s="3">
        <f>IFERROR(VLOOKUP(I126,$A$1:$G$1610,7,FALSE),K125)</f>
        <v>-16.048019136777768</v>
      </c>
      <c r="L126" s="5">
        <f t="shared" si="5"/>
        <v>1</v>
      </c>
    </row>
    <row r="127" spans="1:12" x14ac:dyDescent="0.25">
      <c r="A127" s="2">
        <v>44006</v>
      </c>
      <c r="B127" s="3">
        <v>33.840000000000003</v>
      </c>
      <c r="C127" s="3">
        <f t="shared" si="6"/>
        <v>33.840000000000003</v>
      </c>
      <c r="D127" s="3">
        <v>3050.33</v>
      </c>
      <c r="E127" s="3">
        <f t="shared" si="7"/>
        <v>3050.33</v>
      </c>
      <c r="F127" s="3">
        <f>MAX($E$2:E127)</f>
        <v>3386.15</v>
      </c>
      <c r="G127" s="3">
        <f t="shared" si="4"/>
        <v>-9.9174578798930995</v>
      </c>
      <c r="I127" s="2">
        <v>43956</v>
      </c>
      <c r="J127" s="3">
        <f>IFERROR(VLOOKUP(I127,$A$1:$G$1610,3,FALSE),J126)</f>
        <v>33.61</v>
      </c>
      <c r="K127" s="3">
        <f>IFERROR(VLOOKUP(I127,$A$1:$G$1610,7,FALSE),K126)</f>
        <v>-15.289045080696367</v>
      </c>
      <c r="L127" s="5">
        <f t="shared" si="5"/>
        <v>1</v>
      </c>
    </row>
    <row r="128" spans="1:12" x14ac:dyDescent="0.25">
      <c r="A128" s="2">
        <v>44007</v>
      </c>
      <c r="B128" s="3">
        <v>32.22</v>
      </c>
      <c r="C128" s="3">
        <f t="shared" si="6"/>
        <v>32.22</v>
      </c>
      <c r="D128" s="3">
        <v>3083.76</v>
      </c>
      <c r="E128" s="3">
        <f t="shared" si="7"/>
        <v>3083.76</v>
      </c>
      <c r="F128" s="3">
        <f>MAX($E$2:E128)</f>
        <v>3386.15</v>
      </c>
      <c r="G128" s="3">
        <f t="shared" si="4"/>
        <v>-8.9302009656985035</v>
      </c>
      <c r="I128" s="2">
        <v>43957</v>
      </c>
      <c r="J128" s="3">
        <f>IFERROR(VLOOKUP(I128,$A$1:$G$1610,3,FALSE),J127)</f>
        <v>34.119999999999997</v>
      </c>
      <c r="K128" s="3">
        <f>IFERROR(VLOOKUP(I128,$A$1:$G$1610,7,FALSE),K127)</f>
        <v>-15.880277010764438</v>
      </c>
      <c r="L128" s="5">
        <f t="shared" si="5"/>
        <v>1</v>
      </c>
    </row>
    <row r="129" spans="1:12" x14ac:dyDescent="0.25">
      <c r="A129" s="2">
        <v>44008</v>
      </c>
      <c r="B129" s="3">
        <v>34.729999999999997</v>
      </c>
      <c r="C129" s="3">
        <f t="shared" si="6"/>
        <v>34.729999999999997</v>
      </c>
      <c r="D129" s="3">
        <v>3009.05</v>
      </c>
      <c r="E129" s="3">
        <f t="shared" si="7"/>
        <v>3009.05</v>
      </c>
      <c r="F129" s="3">
        <f>MAX($E$2:E129)</f>
        <v>3386.15</v>
      </c>
      <c r="G129" s="3">
        <f t="shared" si="4"/>
        <v>-11.13654149993355</v>
      </c>
      <c r="I129" s="2">
        <v>43958</v>
      </c>
      <c r="J129" s="3">
        <f>IFERROR(VLOOKUP(I129,$A$1:$G$1610,3,FALSE),J128)</f>
        <v>31.44</v>
      </c>
      <c r="K129" s="3">
        <f>IFERROR(VLOOKUP(I129,$A$1:$G$1610,7,FALSE),K128)</f>
        <v>-14.912511259099567</v>
      </c>
      <c r="L129" s="5">
        <f t="shared" si="5"/>
        <v>1</v>
      </c>
    </row>
    <row r="130" spans="1:12" x14ac:dyDescent="0.25">
      <c r="A130" s="2">
        <v>44011</v>
      </c>
      <c r="B130" s="3">
        <v>31.78</v>
      </c>
      <c r="C130" s="3">
        <f t="shared" si="6"/>
        <v>31.78</v>
      </c>
      <c r="D130" s="3">
        <v>3053.24</v>
      </c>
      <c r="E130" s="3">
        <f t="shared" si="7"/>
        <v>3053.24</v>
      </c>
      <c r="F130" s="3">
        <f>MAX($E$2:E130)</f>
        <v>3386.15</v>
      </c>
      <c r="G130" s="3">
        <f t="shared" ref="G130:G193" si="8">(E130-F130)/F130*100</f>
        <v>-9.8315195723757167</v>
      </c>
      <c r="I130" s="2">
        <v>43959</v>
      </c>
      <c r="J130" s="3">
        <f>IFERROR(VLOOKUP(I130,$A$1:$G$1610,3,FALSE),J129)</f>
        <v>27.98</v>
      </c>
      <c r="K130" s="3">
        <f>IFERROR(VLOOKUP(I130,$A$1:$G$1610,7,FALSE),K129)</f>
        <v>-13.476957606721495</v>
      </c>
      <c r="L130" s="5">
        <f t="shared" ref="L130:L193" si="9">IF(OR(J130&gt;=30,K130&lt;-10),1,0)</f>
        <v>1</v>
      </c>
    </row>
    <row r="131" spans="1:12" x14ac:dyDescent="0.25">
      <c r="A131" s="2">
        <v>44012</v>
      </c>
      <c r="B131" s="3">
        <v>30.43</v>
      </c>
      <c r="C131" s="3">
        <f t="shared" ref="C131:C194" si="10">IF(B131="",B130,B131)</f>
        <v>30.43</v>
      </c>
      <c r="D131" s="3">
        <v>3100.29</v>
      </c>
      <c r="E131" s="3">
        <f t="shared" si="7"/>
        <v>3100.29</v>
      </c>
      <c r="F131" s="3">
        <f>MAX($E$2:E131)</f>
        <v>3386.15</v>
      </c>
      <c r="G131" s="3">
        <f t="shared" si="8"/>
        <v>-8.442035940522425</v>
      </c>
      <c r="I131" s="2">
        <v>43960</v>
      </c>
      <c r="J131" s="3">
        <f>IFERROR(VLOOKUP(I131,$A$1:$G$1610,3,FALSE),J130)</f>
        <v>27.98</v>
      </c>
      <c r="K131" s="3">
        <f>IFERROR(VLOOKUP(I131,$A$1:$G$1610,7,FALSE),K130)</f>
        <v>-13.476957606721495</v>
      </c>
      <c r="L131" s="5">
        <f t="shared" si="9"/>
        <v>1</v>
      </c>
    </row>
    <row r="132" spans="1:12" x14ac:dyDescent="0.25">
      <c r="A132" s="2">
        <v>44013</v>
      </c>
      <c r="B132" s="3">
        <v>28.62</v>
      </c>
      <c r="C132" s="3">
        <f t="shared" si="10"/>
        <v>28.62</v>
      </c>
      <c r="D132" s="3">
        <v>3115.86</v>
      </c>
      <c r="E132" s="3">
        <f t="shared" si="7"/>
        <v>3115.86</v>
      </c>
      <c r="F132" s="3">
        <f>MAX($E$2:E132)</f>
        <v>3386.15</v>
      </c>
      <c r="G132" s="3">
        <f t="shared" si="8"/>
        <v>-7.9822216972077422</v>
      </c>
      <c r="I132" s="2">
        <v>43961</v>
      </c>
      <c r="J132" s="3">
        <f>IFERROR(VLOOKUP(I132,$A$1:$G$1610,3,FALSE),J131)</f>
        <v>27.98</v>
      </c>
      <c r="K132" s="3">
        <f>IFERROR(VLOOKUP(I132,$A$1:$G$1610,7,FALSE),K131)</f>
        <v>-13.476957606721495</v>
      </c>
      <c r="L132" s="5">
        <f t="shared" si="9"/>
        <v>1</v>
      </c>
    </row>
    <row r="133" spans="1:12" x14ac:dyDescent="0.25">
      <c r="A133" s="2">
        <v>44014</v>
      </c>
      <c r="B133" s="3">
        <v>27.68</v>
      </c>
      <c r="C133" s="3">
        <f t="shared" si="10"/>
        <v>27.68</v>
      </c>
      <c r="D133" s="3">
        <v>3130.01</v>
      </c>
      <c r="E133" s="3">
        <f t="shared" ref="E133:E196" si="11">IF(D133="",D132,D133)</f>
        <v>3130.01</v>
      </c>
      <c r="F133" s="3">
        <f>MAX($E$2:E133)</f>
        <v>3386.15</v>
      </c>
      <c r="G133" s="3">
        <f t="shared" si="8"/>
        <v>-7.5643429853963902</v>
      </c>
      <c r="I133" s="2">
        <v>43962</v>
      </c>
      <c r="J133" s="3">
        <f>IFERROR(VLOOKUP(I133,$A$1:$G$1610,3,FALSE),J132)</f>
        <v>27.57</v>
      </c>
      <c r="K133" s="3">
        <f>IFERROR(VLOOKUP(I133,$A$1:$G$1610,7,FALSE),K132)</f>
        <v>-13.461600933213234</v>
      </c>
      <c r="L133" s="5">
        <f t="shared" si="9"/>
        <v>1</v>
      </c>
    </row>
    <row r="134" spans="1:12" x14ac:dyDescent="0.25">
      <c r="A134" s="2">
        <v>44015</v>
      </c>
      <c r="C134" s="3">
        <f t="shared" si="10"/>
        <v>27.68</v>
      </c>
      <c r="E134" s="3">
        <f t="shared" si="11"/>
        <v>3130.01</v>
      </c>
      <c r="F134" s="3">
        <f>MAX($E$2:E134)</f>
        <v>3386.15</v>
      </c>
      <c r="G134" s="3">
        <f t="shared" si="8"/>
        <v>-7.5643429853963902</v>
      </c>
      <c r="I134" s="2">
        <v>43963</v>
      </c>
      <c r="J134" s="3">
        <f>IFERROR(VLOOKUP(I134,$A$1:$G$1610,3,FALSE),J133)</f>
        <v>33.04</v>
      </c>
      <c r="K134" s="3">
        <f>IFERROR(VLOOKUP(I134,$A$1:$G$1610,7,FALSE),K133)</f>
        <v>-15.239431212438911</v>
      </c>
      <c r="L134" s="5">
        <f t="shared" si="9"/>
        <v>1</v>
      </c>
    </row>
    <row r="135" spans="1:12" x14ac:dyDescent="0.25">
      <c r="A135" s="2">
        <v>44018</v>
      </c>
      <c r="B135" s="3">
        <v>27.94</v>
      </c>
      <c r="C135" s="3">
        <f t="shared" si="10"/>
        <v>27.94</v>
      </c>
      <c r="D135" s="3">
        <v>3179.72</v>
      </c>
      <c r="E135" s="3">
        <f t="shared" si="11"/>
        <v>3179.72</v>
      </c>
      <c r="F135" s="3">
        <f>MAX($E$2:E135)</f>
        <v>3386.15</v>
      </c>
      <c r="G135" s="3">
        <f t="shared" si="8"/>
        <v>-6.0963040621354718</v>
      </c>
      <c r="I135" s="2">
        <v>43964</v>
      </c>
      <c r="J135" s="3">
        <f>IFERROR(VLOOKUP(I135,$A$1:$G$1610,3,FALSE),J134)</f>
        <v>35.28</v>
      </c>
      <c r="K135" s="3">
        <f>IFERROR(VLOOKUP(I135,$A$1:$G$1610,7,FALSE),K134)</f>
        <v>-16.719578282119812</v>
      </c>
      <c r="L135" s="5">
        <f t="shared" si="9"/>
        <v>1</v>
      </c>
    </row>
    <row r="136" spans="1:12" x14ac:dyDescent="0.25">
      <c r="A136" s="2">
        <v>44019</v>
      </c>
      <c r="B136" s="3">
        <v>29.43</v>
      </c>
      <c r="C136" s="3">
        <f t="shared" si="10"/>
        <v>29.43</v>
      </c>
      <c r="D136" s="3">
        <v>3145.32</v>
      </c>
      <c r="E136" s="3">
        <f t="shared" si="11"/>
        <v>3145.32</v>
      </c>
      <c r="F136" s="3">
        <f>MAX($E$2:E136)</f>
        <v>3386.15</v>
      </c>
      <c r="G136" s="3">
        <f t="shared" si="8"/>
        <v>-7.1122070788358442</v>
      </c>
      <c r="I136" s="2">
        <v>43965</v>
      </c>
      <c r="J136" s="3">
        <f>IFERROR(VLOOKUP(I136,$A$1:$G$1610,3,FALSE),J135)</f>
        <v>32.61</v>
      </c>
      <c r="K136" s="3">
        <f>IFERROR(VLOOKUP(I136,$A$1:$G$1610,7,FALSE),K135)</f>
        <v>-15.759786187853464</v>
      </c>
      <c r="L136" s="5">
        <f t="shared" si="9"/>
        <v>1</v>
      </c>
    </row>
    <row r="137" spans="1:12" x14ac:dyDescent="0.25">
      <c r="A137" s="2">
        <v>44020</v>
      </c>
      <c r="B137" s="3">
        <v>28.08</v>
      </c>
      <c r="C137" s="3">
        <f t="shared" si="10"/>
        <v>28.08</v>
      </c>
      <c r="D137" s="3">
        <v>3169.94</v>
      </c>
      <c r="E137" s="3">
        <f t="shared" si="11"/>
        <v>3169.94</v>
      </c>
      <c r="F137" s="3">
        <f>MAX($E$2:E137)</f>
        <v>3386.15</v>
      </c>
      <c r="G137" s="3">
        <f t="shared" si="8"/>
        <v>-6.3851276523485376</v>
      </c>
      <c r="I137" s="2">
        <v>43966</v>
      </c>
      <c r="J137" s="3">
        <f>IFERROR(VLOOKUP(I137,$A$1:$G$1610,3,FALSE),J136)</f>
        <v>31.89</v>
      </c>
      <c r="K137" s="3">
        <f>IFERROR(VLOOKUP(I137,$A$1:$G$1610,7,FALSE),K136)</f>
        <v>-15.429027066137065</v>
      </c>
      <c r="L137" s="5">
        <f t="shared" si="9"/>
        <v>1</v>
      </c>
    </row>
    <row r="138" spans="1:12" x14ac:dyDescent="0.25">
      <c r="A138" s="2">
        <v>44021</v>
      </c>
      <c r="B138" s="3">
        <v>29.26</v>
      </c>
      <c r="C138" s="3">
        <f t="shared" si="10"/>
        <v>29.26</v>
      </c>
      <c r="D138" s="3">
        <v>3152.05</v>
      </c>
      <c r="E138" s="3">
        <f t="shared" si="11"/>
        <v>3152.05</v>
      </c>
      <c r="F138" s="3">
        <f>MAX($E$2:E138)</f>
        <v>3386.15</v>
      </c>
      <c r="G138" s="3">
        <f t="shared" si="8"/>
        <v>-6.9134562851616108</v>
      </c>
      <c r="I138" s="2">
        <v>43967</v>
      </c>
      <c r="J138" s="3">
        <f>IFERROR(VLOOKUP(I138,$A$1:$G$1610,3,FALSE),J137)</f>
        <v>31.89</v>
      </c>
      <c r="K138" s="3">
        <f>IFERROR(VLOOKUP(I138,$A$1:$G$1610,7,FALSE),K137)</f>
        <v>-15.429027066137065</v>
      </c>
      <c r="L138" s="5">
        <f t="shared" si="9"/>
        <v>1</v>
      </c>
    </row>
    <row r="139" spans="1:12" x14ac:dyDescent="0.25">
      <c r="A139" s="2">
        <v>44022</v>
      </c>
      <c r="B139" s="3">
        <v>27.29</v>
      </c>
      <c r="C139" s="3">
        <f t="shared" si="10"/>
        <v>27.29</v>
      </c>
      <c r="D139" s="3">
        <v>3185.04</v>
      </c>
      <c r="E139" s="3">
        <f t="shared" si="11"/>
        <v>3185.04</v>
      </c>
      <c r="F139" s="3">
        <f>MAX($E$2:E139)</f>
        <v>3386.15</v>
      </c>
      <c r="G139" s="3">
        <f t="shared" si="8"/>
        <v>-5.9391934793201751</v>
      </c>
      <c r="I139" s="2">
        <v>43968</v>
      </c>
      <c r="J139" s="3">
        <f>IFERROR(VLOOKUP(I139,$A$1:$G$1610,3,FALSE),J138)</f>
        <v>31.89</v>
      </c>
      <c r="K139" s="3">
        <f>IFERROR(VLOOKUP(I139,$A$1:$G$1610,7,FALSE),K138)</f>
        <v>-15.429027066137065</v>
      </c>
      <c r="L139" s="5">
        <f t="shared" si="9"/>
        <v>1</v>
      </c>
    </row>
    <row r="140" spans="1:12" x14ac:dyDescent="0.25">
      <c r="A140" s="2">
        <v>44025</v>
      </c>
      <c r="B140" s="3">
        <v>32.19</v>
      </c>
      <c r="C140" s="3">
        <f t="shared" si="10"/>
        <v>32.19</v>
      </c>
      <c r="D140" s="3">
        <v>3155.22</v>
      </c>
      <c r="E140" s="3">
        <f t="shared" si="11"/>
        <v>3155.22</v>
      </c>
      <c r="F140" s="3">
        <f>MAX($E$2:E140)</f>
        <v>3386.15</v>
      </c>
      <c r="G140" s="3">
        <f t="shared" si="8"/>
        <v>-6.8198396408901045</v>
      </c>
      <c r="I140" s="2">
        <v>43969</v>
      </c>
      <c r="J140" s="3">
        <f>IFERROR(VLOOKUP(I140,$A$1:$G$1610,3,FALSE),J139)</f>
        <v>29.3</v>
      </c>
      <c r="K140" s="3">
        <f>IFERROR(VLOOKUP(I140,$A$1:$G$1610,7,FALSE),K139)</f>
        <v>-12.764939533098069</v>
      </c>
      <c r="L140" s="5">
        <f t="shared" si="9"/>
        <v>1</v>
      </c>
    </row>
    <row r="141" spans="1:12" x14ac:dyDescent="0.25">
      <c r="A141" s="2">
        <v>44026</v>
      </c>
      <c r="B141" s="3">
        <v>29.52</v>
      </c>
      <c r="C141" s="3">
        <f t="shared" si="10"/>
        <v>29.52</v>
      </c>
      <c r="D141" s="3">
        <v>3197.52</v>
      </c>
      <c r="E141" s="3">
        <f t="shared" si="11"/>
        <v>3197.52</v>
      </c>
      <c r="F141" s="3">
        <f>MAX($E$2:E141)</f>
        <v>3386.15</v>
      </c>
      <c r="G141" s="3">
        <f t="shared" si="8"/>
        <v>-5.5706333151218965</v>
      </c>
      <c r="I141" s="2">
        <v>43970</v>
      </c>
      <c r="J141" s="3">
        <f>IFERROR(VLOOKUP(I141,$A$1:$G$1610,3,FALSE),J140)</f>
        <v>30.53</v>
      </c>
      <c r="K141" s="3">
        <f>IFERROR(VLOOKUP(I141,$A$1:$G$1610,7,FALSE),K140)</f>
        <v>-13.679547568772795</v>
      </c>
      <c r="L141" s="5">
        <f t="shared" si="9"/>
        <v>1</v>
      </c>
    </row>
    <row r="142" spans="1:12" x14ac:dyDescent="0.25">
      <c r="A142" s="2">
        <v>44027</v>
      </c>
      <c r="B142" s="3">
        <v>27.76</v>
      </c>
      <c r="C142" s="3">
        <f t="shared" si="10"/>
        <v>27.76</v>
      </c>
      <c r="D142" s="3">
        <v>3226.56</v>
      </c>
      <c r="E142" s="3">
        <f t="shared" si="11"/>
        <v>3226.56</v>
      </c>
      <c r="F142" s="3">
        <f>MAX($E$2:E142)</f>
        <v>3386.15</v>
      </c>
      <c r="G142" s="3">
        <f t="shared" si="8"/>
        <v>-4.7130221638143652</v>
      </c>
      <c r="I142" s="2">
        <v>43971</v>
      </c>
      <c r="J142" s="3">
        <f>IFERROR(VLOOKUP(I142,$A$1:$G$1610,3,FALSE),J141)</f>
        <v>27.99</v>
      </c>
      <c r="K142" s="3">
        <f>IFERROR(VLOOKUP(I142,$A$1:$G$1610,7,FALSE),K141)</f>
        <v>-12.242221992528385</v>
      </c>
      <c r="L142" s="5">
        <f t="shared" si="9"/>
        <v>1</v>
      </c>
    </row>
    <row r="143" spans="1:12" x14ac:dyDescent="0.25">
      <c r="A143" s="2">
        <v>44028</v>
      </c>
      <c r="B143" s="3">
        <v>28</v>
      </c>
      <c r="C143" s="3">
        <f t="shared" si="10"/>
        <v>28</v>
      </c>
      <c r="D143" s="3">
        <v>3215.57</v>
      </c>
      <c r="E143" s="3">
        <f t="shared" si="11"/>
        <v>3215.57</v>
      </c>
      <c r="F143" s="3">
        <f>MAX($E$2:E143)</f>
        <v>3386.15</v>
      </c>
      <c r="G143" s="3">
        <f t="shared" si="8"/>
        <v>-5.0375795519985802</v>
      </c>
      <c r="I143" s="2">
        <v>43972</v>
      </c>
      <c r="J143" s="3">
        <f>IFERROR(VLOOKUP(I143,$A$1:$G$1610,3,FALSE),J142)</f>
        <v>29.53</v>
      </c>
      <c r="K143" s="3">
        <f>IFERROR(VLOOKUP(I143,$A$1:$G$1610,7,FALSE),K142)</f>
        <v>-12.924412681068468</v>
      </c>
      <c r="L143" s="5">
        <f t="shared" si="9"/>
        <v>1</v>
      </c>
    </row>
    <row r="144" spans="1:12" x14ac:dyDescent="0.25">
      <c r="A144" s="2">
        <v>44029</v>
      </c>
      <c r="B144" s="3">
        <v>25.68</v>
      </c>
      <c r="C144" s="3">
        <f t="shared" si="10"/>
        <v>25.68</v>
      </c>
      <c r="D144" s="3">
        <v>3224.73</v>
      </c>
      <c r="E144" s="3">
        <f t="shared" si="11"/>
        <v>3224.73</v>
      </c>
      <c r="F144" s="3">
        <f>MAX($E$2:E144)</f>
        <v>3386.15</v>
      </c>
      <c r="G144" s="3">
        <f t="shared" si="8"/>
        <v>-4.7670658417376686</v>
      </c>
      <c r="I144" s="2">
        <v>43973</v>
      </c>
      <c r="J144" s="3">
        <f>IFERROR(VLOOKUP(I144,$A$1:$G$1610,3,FALSE),J143)</f>
        <v>28.16</v>
      </c>
      <c r="K144" s="3">
        <f>IFERROR(VLOOKUP(I144,$A$1:$G$1610,7,FALSE),K143)</f>
        <v>-12.719460153862064</v>
      </c>
      <c r="L144" s="5">
        <f t="shared" si="9"/>
        <v>1</v>
      </c>
    </row>
    <row r="145" spans="1:12" x14ac:dyDescent="0.25">
      <c r="A145" s="2">
        <v>44032</v>
      </c>
      <c r="B145" s="3">
        <v>24.46</v>
      </c>
      <c r="C145" s="3">
        <f t="shared" si="10"/>
        <v>24.46</v>
      </c>
      <c r="D145" s="3">
        <v>3251.84</v>
      </c>
      <c r="E145" s="3">
        <f t="shared" si="11"/>
        <v>3251.84</v>
      </c>
      <c r="F145" s="3">
        <f>MAX($E$2:E145)</f>
        <v>3386.15</v>
      </c>
      <c r="G145" s="3">
        <f t="shared" si="8"/>
        <v>-3.9664515747973348</v>
      </c>
      <c r="I145" s="2">
        <v>43974</v>
      </c>
      <c r="J145" s="3">
        <f>IFERROR(VLOOKUP(I145,$A$1:$G$1610,3,FALSE),J144)</f>
        <v>28.16</v>
      </c>
      <c r="K145" s="3">
        <f>IFERROR(VLOOKUP(I145,$A$1:$G$1610,7,FALSE),K144)</f>
        <v>-12.719460153862064</v>
      </c>
      <c r="L145" s="5">
        <f t="shared" si="9"/>
        <v>1</v>
      </c>
    </row>
    <row r="146" spans="1:12" x14ac:dyDescent="0.25">
      <c r="A146" s="2">
        <v>44033</v>
      </c>
      <c r="B146" s="3">
        <v>24.84</v>
      </c>
      <c r="C146" s="3">
        <f t="shared" si="10"/>
        <v>24.84</v>
      </c>
      <c r="D146" s="3">
        <v>3257.3</v>
      </c>
      <c r="E146" s="3">
        <f t="shared" si="11"/>
        <v>3257.3</v>
      </c>
      <c r="F146" s="3">
        <f>MAX($E$2:E146)</f>
        <v>3386.15</v>
      </c>
      <c r="G146" s="3">
        <f t="shared" si="8"/>
        <v>-3.805206502960587</v>
      </c>
      <c r="I146" s="2">
        <v>43975</v>
      </c>
      <c r="J146" s="3">
        <f>IFERROR(VLOOKUP(I146,$A$1:$G$1610,3,FALSE),J145)</f>
        <v>28.16</v>
      </c>
      <c r="K146" s="3">
        <f>IFERROR(VLOOKUP(I146,$A$1:$G$1610,7,FALSE),K145)</f>
        <v>-12.719460153862064</v>
      </c>
      <c r="L146" s="5">
        <f t="shared" si="9"/>
        <v>1</v>
      </c>
    </row>
    <row r="147" spans="1:12" x14ac:dyDescent="0.25">
      <c r="A147" s="2">
        <v>44034</v>
      </c>
      <c r="B147" s="3">
        <v>24.32</v>
      </c>
      <c r="C147" s="3">
        <f t="shared" si="10"/>
        <v>24.32</v>
      </c>
      <c r="D147" s="3">
        <v>3276.02</v>
      </c>
      <c r="E147" s="3">
        <f t="shared" si="11"/>
        <v>3276.02</v>
      </c>
      <c r="F147" s="3">
        <f>MAX($E$2:E147)</f>
        <v>3386.15</v>
      </c>
      <c r="G147" s="3">
        <f t="shared" si="8"/>
        <v>-3.252366256663175</v>
      </c>
      <c r="I147" s="2">
        <v>43976</v>
      </c>
      <c r="J147" s="3">
        <f>IFERROR(VLOOKUP(I147,$A$1:$G$1610,3,FALSE),J146)</f>
        <v>28.16</v>
      </c>
      <c r="K147" s="3">
        <f>IFERROR(VLOOKUP(I147,$A$1:$G$1610,7,FALSE),K146)</f>
        <v>-12.719460153862064</v>
      </c>
      <c r="L147" s="5">
        <f t="shared" si="9"/>
        <v>1</v>
      </c>
    </row>
    <row r="148" spans="1:12" x14ac:dyDescent="0.25">
      <c r="A148" s="2">
        <v>44035</v>
      </c>
      <c r="B148" s="3">
        <v>26.08</v>
      </c>
      <c r="C148" s="3">
        <f t="shared" si="10"/>
        <v>26.08</v>
      </c>
      <c r="D148" s="3">
        <v>3235.66</v>
      </c>
      <c r="E148" s="3">
        <f t="shared" si="11"/>
        <v>3235.66</v>
      </c>
      <c r="F148" s="3">
        <f>MAX($E$2:E148)</f>
        <v>3386.15</v>
      </c>
      <c r="G148" s="3">
        <f t="shared" si="8"/>
        <v>-4.4442803774197905</v>
      </c>
      <c r="I148" s="2">
        <v>43977</v>
      </c>
      <c r="J148" s="3">
        <f>IFERROR(VLOOKUP(I148,$A$1:$G$1610,3,FALSE),J147)</f>
        <v>28.01</v>
      </c>
      <c r="K148" s="3">
        <f>IFERROR(VLOOKUP(I148,$A$1:$G$1610,7,FALSE),K147)</f>
        <v>-11.646855573438863</v>
      </c>
      <c r="L148" s="5">
        <f t="shared" si="9"/>
        <v>1</v>
      </c>
    </row>
    <row r="149" spans="1:12" x14ac:dyDescent="0.25">
      <c r="A149" s="2">
        <v>44036</v>
      </c>
      <c r="B149" s="3">
        <v>25.84</v>
      </c>
      <c r="C149" s="3">
        <f t="shared" si="10"/>
        <v>25.84</v>
      </c>
      <c r="D149" s="3">
        <v>3215.63</v>
      </c>
      <c r="E149" s="3">
        <f t="shared" si="11"/>
        <v>3215.63</v>
      </c>
      <c r="F149" s="3">
        <f>MAX($E$2:E149)</f>
        <v>3386.15</v>
      </c>
      <c r="G149" s="3">
        <f t="shared" si="8"/>
        <v>-5.0358076281322441</v>
      </c>
      <c r="I149" s="2">
        <v>43978</v>
      </c>
      <c r="J149" s="3">
        <f>IFERROR(VLOOKUP(I149,$A$1:$G$1610,3,FALSE),J148)</f>
        <v>27.62</v>
      </c>
      <c r="K149" s="3">
        <f>IFERROR(VLOOKUP(I149,$A$1:$G$1610,7,FALSE),K148)</f>
        <v>-10.336813194926391</v>
      </c>
      <c r="L149" s="5">
        <f t="shared" si="9"/>
        <v>1</v>
      </c>
    </row>
    <row r="150" spans="1:12" x14ac:dyDescent="0.25">
      <c r="A150" s="2">
        <v>44039</v>
      </c>
      <c r="B150" s="3">
        <v>24.74</v>
      </c>
      <c r="C150" s="3">
        <f t="shared" si="10"/>
        <v>24.74</v>
      </c>
      <c r="D150" s="3">
        <v>3239.41</v>
      </c>
      <c r="E150" s="3">
        <f t="shared" si="11"/>
        <v>3239.41</v>
      </c>
      <c r="F150" s="3">
        <f>MAX($E$2:E150)</f>
        <v>3386.15</v>
      </c>
      <c r="G150" s="3">
        <f t="shared" si="8"/>
        <v>-4.3335351357736727</v>
      </c>
      <c r="I150" s="2">
        <v>43979</v>
      </c>
      <c r="J150" s="3">
        <f>IFERROR(VLOOKUP(I150,$A$1:$G$1610,3,FALSE),J149)</f>
        <v>28.59</v>
      </c>
      <c r="K150" s="3">
        <f>IFERROR(VLOOKUP(I150,$A$1:$G$1610,7,FALSE),K149)</f>
        <v>-10.525818407335768</v>
      </c>
      <c r="L150" s="5">
        <f t="shared" si="9"/>
        <v>1</v>
      </c>
    </row>
    <row r="151" spans="1:12" x14ac:dyDescent="0.25">
      <c r="A151" s="2">
        <v>44040</v>
      </c>
      <c r="B151" s="3">
        <v>25.44</v>
      </c>
      <c r="C151" s="3">
        <f t="shared" si="10"/>
        <v>25.44</v>
      </c>
      <c r="D151" s="3">
        <v>3218.44</v>
      </c>
      <c r="E151" s="3">
        <f t="shared" si="11"/>
        <v>3218.44</v>
      </c>
      <c r="F151" s="3">
        <f>MAX($E$2:E151)</f>
        <v>3386.15</v>
      </c>
      <c r="G151" s="3">
        <f t="shared" si="8"/>
        <v>-4.9528225270587551</v>
      </c>
      <c r="I151" s="2">
        <v>43980</v>
      </c>
      <c r="J151" s="3">
        <f>IFERROR(VLOOKUP(I151,$A$1:$G$1610,3,FALSE),J150)</f>
        <v>27.51</v>
      </c>
      <c r="K151" s="3">
        <f>IFERROR(VLOOKUP(I151,$A$1:$G$1610,7,FALSE),K150)</f>
        <v>-10.095240907815665</v>
      </c>
      <c r="L151" s="5">
        <f t="shared" si="9"/>
        <v>1</v>
      </c>
    </row>
    <row r="152" spans="1:12" x14ac:dyDescent="0.25">
      <c r="A152" s="2">
        <v>44041</v>
      </c>
      <c r="B152" s="3">
        <v>24.1</v>
      </c>
      <c r="C152" s="3">
        <f t="shared" si="10"/>
        <v>24.1</v>
      </c>
      <c r="D152" s="3">
        <v>3258.44</v>
      </c>
      <c r="E152" s="3">
        <f t="shared" si="11"/>
        <v>3258.44</v>
      </c>
      <c r="F152" s="3">
        <f>MAX($E$2:E152)</f>
        <v>3386.15</v>
      </c>
      <c r="G152" s="3">
        <f t="shared" si="8"/>
        <v>-3.7715399495001711</v>
      </c>
      <c r="I152" s="2">
        <v>43981</v>
      </c>
      <c r="J152" s="3">
        <f>IFERROR(VLOOKUP(I152,$A$1:$G$1610,3,FALSE),J151)</f>
        <v>27.51</v>
      </c>
      <c r="K152" s="3">
        <f>IFERROR(VLOOKUP(I152,$A$1:$G$1610,7,FALSE),K151)</f>
        <v>-10.095240907815665</v>
      </c>
      <c r="L152" s="5">
        <f t="shared" si="9"/>
        <v>1</v>
      </c>
    </row>
    <row r="153" spans="1:12" x14ac:dyDescent="0.25">
      <c r="A153" s="2">
        <v>44042</v>
      </c>
      <c r="B153" s="3">
        <v>24.76</v>
      </c>
      <c r="C153" s="3">
        <f t="shared" si="10"/>
        <v>24.76</v>
      </c>
      <c r="D153" s="3">
        <v>3246.22</v>
      </c>
      <c r="E153" s="3">
        <f t="shared" si="11"/>
        <v>3246.22</v>
      </c>
      <c r="F153" s="3">
        <f>MAX($E$2:E153)</f>
        <v>3386.15</v>
      </c>
      <c r="G153" s="3">
        <f t="shared" si="8"/>
        <v>-4.1324217769443257</v>
      </c>
      <c r="I153" s="2">
        <v>43982</v>
      </c>
      <c r="J153" s="3">
        <f>IFERROR(VLOOKUP(I153,$A$1:$G$1610,3,FALSE),J152)</f>
        <v>27.51</v>
      </c>
      <c r="K153" s="3">
        <f>IFERROR(VLOOKUP(I153,$A$1:$G$1610,7,FALSE),K152)</f>
        <v>-10.095240907815665</v>
      </c>
      <c r="L153" s="5">
        <f t="shared" si="9"/>
        <v>1</v>
      </c>
    </row>
    <row r="154" spans="1:12" x14ac:dyDescent="0.25">
      <c r="A154" s="2">
        <v>44043</v>
      </c>
      <c r="B154" s="3">
        <v>24.46</v>
      </c>
      <c r="C154" s="3">
        <f t="shared" si="10"/>
        <v>24.46</v>
      </c>
      <c r="D154" s="3">
        <v>3271.12</v>
      </c>
      <c r="E154" s="3">
        <f t="shared" si="11"/>
        <v>3271.12</v>
      </c>
      <c r="F154" s="3">
        <f>MAX($E$2:E154)</f>
        <v>3386.15</v>
      </c>
      <c r="G154" s="3">
        <f t="shared" si="8"/>
        <v>-3.3970733724141042</v>
      </c>
      <c r="I154" s="2">
        <v>43983</v>
      </c>
      <c r="J154" s="3">
        <f>IFERROR(VLOOKUP(I154,$A$1:$G$1610,3,FALSE),J153)</f>
        <v>28.23</v>
      </c>
      <c r="K154" s="3">
        <f>IFERROR(VLOOKUP(I154,$A$1:$G$1610,7,FALSE),K153)</f>
        <v>-9.7579847319226864</v>
      </c>
      <c r="L154" s="5">
        <f t="shared" si="9"/>
        <v>0</v>
      </c>
    </row>
    <row r="155" spans="1:12" x14ac:dyDescent="0.25">
      <c r="A155" s="2">
        <v>44046</v>
      </c>
      <c r="B155" s="3">
        <v>24.28</v>
      </c>
      <c r="C155" s="3">
        <f t="shared" si="10"/>
        <v>24.28</v>
      </c>
      <c r="D155" s="3">
        <v>3294.61</v>
      </c>
      <c r="E155" s="3">
        <f t="shared" si="11"/>
        <v>3294.61</v>
      </c>
      <c r="F155" s="3">
        <f>MAX($E$2:E155)</f>
        <v>3386.15</v>
      </c>
      <c r="G155" s="3">
        <f t="shared" si="8"/>
        <v>-2.7033651787428186</v>
      </c>
      <c r="I155" s="2">
        <v>43984</v>
      </c>
      <c r="J155" s="3">
        <f>IFERROR(VLOOKUP(I155,$A$1:$G$1610,3,FALSE),J154)</f>
        <v>26.84</v>
      </c>
      <c r="K155" s="3">
        <f>IFERROR(VLOOKUP(I155,$A$1:$G$1610,7,FALSE),K154)</f>
        <v>-9.0170252351490614</v>
      </c>
      <c r="L155" s="5">
        <f t="shared" si="9"/>
        <v>0</v>
      </c>
    </row>
    <row r="156" spans="1:12" x14ac:dyDescent="0.25">
      <c r="A156" s="2">
        <v>44047</v>
      </c>
      <c r="B156" s="3">
        <v>23.76</v>
      </c>
      <c r="C156" s="3">
        <f t="shared" si="10"/>
        <v>23.76</v>
      </c>
      <c r="D156" s="3">
        <v>3306.51</v>
      </c>
      <c r="E156" s="3">
        <f t="shared" si="11"/>
        <v>3306.51</v>
      </c>
      <c r="F156" s="3">
        <f>MAX($E$2:E156)</f>
        <v>3386.15</v>
      </c>
      <c r="G156" s="3">
        <f t="shared" si="8"/>
        <v>-2.3519336119191374</v>
      </c>
      <c r="I156" s="2">
        <v>43985</v>
      </c>
      <c r="J156" s="3">
        <f>IFERROR(VLOOKUP(I156,$A$1:$G$1610,3,FALSE),J155)</f>
        <v>25.66</v>
      </c>
      <c r="K156" s="3">
        <f>IFERROR(VLOOKUP(I156,$A$1:$G$1610,7,FALSE),K155)</f>
        <v>-7.7752019254906077</v>
      </c>
      <c r="L156" s="5">
        <f t="shared" si="9"/>
        <v>0</v>
      </c>
    </row>
    <row r="157" spans="1:12" x14ac:dyDescent="0.25">
      <c r="A157" s="2">
        <v>44048</v>
      </c>
      <c r="B157" s="3">
        <v>22.99</v>
      </c>
      <c r="C157" s="3">
        <f t="shared" si="10"/>
        <v>22.99</v>
      </c>
      <c r="D157" s="3">
        <v>3327.77</v>
      </c>
      <c r="E157" s="3">
        <f t="shared" si="11"/>
        <v>3327.77</v>
      </c>
      <c r="F157" s="3">
        <f>MAX($E$2:E157)</f>
        <v>3386.15</v>
      </c>
      <c r="G157" s="3">
        <f t="shared" si="8"/>
        <v>-1.7240819219467569</v>
      </c>
      <c r="I157" s="2">
        <v>43986</v>
      </c>
      <c r="J157" s="3">
        <f>IFERROR(VLOOKUP(I157,$A$1:$G$1610,3,FALSE),J156)</f>
        <v>25.81</v>
      </c>
      <c r="K157" s="3">
        <f>IFERROR(VLOOKUP(I157,$A$1:$G$1610,7,FALSE),K156)</f>
        <v>-8.0858792433885149</v>
      </c>
      <c r="L157" s="5">
        <f t="shared" si="9"/>
        <v>0</v>
      </c>
    </row>
    <row r="158" spans="1:12" x14ac:dyDescent="0.25">
      <c r="A158" s="2">
        <v>44049</v>
      </c>
      <c r="B158" s="3">
        <v>22.65</v>
      </c>
      <c r="C158" s="3">
        <f t="shared" si="10"/>
        <v>22.65</v>
      </c>
      <c r="D158" s="3">
        <v>3349.16</v>
      </c>
      <c r="E158" s="3">
        <f t="shared" si="11"/>
        <v>3349.16</v>
      </c>
      <c r="F158" s="3">
        <f>MAX($E$2:E158)</f>
        <v>3386.15</v>
      </c>
      <c r="G158" s="3">
        <f t="shared" si="8"/>
        <v>-1.0923910635973078</v>
      </c>
      <c r="I158" s="2">
        <v>43987</v>
      </c>
      <c r="J158" s="3">
        <f>IFERROR(VLOOKUP(I158,$A$1:$G$1610,3,FALSE),J157)</f>
        <v>24.52</v>
      </c>
      <c r="K158" s="3">
        <f>IFERROR(VLOOKUP(I158,$A$1:$G$1610,7,FALSE),K157)</f>
        <v>-5.6766534264577837</v>
      </c>
      <c r="L158" s="5">
        <f t="shared" si="9"/>
        <v>0</v>
      </c>
    </row>
    <row r="159" spans="1:12" x14ac:dyDescent="0.25">
      <c r="A159" s="2">
        <v>44050</v>
      </c>
      <c r="B159" s="3">
        <v>22.21</v>
      </c>
      <c r="C159" s="3">
        <f t="shared" si="10"/>
        <v>22.21</v>
      </c>
      <c r="D159" s="3">
        <v>3351.28</v>
      </c>
      <c r="E159" s="3">
        <f t="shared" si="11"/>
        <v>3351.28</v>
      </c>
      <c r="F159" s="3">
        <f>MAX($E$2:E159)</f>
        <v>3386.15</v>
      </c>
      <c r="G159" s="3">
        <f t="shared" si="8"/>
        <v>-1.0297830869866926</v>
      </c>
      <c r="I159" s="2">
        <v>43988</v>
      </c>
      <c r="J159" s="3">
        <f>IFERROR(VLOOKUP(I159,$A$1:$G$1610,3,FALSE),J158)</f>
        <v>24.52</v>
      </c>
      <c r="K159" s="3">
        <f>IFERROR(VLOOKUP(I159,$A$1:$G$1610,7,FALSE),K158)</f>
        <v>-5.6766534264577837</v>
      </c>
      <c r="L159" s="5">
        <f t="shared" si="9"/>
        <v>0</v>
      </c>
    </row>
    <row r="160" spans="1:12" x14ac:dyDescent="0.25">
      <c r="A160" s="2">
        <v>44053</v>
      </c>
      <c r="B160" s="3">
        <v>22.13</v>
      </c>
      <c r="C160" s="3">
        <f t="shared" si="10"/>
        <v>22.13</v>
      </c>
      <c r="D160" s="3">
        <v>3360.47</v>
      </c>
      <c r="E160" s="3">
        <f t="shared" si="11"/>
        <v>3360.47</v>
      </c>
      <c r="F160" s="3">
        <f>MAX($E$2:E160)</f>
        <v>3386.15</v>
      </c>
      <c r="G160" s="3">
        <f t="shared" si="8"/>
        <v>-0.75838341479261961</v>
      </c>
      <c r="I160" s="2">
        <v>43989</v>
      </c>
      <c r="J160" s="3">
        <f>IFERROR(VLOOKUP(I160,$A$1:$G$1610,3,FALSE),J159)</f>
        <v>24.52</v>
      </c>
      <c r="K160" s="3">
        <f>IFERROR(VLOOKUP(I160,$A$1:$G$1610,7,FALSE),K159)</f>
        <v>-5.6766534264577837</v>
      </c>
      <c r="L160" s="5">
        <f t="shared" si="9"/>
        <v>0</v>
      </c>
    </row>
    <row r="161" spans="1:12" x14ac:dyDescent="0.25">
      <c r="A161" s="2">
        <v>44054</v>
      </c>
      <c r="B161" s="3">
        <v>24.03</v>
      </c>
      <c r="C161" s="3">
        <f t="shared" si="10"/>
        <v>24.03</v>
      </c>
      <c r="D161" s="3">
        <v>3333.69</v>
      </c>
      <c r="E161" s="3">
        <f t="shared" si="11"/>
        <v>3333.69</v>
      </c>
      <c r="F161" s="3">
        <f>MAX($E$2:E161)</f>
        <v>3386.15</v>
      </c>
      <c r="G161" s="3">
        <f t="shared" si="8"/>
        <v>-1.5492521004680844</v>
      </c>
      <c r="I161" s="2">
        <v>43990</v>
      </c>
      <c r="J161" s="3">
        <f>IFERROR(VLOOKUP(I161,$A$1:$G$1610,3,FALSE),J160)</f>
        <v>25.81</v>
      </c>
      <c r="K161" s="3">
        <f>IFERROR(VLOOKUP(I161,$A$1:$G$1610,7,FALSE),K160)</f>
        <v>-4.5408502281352039</v>
      </c>
      <c r="L161" s="5">
        <f t="shared" si="9"/>
        <v>0</v>
      </c>
    </row>
    <row r="162" spans="1:12" x14ac:dyDescent="0.25">
      <c r="A162" s="2">
        <v>44055</v>
      </c>
      <c r="B162" s="3">
        <v>22.28</v>
      </c>
      <c r="C162" s="3">
        <f t="shared" si="10"/>
        <v>22.28</v>
      </c>
      <c r="D162" s="3">
        <v>3380.35</v>
      </c>
      <c r="E162" s="3">
        <f t="shared" si="11"/>
        <v>3380.35</v>
      </c>
      <c r="F162" s="3">
        <f>MAX($E$2:E162)</f>
        <v>3386.15</v>
      </c>
      <c r="G162" s="3">
        <f t="shared" si="8"/>
        <v>-0.17128597374600008</v>
      </c>
      <c r="I162" s="2">
        <v>43991</v>
      </c>
      <c r="J162" s="3">
        <f>IFERROR(VLOOKUP(I162,$A$1:$G$1610,3,FALSE),J161)</f>
        <v>27.57</v>
      </c>
      <c r="K162" s="3">
        <f>IFERROR(VLOOKUP(I162,$A$1:$G$1610,7,FALSE),K161)</f>
        <v>-5.2853535726415029</v>
      </c>
      <c r="L162" s="5">
        <f t="shared" si="9"/>
        <v>0</v>
      </c>
    </row>
    <row r="163" spans="1:12" x14ac:dyDescent="0.25">
      <c r="A163" s="2">
        <v>44056</v>
      </c>
      <c r="B163" s="3">
        <v>22.13</v>
      </c>
      <c r="C163" s="3">
        <f t="shared" si="10"/>
        <v>22.13</v>
      </c>
      <c r="D163" s="3">
        <v>3373.43</v>
      </c>
      <c r="E163" s="3">
        <f t="shared" si="11"/>
        <v>3373.43</v>
      </c>
      <c r="F163" s="3">
        <f>MAX($E$2:E163)</f>
        <v>3386.15</v>
      </c>
      <c r="G163" s="3">
        <f t="shared" si="8"/>
        <v>-0.37564785966363728</v>
      </c>
      <c r="I163" s="2">
        <v>43992</v>
      </c>
      <c r="J163" s="3">
        <f>IFERROR(VLOOKUP(I163,$A$1:$G$1610,3,FALSE),J162)</f>
        <v>27.57</v>
      </c>
      <c r="K163" s="3">
        <f>IFERROR(VLOOKUP(I163,$A$1:$G$1610,7,FALSE),K162)</f>
        <v>-5.7885799506814584</v>
      </c>
      <c r="L163" s="5">
        <f t="shared" si="9"/>
        <v>0</v>
      </c>
    </row>
    <row r="164" spans="1:12" x14ac:dyDescent="0.25">
      <c r="A164" s="2">
        <v>44057</v>
      </c>
      <c r="B164" s="3">
        <v>22.05</v>
      </c>
      <c r="C164" s="3">
        <f t="shared" si="10"/>
        <v>22.05</v>
      </c>
      <c r="D164" s="3">
        <v>3372.85</v>
      </c>
      <c r="E164" s="3">
        <f t="shared" si="11"/>
        <v>3372.85</v>
      </c>
      <c r="F164" s="3">
        <f>MAX($E$2:E164)</f>
        <v>3386.15</v>
      </c>
      <c r="G164" s="3">
        <f t="shared" si="8"/>
        <v>-0.39277645703823461</v>
      </c>
      <c r="I164" s="2">
        <v>43993</v>
      </c>
      <c r="J164" s="3">
        <f>IFERROR(VLOOKUP(I164,$A$1:$G$1610,3,FALSE),J163)</f>
        <v>40.79</v>
      </c>
      <c r="K164" s="3">
        <f>IFERROR(VLOOKUP(I164,$A$1:$G$1610,7,FALSE),K163)</f>
        <v>-11.341789347784362</v>
      </c>
      <c r="L164" s="5">
        <f t="shared" si="9"/>
        <v>1</v>
      </c>
    </row>
    <row r="165" spans="1:12" x14ac:dyDescent="0.25">
      <c r="A165" s="2">
        <v>44060</v>
      </c>
      <c r="B165" s="3">
        <v>21.35</v>
      </c>
      <c r="C165" s="3">
        <f t="shared" si="10"/>
        <v>21.35</v>
      </c>
      <c r="D165" s="3">
        <v>3381.99</v>
      </c>
      <c r="E165" s="3">
        <f t="shared" si="11"/>
        <v>3381.99</v>
      </c>
      <c r="F165" s="3">
        <f>MAX($E$2:E165)</f>
        <v>3386.15</v>
      </c>
      <c r="G165" s="3">
        <f t="shared" si="8"/>
        <v>-0.1228533880661019</v>
      </c>
      <c r="I165" s="2">
        <v>43994</v>
      </c>
      <c r="J165" s="3">
        <f>IFERROR(VLOOKUP(I165,$A$1:$G$1610,3,FALSE),J164)</f>
        <v>36.090000000000003</v>
      </c>
      <c r="K165" s="3">
        <f>IFERROR(VLOOKUP(I165,$A$1:$G$1610,7,FALSE),K164)</f>
        <v>-10.183837101132559</v>
      </c>
      <c r="L165" s="5">
        <f t="shared" si="9"/>
        <v>1</v>
      </c>
    </row>
    <row r="166" spans="1:12" x14ac:dyDescent="0.25">
      <c r="A166" s="2">
        <v>44061</v>
      </c>
      <c r="B166" s="3">
        <v>21.51</v>
      </c>
      <c r="C166" s="3">
        <f t="shared" si="10"/>
        <v>21.51</v>
      </c>
      <c r="D166" s="3">
        <v>3389.78</v>
      </c>
      <c r="E166" s="3">
        <f t="shared" si="11"/>
        <v>3389.78</v>
      </c>
      <c r="F166" s="3">
        <f>MAX($E$2:E166)</f>
        <v>3389.78</v>
      </c>
      <c r="G166" s="3">
        <f t="shared" si="8"/>
        <v>0</v>
      </c>
      <c r="I166" s="2">
        <v>43995</v>
      </c>
      <c r="J166" s="3">
        <f>IFERROR(VLOOKUP(I166,$A$1:$G$1610,3,FALSE),J165)</f>
        <v>36.090000000000003</v>
      </c>
      <c r="K166" s="3">
        <f>IFERROR(VLOOKUP(I166,$A$1:$G$1610,7,FALSE),K165)</f>
        <v>-10.183837101132559</v>
      </c>
      <c r="L166" s="5">
        <f t="shared" si="9"/>
        <v>1</v>
      </c>
    </row>
    <row r="167" spans="1:12" x14ac:dyDescent="0.25">
      <c r="A167" s="2">
        <v>44062</v>
      </c>
      <c r="B167" s="3">
        <v>22.54</v>
      </c>
      <c r="C167" s="3">
        <f t="shared" si="10"/>
        <v>22.54</v>
      </c>
      <c r="D167" s="3">
        <v>3374.85</v>
      </c>
      <c r="E167" s="3">
        <f t="shared" si="11"/>
        <v>3374.85</v>
      </c>
      <c r="F167" s="3">
        <f>MAX($E$2:E167)</f>
        <v>3389.78</v>
      </c>
      <c r="G167" s="3">
        <f t="shared" si="8"/>
        <v>-0.44044156257929096</v>
      </c>
      <c r="I167" s="2">
        <v>43996</v>
      </c>
      <c r="J167" s="3">
        <f>IFERROR(VLOOKUP(I167,$A$1:$G$1610,3,FALSE),J166)</f>
        <v>36.090000000000003</v>
      </c>
      <c r="K167" s="3">
        <f>IFERROR(VLOOKUP(I167,$A$1:$G$1610,7,FALSE),K166)</f>
        <v>-10.183837101132559</v>
      </c>
      <c r="L167" s="5">
        <f t="shared" si="9"/>
        <v>1</v>
      </c>
    </row>
    <row r="168" spans="1:12" x14ac:dyDescent="0.25">
      <c r="A168" s="2">
        <v>44063</v>
      </c>
      <c r="B168" s="3">
        <v>22.72</v>
      </c>
      <c r="C168" s="3">
        <f t="shared" si="10"/>
        <v>22.72</v>
      </c>
      <c r="D168" s="3">
        <v>3385.51</v>
      </c>
      <c r="E168" s="3">
        <f t="shared" si="11"/>
        <v>3385.51</v>
      </c>
      <c r="F168" s="3">
        <f>MAX($E$2:E168)</f>
        <v>3389.78</v>
      </c>
      <c r="G168" s="3">
        <f t="shared" si="8"/>
        <v>-0.12596687690646535</v>
      </c>
      <c r="I168" s="2">
        <v>43997</v>
      </c>
      <c r="J168" s="3">
        <f>IFERROR(VLOOKUP(I168,$A$1:$G$1610,3,FALSE),J167)</f>
        <v>34.4</v>
      </c>
      <c r="K168" s="3">
        <f>IFERROR(VLOOKUP(I168,$A$1:$G$1610,7,FALSE),K167)</f>
        <v>-9.4372665121155279</v>
      </c>
      <c r="L168" s="5">
        <f t="shared" si="9"/>
        <v>1</v>
      </c>
    </row>
    <row r="169" spans="1:12" x14ac:dyDescent="0.25">
      <c r="A169" s="2">
        <v>44064</v>
      </c>
      <c r="B169" s="3">
        <v>22.54</v>
      </c>
      <c r="C169" s="3">
        <f t="shared" si="10"/>
        <v>22.54</v>
      </c>
      <c r="D169" s="3">
        <v>3397.16</v>
      </c>
      <c r="E169" s="3">
        <f t="shared" si="11"/>
        <v>3397.16</v>
      </c>
      <c r="F169" s="3">
        <f>MAX($E$2:E169)</f>
        <v>3397.16</v>
      </c>
      <c r="G169" s="3">
        <f t="shared" si="8"/>
        <v>0</v>
      </c>
      <c r="I169" s="2">
        <v>43998</v>
      </c>
      <c r="J169" s="3">
        <f>IFERROR(VLOOKUP(I169,$A$1:$G$1610,3,FALSE),J168)</f>
        <v>33.67</v>
      </c>
      <c r="K169" s="3">
        <f>IFERROR(VLOOKUP(I169,$A$1:$G$1610,7,FALSE),K168)</f>
        <v>-7.7199769649897467</v>
      </c>
      <c r="L169" s="5">
        <f t="shared" si="9"/>
        <v>1</v>
      </c>
    </row>
    <row r="170" spans="1:12" x14ac:dyDescent="0.25">
      <c r="A170" s="2">
        <v>44067</v>
      </c>
      <c r="B170" s="3">
        <v>22.37</v>
      </c>
      <c r="C170" s="3">
        <f t="shared" si="10"/>
        <v>22.37</v>
      </c>
      <c r="D170" s="3">
        <v>3431.28</v>
      </c>
      <c r="E170" s="3">
        <f t="shared" si="11"/>
        <v>3431.28</v>
      </c>
      <c r="F170" s="3">
        <f>MAX($E$2:E170)</f>
        <v>3431.28</v>
      </c>
      <c r="G170" s="3">
        <f t="shared" si="8"/>
        <v>0</v>
      </c>
      <c r="I170" s="2">
        <v>43999</v>
      </c>
      <c r="J170" s="3">
        <f>IFERROR(VLOOKUP(I170,$A$1:$G$1610,3,FALSE),J169)</f>
        <v>33.47</v>
      </c>
      <c r="K170" s="3">
        <f>IFERROR(VLOOKUP(I170,$A$1:$G$1610,7,FALSE),K169)</f>
        <v>-8.0522126899280977</v>
      </c>
      <c r="L170" s="5">
        <f t="shared" si="9"/>
        <v>1</v>
      </c>
    </row>
    <row r="171" spans="1:12" x14ac:dyDescent="0.25">
      <c r="A171" s="2">
        <v>44068</v>
      </c>
      <c r="B171" s="3">
        <v>22.03</v>
      </c>
      <c r="C171" s="3">
        <f t="shared" si="10"/>
        <v>22.03</v>
      </c>
      <c r="D171" s="3">
        <v>3443.62</v>
      </c>
      <c r="E171" s="3">
        <f t="shared" si="11"/>
        <v>3443.62</v>
      </c>
      <c r="F171" s="3">
        <f>MAX($E$2:E171)</f>
        <v>3443.62</v>
      </c>
      <c r="G171" s="3">
        <f t="shared" si="8"/>
        <v>0</v>
      </c>
      <c r="I171" s="2">
        <v>44000</v>
      </c>
      <c r="J171" s="3">
        <f>IFERROR(VLOOKUP(I171,$A$1:$G$1610,3,FALSE),J170)</f>
        <v>32.94</v>
      </c>
      <c r="K171" s="3">
        <f>IFERROR(VLOOKUP(I171,$A$1:$G$1610,7,FALSE),K170)</f>
        <v>-7.9975783707160035</v>
      </c>
      <c r="L171" s="5">
        <f t="shared" si="9"/>
        <v>1</v>
      </c>
    </row>
    <row r="172" spans="1:12" x14ac:dyDescent="0.25">
      <c r="A172" s="2">
        <v>44069</v>
      </c>
      <c r="B172" s="3">
        <v>23.27</v>
      </c>
      <c r="C172" s="3">
        <f t="shared" si="10"/>
        <v>23.27</v>
      </c>
      <c r="D172" s="3">
        <v>3478.73</v>
      </c>
      <c r="E172" s="3">
        <f t="shared" si="11"/>
        <v>3478.73</v>
      </c>
      <c r="F172" s="3">
        <f>MAX($E$2:E172)</f>
        <v>3478.73</v>
      </c>
      <c r="G172" s="3">
        <f t="shared" si="8"/>
        <v>0</v>
      </c>
      <c r="I172" s="2">
        <v>44001</v>
      </c>
      <c r="J172" s="3">
        <f>IFERROR(VLOOKUP(I172,$A$1:$G$1610,3,FALSE),J171)</f>
        <v>35.119999999999997</v>
      </c>
      <c r="K172" s="3">
        <f>IFERROR(VLOOKUP(I172,$A$1:$G$1610,7,FALSE),K171)</f>
        <v>-8.5173427048417913</v>
      </c>
      <c r="L172" s="5">
        <f t="shared" si="9"/>
        <v>1</v>
      </c>
    </row>
    <row r="173" spans="1:12" x14ac:dyDescent="0.25">
      <c r="A173" s="2">
        <v>44070</v>
      </c>
      <c r="B173" s="3">
        <v>24.47</v>
      </c>
      <c r="C173" s="3">
        <f t="shared" si="10"/>
        <v>24.47</v>
      </c>
      <c r="D173" s="3">
        <v>3484.55</v>
      </c>
      <c r="E173" s="3">
        <f t="shared" si="11"/>
        <v>3484.55</v>
      </c>
      <c r="F173" s="3">
        <f>MAX($E$2:E173)</f>
        <v>3484.55</v>
      </c>
      <c r="G173" s="3">
        <f t="shared" si="8"/>
        <v>0</v>
      </c>
      <c r="I173" s="2">
        <v>44002</v>
      </c>
      <c r="J173" s="3">
        <f>IFERROR(VLOOKUP(I173,$A$1:$G$1610,3,FALSE),J172)</f>
        <v>35.119999999999997</v>
      </c>
      <c r="K173" s="3">
        <f>IFERROR(VLOOKUP(I173,$A$1:$G$1610,7,FALSE),K172)</f>
        <v>-8.5173427048417913</v>
      </c>
      <c r="L173" s="5">
        <f t="shared" si="9"/>
        <v>1</v>
      </c>
    </row>
    <row r="174" spans="1:12" x14ac:dyDescent="0.25">
      <c r="A174" s="2">
        <v>44071</v>
      </c>
      <c r="B174" s="3">
        <v>22.96</v>
      </c>
      <c r="C174" s="3">
        <f t="shared" si="10"/>
        <v>22.96</v>
      </c>
      <c r="D174" s="3">
        <v>3508.01</v>
      </c>
      <c r="E174" s="3">
        <f t="shared" si="11"/>
        <v>3508.01</v>
      </c>
      <c r="F174" s="3">
        <f>MAX($E$2:E174)</f>
        <v>3508.01</v>
      </c>
      <c r="G174" s="3">
        <f t="shared" si="8"/>
        <v>0</v>
      </c>
      <c r="I174" s="2">
        <v>44003</v>
      </c>
      <c r="J174" s="3">
        <f>IFERROR(VLOOKUP(I174,$A$1:$G$1610,3,FALSE),J173)</f>
        <v>35.119999999999997</v>
      </c>
      <c r="K174" s="3">
        <f>IFERROR(VLOOKUP(I174,$A$1:$G$1610,7,FALSE),K173)</f>
        <v>-8.5173427048417913</v>
      </c>
      <c r="L174" s="5">
        <f t="shared" si="9"/>
        <v>1</v>
      </c>
    </row>
    <row r="175" spans="1:12" x14ac:dyDescent="0.25">
      <c r="A175" s="2">
        <v>44074</v>
      </c>
      <c r="B175" s="3">
        <v>26.41</v>
      </c>
      <c r="C175" s="3">
        <f t="shared" si="10"/>
        <v>26.41</v>
      </c>
      <c r="D175" s="3">
        <v>3500.31</v>
      </c>
      <c r="E175" s="3">
        <f t="shared" si="11"/>
        <v>3500.31</v>
      </c>
      <c r="F175" s="3">
        <f>MAX($E$2:E175)</f>
        <v>3508.01</v>
      </c>
      <c r="G175" s="3">
        <f t="shared" si="8"/>
        <v>-0.21949766391772749</v>
      </c>
      <c r="I175" s="2">
        <v>44004</v>
      </c>
      <c r="J175" s="3">
        <f>IFERROR(VLOOKUP(I175,$A$1:$G$1610,3,FALSE),J174)</f>
        <v>31.77</v>
      </c>
      <c r="K175" s="3">
        <f>IFERROR(VLOOKUP(I175,$A$1:$G$1610,7,FALSE),K174)</f>
        <v>-7.9231575683298123</v>
      </c>
      <c r="L175" s="5">
        <f t="shared" si="9"/>
        <v>1</v>
      </c>
    </row>
    <row r="176" spans="1:12" x14ac:dyDescent="0.25">
      <c r="A176" s="2">
        <v>44075</v>
      </c>
      <c r="B176" s="3">
        <v>26.12</v>
      </c>
      <c r="C176" s="3">
        <f t="shared" si="10"/>
        <v>26.12</v>
      </c>
      <c r="D176" s="3">
        <v>3526.65</v>
      </c>
      <c r="E176" s="3">
        <f t="shared" si="11"/>
        <v>3526.65</v>
      </c>
      <c r="F176" s="3">
        <f>MAX($E$2:E176)</f>
        <v>3526.65</v>
      </c>
      <c r="G176" s="3">
        <f t="shared" si="8"/>
        <v>0</v>
      </c>
      <c r="I176" s="2">
        <v>44005</v>
      </c>
      <c r="J176" s="3">
        <f>IFERROR(VLOOKUP(I176,$A$1:$G$1610,3,FALSE),J175)</f>
        <v>31.37</v>
      </c>
      <c r="K176" s="3">
        <f>IFERROR(VLOOKUP(I176,$A$1:$G$1610,7,FALSE),K175)</f>
        <v>-7.5265419429145233</v>
      </c>
      <c r="L176" s="5">
        <f t="shared" si="9"/>
        <v>1</v>
      </c>
    </row>
    <row r="177" spans="1:12" x14ac:dyDescent="0.25">
      <c r="A177" s="2">
        <v>44076</v>
      </c>
      <c r="B177" s="3">
        <v>26.57</v>
      </c>
      <c r="C177" s="3">
        <f t="shared" si="10"/>
        <v>26.57</v>
      </c>
      <c r="D177" s="3">
        <v>3580.84</v>
      </c>
      <c r="E177" s="3">
        <f t="shared" si="11"/>
        <v>3580.84</v>
      </c>
      <c r="F177" s="3">
        <f>MAX($E$2:E177)</f>
        <v>3580.84</v>
      </c>
      <c r="G177" s="3">
        <f t="shared" si="8"/>
        <v>0</v>
      </c>
      <c r="I177" s="2">
        <v>44006</v>
      </c>
      <c r="J177" s="3">
        <f>IFERROR(VLOOKUP(I177,$A$1:$G$1610,3,FALSE),J176)</f>
        <v>33.840000000000003</v>
      </c>
      <c r="K177" s="3">
        <f>IFERROR(VLOOKUP(I177,$A$1:$G$1610,7,FALSE),K176)</f>
        <v>-9.9174578798930995</v>
      </c>
      <c r="L177" s="5">
        <f t="shared" si="9"/>
        <v>1</v>
      </c>
    </row>
    <row r="178" spans="1:12" x14ac:dyDescent="0.25">
      <c r="A178" s="2">
        <v>44077</v>
      </c>
      <c r="B178" s="3">
        <v>33.6</v>
      </c>
      <c r="C178" s="3">
        <f t="shared" si="10"/>
        <v>33.6</v>
      </c>
      <c r="D178" s="3">
        <v>3455.06</v>
      </c>
      <c r="E178" s="3">
        <f t="shared" si="11"/>
        <v>3455.06</v>
      </c>
      <c r="F178" s="3">
        <f>MAX($E$2:E178)</f>
        <v>3580.84</v>
      </c>
      <c r="G178" s="3">
        <f t="shared" si="8"/>
        <v>-3.5125836395929499</v>
      </c>
      <c r="I178" s="2">
        <v>44007</v>
      </c>
      <c r="J178" s="3">
        <f>IFERROR(VLOOKUP(I178,$A$1:$G$1610,3,FALSE),J177)</f>
        <v>32.22</v>
      </c>
      <c r="K178" s="3">
        <f>IFERROR(VLOOKUP(I178,$A$1:$G$1610,7,FALSE),K177)</f>
        <v>-8.9302009656985035</v>
      </c>
      <c r="L178" s="5">
        <f t="shared" si="9"/>
        <v>1</v>
      </c>
    </row>
    <row r="179" spans="1:12" x14ac:dyDescent="0.25">
      <c r="A179" s="2">
        <v>44078</v>
      </c>
      <c r="B179" s="3">
        <v>30.75</v>
      </c>
      <c r="C179" s="3">
        <f t="shared" si="10"/>
        <v>30.75</v>
      </c>
      <c r="D179" s="3">
        <v>3426.96</v>
      </c>
      <c r="E179" s="3">
        <f t="shared" si="11"/>
        <v>3426.96</v>
      </c>
      <c r="F179" s="3">
        <f>MAX($E$2:E179)</f>
        <v>3580.84</v>
      </c>
      <c r="G179" s="3">
        <f t="shared" si="8"/>
        <v>-4.2973157136314413</v>
      </c>
      <c r="I179" s="2">
        <v>44008</v>
      </c>
      <c r="J179" s="3">
        <f>IFERROR(VLOOKUP(I179,$A$1:$G$1610,3,FALSE),J178)</f>
        <v>34.729999999999997</v>
      </c>
      <c r="K179" s="3">
        <f>IFERROR(VLOOKUP(I179,$A$1:$G$1610,7,FALSE),K178)</f>
        <v>-11.13654149993355</v>
      </c>
      <c r="L179" s="5">
        <f t="shared" si="9"/>
        <v>1</v>
      </c>
    </row>
    <row r="180" spans="1:12" x14ac:dyDescent="0.25">
      <c r="A180" s="2">
        <v>44081</v>
      </c>
      <c r="C180" s="3">
        <f t="shared" si="10"/>
        <v>30.75</v>
      </c>
      <c r="E180" s="3">
        <f t="shared" si="11"/>
        <v>3426.96</v>
      </c>
      <c r="F180" s="3">
        <f>MAX($E$2:E180)</f>
        <v>3580.84</v>
      </c>
      <c r="G180" s="3">
        <f t="shared" si="8"/>
        <v>-4.2973157136314413</v>
      </c>
      <c r="I180" s="2">
        <v>44009</v>
      </c>
      <c r="J180" s="3">
        <f>IFERROR(VLOOKUP(I180,$A$1:$G$1610,3,FALSE),J179)</f>
        <v>34.729999999999997</v>
      </c>
      <c r="K180" s="3">
        <f>IFERROR(VLOOKUP(I180,$A$1:$G$1610,7,FALSE),K179)</f>
        <v>-11.13654149993355</v>
      </c>
      <c r="L180" s="5">
        <f t="shared" si="9"/>
        <v>1</v>
      </c>
    </row>
    <row r="181" spans="1:12" x14ac:dyDescent="0.25">
      <c r="A181" s="2">
        <v>44082</v>
      </c>
      <c r="B181" s="3">
        <v>31.46</v>
      </c>
      <c r="C181" s="3">
        <f t="shared" si="10"/>
        <v>31.46</v>
      </c>
      <c r="D181" s="3">
        <v>3331.84</v>
      </c>
      <c r="E181" s="3">
        <f t="shared" si="11"/>
        <v>3331.84</v>
      </c>
      <c r="F181" s="3">
        <f>MAX($E$2:E181)</f>
        <v>3580.84</v>
      </c>
      <c r="G181" s="3">
        <f t="shared" si="8"/>
        <v>-6.9536756738642334</v>
      </c>
      <c r="I181" s="2">
        <v>44010</v>
      </c>
      <c r="J181" s="3">
        <f>IFERROR(VLOOKUP(I181,$A$1:$G$1610,3,FALSE),J180)</f>
        <v>34.729999999999997</v>
      </c>
      <c r="K181" s="3">
        <f>IFERROR(VLOOKUP(I181,$A$1:$G$1610,7,FALSE),K180)</f>
        <v>-11.13654149993355</v>
      </c>
      <c r="L181" s="5">
        <f t="shared" si="9"/>
        <v>1</v>
      </c>
    </row>
    <row r="182" spans="1:12" x14ac:dyDescent="0.25">
      <c r="A182" s="2">
        <v>44083</v>
      </c>
      <c r="B182" s="3">
        <v>28.81</v>
      </c>
      <c r="C182" s="3">
        <f t="shared" si="10"/>
        <v>28.81</v>
      </c>
      <c r="D182" s="3">
        <v>3398.96</v>
      </c>
      <c r="E182" s="3">
        <f t="shared" si="11"/>
        <v>3398.96</v>
      </c>
      <c r="F182" s="3">
        <f>MAX($E$2:E182)</f>
        <v>3580.84</v>
      </c>
      <c r="G182" s="3">
        <f t="shared" si="8"/>
        <v>-5.0792551468370579</v>
      </c>
      <c r="I182" s="2">
        <v>44011</v>
      </c>
      <c r="J182" s="3">
        <f>IFERROR(VLOOKUP(I182,$A$1:$G$1610,3,FALSE),J181)</f>
        <v>31.78</v>
      </c>
      <c r="K182" s="3">
        <f>IFERROR(VLOOKUP(I182,$A$1:$G$1610,7,FALSE),K181)</f>
        <v>-9.8315195723757167</v>
      </c>
      <c r="L182" s="5">
        <f t="shared" si="9"/>
        <v>1</v>
      </c>
    </row>
    <row r="183" spans="1:12" x14ac:dyDescent="0.25">
      <c r="A183" s="2">
        <v>44084</v>
      </c>
      <c r="B183" s="3">
        <v>29.71</v>
      </c>
      <c r="C183" s="3">
        <f t="shared" si="10"/>
        <v>29.71</v>
      </c>
      <c r="D183" s="3">
        <v>3339.19</v>
      </c>
      <c r="E183" s="3">
        <f t="shared" si="11"/>
        <v>3339.19</v>
      </c>
      <c r="F183" s="3">
        <f>MAX($E$2:E183)</f>
        <v>3580.84</v>
      </c>
      <c r="G183" s="3">
        <f t="shared" si="8"/>
        <v>-6.748416572647761</v>
      </c>
      <c r="I183" s="2">
        <v>44012</v>
      </c>
      <c r="J183" s="3">
        <f>IFERROR(VLOOKUP(I183,$A$1:$G$1610,3,FALSE),J182)</f>
        <v>30.43</v>
      </c>
      <c r="K183" s="3">
        <f>IFERROR(VLOOKUP(I183,$A$1:$G$1610,7,FALSE),K182)</f>
        <v>-8.442035940522425</v>
      </c>
      <c r="L183" s="5">
        <f t="shared" si="9"/>
        <v>1</v>
      </c>
    </row>
    <row r="184" spans="1:12" x14ac:dyDescent="0.25">
      <c r="A184" s="2">
        <v>44085</v>
      </c>
      <c r="B184" s="3">
        <v>26.87</v>
      </c>
      <c r="C184" s="3">
        <f t="shared" si="10"/>
        <v>26.87</v>
      </c>
      <c r="D184" s="3">
        <v>3340.97</v>
      </c>
      <c r="E184" s="3">
        <f t="shared" si="11"/>
        <v>3340.97</v>
      </c>
      <c r="F184" s="3">
        <f>MAX($E$2:E184)</f>
        <v>3580.84</v>
      </c>
      <c r="G184" s="3">
        <f t="shared" si="8"/>
        <v>-6.6987075658225539</v>
      </c>
      <c r="I184" s="2">
        <v>44013</v>
      </c>
      <c r="J184" s="3">
        <f>IFERROR(VLOOKUP(I184,$A$1:$G$1610,3,FALSE),J183)</f>
        <v>28.62</v>
      </c>
      <c r="K184" s="3">
        <f>IFERROR(VLOOKUP(I184,$A$1:$G$1610,7,FALSE),K183)</f>
        <v>-7.9822216972077422</v>
      </c>
      <c r="L184" s="5">
        <f t="shared" si="9"/>
        <v>0</v>
      </c>
    </row>
    <row r="185" spans="1:12" x14ac:dyDescent="0.25">
      <c r="A185" s="2">
        <v>44088</v>
      </c>
      <c r="B185" s="3">
        <v>25.85</v>
      </c>
      <c r="C185" s="3">
        <f t="shared" si="10"/>
        <v>25.85</v>
      </c>
      <c r="D185" s="3">
        <v>3383.54</v>
      </c>
      <c r="E185" s="3">
        <f t="shared" si="11"/>
        <v>3383.54</v>
      </c>
      <c r="F185" s="3">
        <f>MAX($E$2:E185)</f>
        <v>3580.84</v>
      </c>
      <c r="G185" s="3">
        <f t="shared" si="8"/>
        <v>-5.509880363266725</v>
      </c>
      <c r="I185" s="2">
        <v>44014</v>
      </c>
      <c r="J185" s="3">
        <f>IFERROR(VLOOKUP(I185,$A$1:$G$1610,3,FALSE),J184)</f>
        <v>27.68</v>
      </c>
      <c r="K185" s="3">
        <f>IFERROR(VLOOKUP(I185,$A$1:$G$1610,7,FALSE),K184)</f>
        <v>-7.5643429853963902</v>
      </c>
      <c r="L185" s="5">
        <f t="shared" si="9"/>
        <v>0</v>
      </c>
    </row>
    <row r="186" spans="1:12" x14ac:dyDescent="0.25">
      <c r="A186" s="2">
        <v>44089</v>
      </c>
      <c r="B186" s="3">
        <v>25.59</v>
      </c>
      <c r="C186" s="3">
        <f t="shared" si="10"/>
        <v>25.59</v>
      </c>
      <c r="D186" s="3">
        <v>3401.2</v>
      </c>
      <c r="E186" s="3">
        <f t="shared" si="11"/>
        <v>3401.2</v>
      </c>
      <c r="F186" s="3">
        <f>MAX($E$2:E186)</f>
        <v>3580.84</v>
      </c>
      <c r="G186" s="3">
        <f t="shared" si="8"/>
        <v>-5.016699992180615</v>
      </c>
      <c r="I186" s="2">
        <v>44015</v>
      </c>
      <c r="J186" s="3">
        <f>IFERROR(VLOOKUP(I186,$A$1:$G$1610,3,FALSE),J185)</f>
        <v>27.68</v>
      </c>
      <c r="K186" s="3">
        <f>IFERROR(VLOOKUP(I186,$A$1:$G$1610,7,FALSE),K185)</f>
        <v>-7.5643429853963902</v>
      </c>
      <c r="L186" s="5">
        <f t="shared" si="9"/>
        <v>0</v>
      </c>
    </row>
    <row r="187" spans="1:12" x14ac:dyDescent="0.25">
      <c r="A187" s="2">
        <v>44090</v>
      </c>
      <c r="B187" s="3">
        <v>26.04</v>
      </c>
      <c r="C187" s="3">
        <f t="shared" si="10"/>
        <v>26.04</v>
      </c>
      <c r="D187" s="3">
        <v>3385.49</v>
      </c>
      <c r="E187" s="3">
        <f t="shared" si="11"/>
        <v>3385.49</v>
      </c>
      <c r="F187" s="3">
        <f>MAX($E$2:E187)</f>
        <v>3580.84</v>
      </c>
      <c r="G187" s="3">
        <f t="shared" si="8"/>
        <v>-5.4554238670256234</v>
      </c>
      <c r="I187" s="2">
        <v>44016</v>
      </c>
      <c r="J187" s="3">
        <f>IFERROR(VLOOKUP(I187,$A$1:$G$1610,3,FALSE),J186)</f>
        <v>27.68</v>
      </c>
      <c r="K187" s="3">
        <f>IFERROR(VLOOKUP(I187,$A$1:$G$1610,7,FALSE),K186)</f>
        <v>-7.5643429853963902</v>
      </c>
      <c r="L187" s="5">
        <f t="shared" si="9"/>
        <v>0</v>
      </c>
    </row>
    <row r="188" spans="1:12" x14ac:dyDescent="0.25">
      <c r="A188" s="2">
        <v>44091</v>
      </c>
      <c r="B188" s="3">
        <v>26.46</v>
      </c>
      <c r="C188" s="3">
        <f t="shared" si="10"/>
        <v>26.46</v>
      </c>
      <c r="D188" s="3">
        <v>3357.01</v>
      </c>
      <c r="E188" s="3">
        <f t="shared" si="11"/>
        <v>3357.01</v>
      </c>
      <c r="F188" s="3">
        <f>MAX($E$2:E188)</f>
        <v>3580.84</v>
      </c>
      <c r="G188" s="3">
        <f t="shared" si="8"/>
        <v>-6.2507679762290396</v>
      </c>
      <c r="I188" s="2">
        <v>44017</v>
      </c>
      <c r="J188" s="3">
        <f>IFERROR(VLOOKUP(I188,$A$1:$G$1610,3,FALSE),J187)</f>
        <v>27.68</v>
      </c>
      <c r="K188" s="3">
        <f>IFERROR(VLOOKUP(I188,$A$1:$G$1610,7,FALSE),K187)</f>
        <v>-7.5643429853963902</v>
      </c>
      <c r="L188" s="5">
        <f t="shared" si="9"/>
        <v>0</v>
      </c>
    </row>
    <row r="189" spans="1:12" x14ac:dyDescent="0.25">
      <c r="A189" s="2">
        <v>44092</v>
      </c>
      <c r="B189" s="3">
        <v>25.83</v>
      </c>
      <c r="C189" s="3">
        <f t="shared" si="10"/>
        <v>25.83</v>
      </c>
      <c r="D189" s="3">
        <v>3319.47</v>
      </c>
      <c r="E189" s="3">
        <f t="shared" si="11"/>
        <v>3319.47</v>
      </c>
      <c r="F189" s="3">
        <f>MAX($E$2:E189)</f>
        <v>3580.84</v>
      </c>
      <c r="G189" s="3">
        <f t="shared" si="8"/>
        <v>-7.2991253448911522</v>
      </c>
      <c r="I189" s="2">
        <v>44018</v>
      </c>
      <c r="J189" s="3">
        <f>IFERROR(VLOOKUP(I189,$A$1:$G$1610,3,FALSE),J188)</f>
        <v>27.94</v>
      </c>
      <c r="K189" s="3">
        <f>IFERROR(VLOOKUP(I189,$A$1:$G$1610,7,FALSE),K188)</f>
        <v>-6.0963040621354718</v>
      </c>
      <c r="L189" s="5">
        <f t="shared" si="9"/>
        <v>0</v>
      </c>
    </row>
    <row r="190" spans="1:12" x14ac:dyDescent="0.25">
      <c r="A190" s="2">
        <v>44095</v>
      </c>
      <c r="B190" s="3">
        <v>27.78</v>
      </c>
      <c r="C190" s="3">
        <f t="shared" si="10"/>
        <v>27.78</v>
      </c>
      <c r="D190" s="3">
        <v>3281.06</v>
      </c>
      <c r="E190" s="3">
        <f t="shared" si="11"/>
        <v>3281.06</v>
      </c>
      <c r="F190" s="3">
        <f>MAX($E$2:E190)</f>
        <v>3580.84</v>
      </c>
      <c r="G190" s="3">
        <f t="shared" si="8"/>
        <v>-8.3717786887992816</v>
      </c>
      <c r="I190" s="2">
        <v>44019</v>
      </c>
      <c r="J190" s="3">
        <f>IFERROR(VLOOKUP(I190,$A$1:$G$1610,3,FALSE),J189)</f>
        <v>29.43</v>
      </c>
      <c r="K190" s="3">
        <f>IFERROR(VLOOKUP(I190,$A$1:$G$1610,7,FALSE),K189)</f>
        <v>-7.1122070788358442</v>
      </c>
      <c r="L190" s="5">
        <f t="shared" si="9"/>
        <v>0</v>
      </c>
    </row>
    <row r="191" spans="1:12" x14ac:dyDescent="0.25">
      <c r="A191" s="2">
        <v>44096</v>
      </c>
      <c r="B191" s="3">
        <v>26.86</v>
      </c>
      <c r="C191" s="3">
        <f t="shared" si="10"/>
        <v>26.86</v>
      </c>
      <c r="D191" s="3">
        <v>3315.57</v>
      </c>
      <c r="E191" s="3">
        <f t="shared" si="11"/>
        <v>3315.57</v>
      </c>
      <c r="F191" s="3">
        <f>MAX($E$2:E191)</f>
        <v>3580.84</v>
      </c>
      <c r="G191" s="3">
        <f t="shared" si="8"/>
        <v>-7.4080383373733527</v>
      </c>
      <c r="I191" s="2">
        <v>44020</v>
      </c>
      <c r="J191" s="3">
        <f>IFERROR(VLOOKUP(I191,$A$1:$G$1610,3,FALSE),J190)</f>
        <v>28.08</v>
      </c>
      <c r="K191" s="3">
        <f>IFERROR(VLOOKUP(I191,$A$1:$G$1610,7,FALSE),K190)</f>
        <v>-6.3851276523485376</v>
      </c>
      <c r="L191" s="5">
        <f t="shared" si="9"/>
        <v>0</v>
      </c>
    </row>
    <row r="192" spans="1:12" x14ac:dyDescent="0.25">
      <c r="A192" s="2">
        <v>44097</v>
      </c>
      <c r="B192" s="3">
        <v>28.58</v>
      </c>
      <c r="C192" s="3">
        <f t="shared" si="10"/>
        <v>28.58</v>
      </c>
      <c r="D192" s="3">
        <v>3236.92</v>
      </c>
      <c r="E192" s="3">
        <f t="shared" si="11"/>
        <v>3236.92</v>
      </c>
      <c r="F192" s="3">
        <f>MAX($E$2:E192)</f>
        <v>3580.84</v>
      </c>
      <c r="G192" s="3">
        <f t="shared" si="8"/>
        <v>-9.6044503524312752</v>
      </c>
      <c r="I192" s="2">
        <v>44021</v>
      </c>
      <c r="J192" s="3">
        <f>IFERROR(VLOOKUP(I192,$A$1:$G$1610,3,FALSE),J191)</f>
        <v>29.26</v>
      </c>
      <c r="K192" s="3">
        <f>IFERROR(VLOOKUP(I192,$A$1:$G$1610,7,FALSE),K191)</f>
        <v>-6.9134562851616108</v>
      </c>
      <c r="L192" s="5">
        <f t="shared" si="9"/>
        <v>0</v>
      </c>
    </row>
    <row r="193" spans="1:12" x14ac:dyDescent="0.25">
      <c r="A193" s="2">
        <v>44098</v>
      </c>
      <c r="B193" s="3">
        <v>28.51</v>
      </c>
      <c r="C193" s="3">
        <f t="shared" si="10"/>
        <v>28.51</v>
      </c>
      <c r="D193" s="3">
        <v>3246.59</v>
      </c>
      <c r="E193" s="3">
        <f t="shared" si="11"/>
        <v>3246.59</v>
      </c>
      <c r="F193" s="3">
        <f>MAX($E$2:E193)</f>
        <v>3580.84</v>
      </c>
      <c r="G193" s="3">
        <f t="shared" si="8"/>
        <v>-9.3344019838920467</v>
      </c>
      <c r="I193" s="2">
        <v>44022</v>
      </c>
      <c r="J193" s="3">
        <f>IFERROR(VLOOKUP(I193,$A$1:$G$1610,3,FALSE),J192)</f>
        <v>27.29</v>
      </c>
      <c r="K193" s="3">
        <f>IFERROR(VLOOKUP(I193,$A$1:$G$1610,7,FALSE),K192)</f>
        <v>-5.9391934793201751</v>
      </c>
      <c r="L193" s="5">
        <f t="shared" si="9"/>
        <v>0</v>
      </c>
    </row>
    <row r="194" spans="1:12" x14ac:dyDescent="0.25">
      <c r="A194" s="2">
        <v>44099</v>
      </c>
      <c r="B194" s="3">
        <v>26.38</v>
      </c>
      <c r="C194" s="3">
        <f t="shared" si="10"/>
        <v>26.38</v>
      </c>
      <c r="D194" s="3">
        <v>3298.46</v>
      </c>
      <c r="E194" s="3">
        <f t="shared" si="11"/>
        <v>3298.46</v>
      </c>
      <c r="F194" s="3">
        <f>MAX($E$2:E194)</f>
        <v>3580.84</v>
      </c>
      <c r="G194" s="3">
        <f t="shared" ref="G194:G257" si="12">(E194-F194)/F194*100</f>
        <v>-7.8858591838786465</v>
      </c>
      <c r="I194" s="2">
        <v>44023</v>
      </c>
      <c r="J194" s="3">
        <f>IFERROR(VLOOKUP(I194,$A$1:$G$1610,3,FALSE),J193)</f>
        <v>27.29</v>
      </c>
      <c r="K194" s="3">
        <f>IFERROR(VLOOKUP(I194,$A$1:$G$1610,7,FALSE),K193)</f>
        <v>-5.9391934793201751</v>
      </c>
      <c r="L194" s="5">
        <f t="shared" ref="L194:L257" si="13">IF(OR(J194&gt;=30,K194&lt;-10),1,0)</f>
        <v>0</v>
      </c>
    </row>
    <row r="195" spans="1:12" x14ac:dyDescent="0.25">
      <c r="A195" s="2">
        <v>44102</v>
      </c>
      <c r="B195" s="3">
        <v>26.19</v>
      </c>
      <c r="C195" s="3">
        <f t="shared" ref="C195:C258" si="14">IF(B195="",B194,B195)</f>
        <v>26.19</v>
      </c>
      <c r="D195" s="3">
        <v>3351.6</v>
      </c>
      <c r="E195" s="3">
        <f t="shared" si="11"/>
        <v>3351.6</v>
      </c>
      <c r="F195" s="3">
        <f>MAX($E$2:E195)</f>
        <v>3580.84</v>
      </c>
      <c r="G195" s="3">
        <f t="shared" si="12"/>
        <v>-6.4018498452877051</v>
      </c>
      <c r="I195" s="2">
        <v>44024</v>
      </c>
      <c r="J195" s="3">
        <f>IFERROR(VLOOKUP(I195,$A$1:$G$1610,3,FALSE),J194)</f>
        <v>27.29</v>
      </c>
      <c r="K195" s="3">
        <f>IFERROR(VLOOKUP(I195,$A$1:$G$1610,7,FALSE),K194)</f>
        <v>-5.9391934793201751</v>
      </c>
      <c r="L195" s="5">
        <f t="shared" si="13"/>
        <v>0</v>
      </c>
    </row>
    <row r="196" spans="1:12" x14ac:dyDescent="0.25">
      <c r="A196" s="2">
        <v>44103</v>
      </c>
      <c r="B196" s="3">
        <v>26.27</v>
      </c>
      <c r="C196" s="3">
        <f t="shared" si="14"/>
        <v>26.27</v>
      </c>
      <c r="D196" s="3">
        <v>3335.47</v>
      </c>
      <c r="E196" s="3">
        <f t="shared" si="11"/>
        <v>3335.47</v>
      </c>
      <c r="F196" s="3">
        <f>MAX($E$2:E196)</f>
        <v>3580.84</v>
      </c>
      <c r="G196" s="3">
        <f t="shared" si="12"/>
        <v>-6.8523028116308007</v>
      </c>
      <c r="I196" s="2">
        <v>44025</v>
      </c>
      <c r="J196" s="3">
        <f>IFERROR(VLOOKUP(I196,$A$1:$G$1610,3,FALSE),J195)</f>
        <v>32.19</v>
      </c>
      <c r="K196" s="3">
        <f>IFERROR(VLOOKUP(I196,$A$1:$G$1610,7,FALSE),K195)</f>
        <v>-6.8198396408901045</v>
      </c>
      <c r="L196" s="5">
        <f t="shared" si="13"/>
        <v>1</v>
      </c>
    </row>
    <row r="197" spans="1:12" x14ac:dyDescent="0.25">
      <c r="A197" s="2">
        <v>44104</v>
      </c>
      <c r="B197" s="3">
        <v>26.37</v>
      </c>
      <c r="C197" s="3">
        <f t="shared" si="14"/>
        <v>26.37</v>
      </c>
      <c r="D197" s="3">
        <v>3363</v>
      </c>
      <c r="E197" s="3">
        <f t="shared" ref="E197:E260" si="15">IF(D197="",D196,D197)</f>
        <v>3363</v>
      </c>
      <c r="F197" s="3">
        <f>MAX($E$2:E197)</f>
        <v>3580.84</v>
      </c>
      <c r="G197" s="3">
        <f t="shared" si="12"/>
        <v>-6.0834887903397004</v>
      </c>
      <c r="I197" s="2">
        <v>44026</v>
      </c>
      <c r="J197" s="3">
        <f>IFERROR(VLOOKUP(I197,$A$1:$G$1610,3,FALSE),J196)</f>
        <v>29.52</v>
      </c>
      <c r="K197" s="3">
        <f>IFERROR(VLOOKUP(I197,$A$1:$G$1610,7,FALSE),K196)</f>
        <v>-5.5706333151218965</v>
      </c>
      <c r="L197" s="5">
        <f t="shared" si="13"/>
        <v>0</v>
      </c>
    </row>
    <row r="198" spans="1:12" x14ac:dyDescent="0.25">
      <c r="A198" s="2">
        <v>44105</v>
      </c>
      <c r="B198" s="3">
        <v>26.7</v>
      </c>
      <c r="C198" s="3">
        <f t="shared" si="14"/>
        <v>26.7</v>
      </c>
      <c r="D198" s="3">
        <v>3380.8</v>
      </c>
      <c r="E198" s="3">
        <f t="shared" si="15"/>
        <v>3380.8</v>
      </c>
      <c r="F198" s="3">
        <f>MAX($E$2:E198)</f>
        <v>3580.84</v>
      </c>
      <c r="G198" s="3">
        <f t="shared" si="12"/>
        <v>-5.5863987220875533</v>
      </c>
      <c r="I198" s="2">
        <v>44027</v>
      </c>
      <c r="J198" s="3">
        <f>IFERROR(VLOOKUP(I198,$A$1:$G$1610,3,FALSE),J197)</f>
        <v>27.76</v>
      </c>
      <c r="K198" s="3">
        <f>IFERROR(VLOOKUP(I198,$A$1:$G$1610,7,FALSE),K197)</f>
        <v>-4.7130221638143652</v>
      </c>
      <c r="L198" s="5">
        <f t="shared" si="13"/>
        <v>0</v>
      </c>
    </row>
    <row r="199" spans="1:12" x14ac:dyDescent="0.25">
      <c r="A199" s="2">
        <v>44106</v>
      </c>
      <c r="B199" s="3">
        <v>27.63</v>
      </c>
      <c r="C199" s="3">
        <f t="shared" si="14"/>
        <v>27.63</v>
      </c>
      <c r="D199" s="3">
        <v>3348.44</v>
      </c>
      <c r="E199" s="3">
        <f t="shared" si="15"/>
        <v>3348.44</v>
      </c>
      <c r="F199" s="3">
        <f>MAX($E$2:E199)</f>
        <v>3580.84</v>
      </c>
      <c r="G199" s="3">
        <f t="shared" si="12"/>
        <v>-6.4900972956066196</v>
      </c>
      <c r="I199" s="2">
        <v>44028</v>
      </c>
      <c r="J199" s="3">
        <f>IFERROR(VLOOKUP(I199,$A$1:$G$1610,3,FALSE),J198)</f>
        <v>28</v>
      </c>
      <c r="K199" s="3">
        <f>IFERROR(VLOOKUP(I199,$A$1:$G$1610,7,FALSE),K198)</f>
        <v>-5.0375795519985802</v>
      </c>
      <c r="L199" s="5">
        <f t="shared" si="13"/>
        <v>0</v>
      </c>
    </row>
    <row r="200" spans="1:12" x14ac:dyDescent="0.25">
      <c r="A200" s="2">
        <v>44109</v>
      </c>
      <c r="B200" s="3">
        <v>27.96</v>
      </c>
      <c r="C200" s="3">
        <f t="shared" si="14"/>
        <v>27.96</v>
      </c>
      <c r="D200" s="3">
        <v>3408.63</v>
      </c>
      <c r="E200" s="3">
        <f t="shared" si="15"/>
        <v>3408.63</v>
      </c>
      <c r="F200" s="3">
        <f>MAX($E$2:E200)</f>
        <v>3580.84</v>
      </c>
      <c r="G200" s="3">
        <f t="shared" si="12"/>
        <v>-4.8092067782978303</v>
      </c>
      <c r="I200" s="2">
        <v>44029</v>
      </c>
      <c r="J200" s="3">
        <f>IFERROR(VLOOKUP(I200,$A$1:$G$1610,3,FALSE),J199)</f>
        <v>25.68</v>
      </c>
      <c r="K200" s="3">
        <f>IFERROR(VLOOKUP(I200,$A$1:$G$1610,7,FALSE),K199)</f>
        <v>-4.7670658417376686</v>
      </c>
      <c r="L200" s="5">
        <f t="shared" si="13"/>
        <v>0</v>
      </c>
    </row>
    <row r="201" spans="1:12" x14ac:dyDescent="0.25">
      <c r="A201" s="2">
        <v>44110</v>
      </c>
      <c r="B201" s="3">
        <v>29.48</v>
      </c>
      <c r="C201" s="3">
        <f t="shared" si="14"/>
        <v>29.48</v>
      </c>
      <c r="D201" s="3">
        <v>3360.95</v>
      </c>
      <c r="E201" s="3">
        <f t="shared" si="15"/>
        <v>3360.95</v>
      </c>
      <c r="F201" s="3">
        <f>MAX($E$2:E201)</f>
        <v>3580.84</v>
      </c>
      <c r="G201" s="3">
        <f t="shared" si="12"/>
        <v>-6.1407379274136886</v>
      </c>
      <c r="I201" s="2">
        <v>44030</v>
      </c>
      <c r="J201" s="3">
        <f>IFERROR(VLOOKUP(I201,$A$1:$G$1610,3,FALSE),J200)</f>
        <v>25.68</v>
      </c>
      <c r="K201" s="3">
        <f>IFERROR(VLOOKUP(I201,$A$1:$G$1610,7,FALSE),K200)</f>
        <v>-4.7670658417376686</v>
      </c>
      <c r="L201" s="5">
        <f t="shared" si="13"/>
        <v>0</v>
      </c>
    </row>
    <row r="202" spans="1:12" x14ac:dyDescent="0.25">
      <c r="A202" s="2">
        <v>44111</v>
      </c>
      <c r="B202" s="3">
        <v>28.06</v>
      </c>
      <c r="C202" s="3">
        <f t="shared" si="14"/>
        <v>28.06</v>
      </c>
      <c r="D202" s="3">
        <v>3419.45</v>
      </c>
      <c r="E202" s="3">
        <f t="shared" si="15"/>
        <v>3419.45</v>
      </c>
      <c r="F202" s="3">
        <f>MAX($E$2:E202)</f>
        <v>3580.84</v>
      </c>
      <c r="G202" s="3">
        <f t="shared" si="12"/>
        <v>-4.507043040180525</v>
      </c>
      <c r="I202" s="2">
        <v>44031</v>
      </c>
      <c r="J202" s="3">
        <f>IFERROR(VLOOKUP(I202,$A$1:$G$1610,3,FALSE),J201)</f>
        <v>25.68</v>
      </c>
      <c r="K202" s="3">
        <f>IFERROR(VLOOKUP(I202,$A$1:$G$1610,7,FALSE),K201)</f>
        <v>-4.7670658417376686</v>
      </c>
      <c r="L202" s="5">
        <f t="shared" si="13"/>
        <v>0</v>
      </c>
    </row>
    <row r="203" spans="1:12" x14ac:dyDescent="0.25">
      <c r="A203" s="2">
        <v>44112</v>
      </c>
      <c r="B203" s="3">
        <v>26.36</v>
      </c>
      <c r="C203" s="3">
        <f t="shared" si="14"/>
        <v>26.36</v>
      </c>
      <c r="D203" s="3">
        <v>3446.83</v>
      </c>
      <c r="E203" s="3">
        <f t="shared" si="15"/>
        <v>3446.83</v>
      </c>
      <c r="F203" s="3">
        <f>MAX($E$2:E203)</f>
        <v>3580.84</v>
      </c>
      <c r="G203" s="3">
        <f t="shared" si="12"/>
        <v>-3.7424179801387445</v>
      </c>
      <c r="I203" s="2">
        <v>44032</v>
      </c>
      <c r="J203" s="3">
        <f>IFERROR(VLOOKUP(I203,$A$1:$G$1610,3,FALSE),J202)</f>
        <v>24.46</v>
      </c>
      <c r="K203" s="3">
        <f>IFERROR(VLOOKUP(I203,$A$1:$G$1610,7,FALSE),K202)</f>
        <v>-3.9664515747973348</v>
      </c>
      <c r="L203" s="5">
        <f t="shared" si="13"/>
        <v>0</v>
      </c>
    </row>
    <row r="204" spans="1:12" x14ac:dyDescent="0.25">
      <c r="A204" s="2">
        <v>44113</v>
      </c>
      <c r="B204" s="3">
        <v>25</v>
      </c>
      <c r="C204" s="3">
        <f t="shared" si="14"/>
        <v>25</v>
      </c>
      <c r="D204" s="3">
        <v>3477.13</v>
      </c>
      <c r="E204" s="3">
        <f t="shared" si="15"/>
        <v>3477.13</v>
      </c>
      <c r="F204" s="3">
        <f>MAX($E$2:E204)</f>
        <v>3580.84</v>
      </c>
      <c r="G204" s="3">
        <f t="shared" si="12"/>
        <v>-2.8962478077769473</v>
      </c>
      <c r="I204" s="2">
        <v>44033</v>
      </c>
      <c r="J204" s="3">
        <f>IFERROR(VLOOKUP(I204,$A$1:$G$1610,3,FALSE),J203)</f>
        <v>24.84</v>
      </c>
      <c r="K204" s="3">
        <f>IFERROR(VLOOKUP(I204,$A$1:$G$1610,7,FALSE),K203)</f>
        <v>-3.805206502960587</v>
      </c>
      <c r="L204" s="5">
        <f t="shared" si="13"/>
        <v>0</v>
      </c>
    </row>
    <row r="205" spans="1:12" x14ac:dyDescent="0.25">
      <c r="A205" s="2">
        <v>44116</v>
      </c>
      <c r="B205" s="3">
        <v>25.07</v>
      </c>
      <c r="C205" s="3">
        <f t="shared" si="14"/>
        <v>25.07</v>
      </c>
      <c r="D205" s="3">
        <v>3534.22</v>
      </c>
      <c r="E205" s="3">
        <f t="shared" si="15"/>
        <v>3534.22</v>
      </c>
      <c r="F205" s="3">
        <f>MAX($E$2:E205)</f>
        <v>3580.84</v>
      </c>
      <c r="G205" s="3">
        <f t="shared" si="12"/>
        <v>-1.3019291562873612</v>
      </c>
      <c r="I205" s="2">
        <v>44034</v>
      </c>
      <c r="J205" s="3">
        <f>IFERROR(VLOOKUP(I205,$A$1:$G$1610,3,FALSE),J204)</f>
        <v>24.32</v>
      </c>
      <c r="K205" s="3">
        <f>IFERROR(VLOOKUP(I205,$A$1:$G$1610,7,FALSE),K204)</f>
        <v>-3.252366256663175</v>
      </c>
      <c r="L205" s="5">
        <f t="shared" si="13"/>
        <v>0</v>
      </c>
    </row>
    <row r="206" spans="1:12" x14ac:dyDescent="0.25">
      <c r="A206" s="2">
        <v>44117</v>
      </c>
      <c r="B206" s="3">
        <v>26.07</v>
      </c>
      <c r="C206" s="3">
        <f t="shared" si="14"/>
        <v>26.07</v>
      </c>
      <c r="D206" s="3">
        <v>3511.93</v>
      </c>
      <c r="E206" s="3">
        <f t="shared" si="15"/>
        <v>3511.93</v>
      </c>
      <c r="F206" s="3">
        <f>MAX($E$2:E206)</f>
        <v>3580.84</v>
      </c>
      <c r="G206" s="3">
        <f t="shared" si="12"/>
        <v>-1.9244087979356883</v>
      </c>
      <c r="I206" s="2">
        <v>44035</v>
      </c>
      <c r="J206" s="3">
        <f>IFERROR(VLOOKUP(I206,$A$1:$G$1610,3,FALSE),J205)</f>
        <v>26.08</v>
      </c>
      <c r="K206" s="3">
        <f>IFERROR(VLOOKUP(I206,$A$1:$G$1610,7,FALSE),K205)</f>
        <v>-4.4442803774197905</v>
      </c>
      <c r="L206" s="5">
        <f t="shared" si="13"/>
        <v>0</v>
      </c>
    </row>
    <row r="207" spans="1:12" x14ac:dyDescent="0.25">
      <c r="A207" s="2">
        <v>44118</v>
      </c>
      <c r="B207" s="3">
        <v>26.4</v>
      </c>
      <c r="C207" s="3">
        <f t="shared" si="14"/>
        <v>26.4</v>
      </c>
      <c r="D207" s="3">
        <v>3488.67</v>
      </c>
      <c r="E207" s="3">
        <f t="shared" si="15"/>
        <v>3488.67</v>
      </c>
      <c r="F207" s="3">
        <f>MAX($E$2:E207)</f>
        <v>3580.84</v>
      </c>
      <c r="G207" s="3">
        <f t="shared" si="12"/>
        <v>-2.5739770556629189</v>
      </c>
      <c r="I207" s="2">
        <v>44036</v>
      </c>
      <c r="J207" s="3">
        <f>IFERROR(VLOOKUP(I207,$A$1:$G$1610,3,FALSE),J206)</f>
        <v>25.84</v>
      </c>
      <c r="K207" s="3">
        <f>IFERROR(VLOOKUP(I207,$A$1:$G$1610,7,FALSE),K206)</f>
        <v>-5.0358076281322441</v>
      </c>
      <c r="L207" s="5">
        <f t="shared" si="13"/>
        <v>0</v>
      </c>
    </row>
    <row r="208" spans="1:12" x14ac:dyDescent="0.25">
      <c r="A208" s="2">
        <v>44119</v>
      </c>
      <c r="B208" s="3">
        <v>26.97</v>
      </c>
      <c r="C208" s="3">
        <f t="shared" si="14"/>
        <v>26.97</v>
      </c>
      <c r="D208" s="3">
        <v>3483.34</v>
      </c>
      <c r="E208" s="3">
        <f t="shared" si="15"/>
        <v>3483.34</v>
      </c>
      <c r="F208" s="3">
        <f>MAX($E$2:E208)</f>
        <v>3580.84</v>
      </c>
      <c r="G208" s="3">
        <f t="shared" si="12"/>
        <v>-2.7228248120552716</v>
      </c>
      <c r="I208" s="2">
        <v>44037</v>
      </c>
      <c r="J208" s="3">
        <f>IFERROR(VLOOKUP(I208,$A$1:$G$1610,3,FALSE),J207)</f>
        <v>25.84</v>
      </c>
      <c r="K208" s="3">
        <f>IFERROR(VLOOKUP(I208,$A$1:$G$1610,7,FALSE),K207)</f>
        <v>-5.0358076281322441</v>
      </c>
      <c r="L208" s="5">
        <f t="shared" si="13"/>
        <v>0</v>
      </c>
    </row>
    <row r="209" spans="1:12" x14ac:dyDescent="0.25">
      <c r="A209" s="2">
        <v>44120</v>
      </c>
      <c r="B209" s="3">
        <v>27.41</v>
      </c>
      <c r="C209" s="3">
        <f t="shared" si="14"/>
        <v>27.41</v>
      </c>
      <c r="D209" s="3">
        <v>3483.81</v>
      </c>
      <c r="E209" s="3">
        <f t="shared" si="15"/>
        <v>3483.81</v>
      </c>
      <c r="F209" s="3">
        <f>MAX($E$2:E209)</f>
        <v>3580.84</v>
      </c>
      <c r="G209" s="3">
        <f t="shared" si="12"/>
        <v>-2.7096994001407548</v>
      </c>
      <c r="I209" s="2">
        <v>44038</v>
      </c>
      <c r="J209" s="3">
        <f>IFERROR(VLOOKUP(I209,$A$1:$G$1610,3,FALSE),J208)</f>
        <v>25.84</v>
      </c>
      <c r="K209" s="3">
        <f>IFERROR(VLOOKUP(I209,$A$1:$G$1610,7,FALSE),K208)</f>
        <v>-5.0358076281322441</v>
      </c>
      <c r="L209" s="5">
        <f t="shared" si="13"/>
        <v>0</v>
      </c>
    </row>
    <row r="210" spans="1:12" x14ac:dyDescent="0.25">
      <c r="A210" s="2">
        <v>44123</v>
      </c>
      <c r="B210" s="3">
        <v>29.18</v>
      </c>
      <c r="C210" s="3">
        <f t="shared" si="14"/>
        <v>29.18</v>
      </c>
      <c r="D210" s="3">
        <v>3426.92</v>
      </c>
      <c r="E210" s="3">
        <f t="shared" si="15"/>
        <v>3426.92</v>
      </c>
      <c r="F210" s="3">
        <f>MAX($E$2:E210)</f>
        <v>3580.84</v>
      </c>
      <c r="G210" s="3">
        <f t="shared" si="12"/>
        <v>-4.2984327699645917</v>
      </c>
      <c r="I210" s="2">
        <v>44039</v>
      </c>
      <c r="J210" s="3">
        <f>IFERROR(VLOOKUP(I210,$A$1:$G$1610,3,FALSE),J209)</f>
        <v>24.74</v>
      </c>
      <c r="K210" s="3">
        <f>IFERROR(VLOOKUP(I210,$A$1:$G$1610,7,FALSE),K209)</f>
        <v>-4.3335351357736727</v>
      </c>
      <c r="L210" s="5">
        <f t="shared" si="13"/>
        <v>0</v>
      </c>
    </row>
    <row r="211" spans="1:12" x14ac:dyDescent="0.25">
      <c r="A211" s="2">
        <v>44124</v>
      </c>
      <c r="B211" s="3">
        <v>29.35</v>
      </c>
      <c r="C211" s="3">
        <f t="shared" si="14"/>
        <v>29.35</v>
      </c>
      <c r="D211" s="3">
        <v>3443.12</v>
      </c>
      <c r="E211" s="3">
        <f t="shared" si="15"/>
        <v>3443.12</v>
      </c>
      <c r="F211" s="3">
        <f>MAX($E$2:E211)</f>
        <v>3580.84</v>
      </c>
      <c r="G211" s="3">
        <f t="shared" si="12"/>
        <v>-3.8460249550384891</v>
      </c>
      <c r="I211" s="2">
        <v>44040</v>
      </c>
      <c r="J211" s="3">
        <f>IFERROR(VLOOKUP(I211,$A$1:$G$1610,3,FALSE),J210)</f>
        <v>25.44</v>
      </c>
      <c r="K211" s="3">
        <f>IFERROR(VLOOKUP(I211,$A$1:$G$1610,7,FALSE),K210)</f>
        <v>-4.9528225270587551</v>
      </c>
      <c r="L211" s="5">
        <f t="shared" si="13"/>
        <v>0</v>
      </c>
    </row>
    <row r="212" spans="1:12" x14ac:dyDescent="0.25">
      <c r="A212" s="2">
        <v>44125</v>
      </c>
      <c r="B212" s="3">
        <v>28.65</v>
      </c>
      <c r="C212" s="3">
        <f t="shared" si="14"/>
        <v>28.65</v>
      </c>
      <c r="D212" s="3">
        <v>3435.56</v>
      </c>
      <c r="E212" s="3">
        <f t="shared" si="15"/>
        <v>3435.56</v>
      </c>
      <c r="F212" s="3">
        <f>MAX($E$2:E212)</f>
        <v>3580.84</v>
      </c>
      <c r="G212" s="3">
        <f t="shared" si="12"/>
        <v>-4.0571486020040046</v>
      </c>
      <c r="I212" s="2">
        <v>44041</v>
      </c>
      <c r="J212" s="3">
        <f>IFERROR(VLOOKUP(I212,$A$1:$G$1610,3,FALSE),J211)</f>
        <v>24.1</v>
      </c>
      <c r="K212" s="3">
        <f>IFERROR(VLOOKUP(I212,$A$1:$G$1610,7,FALSE),K211)</f>
        <v>-3.7715399495001711</v>
      </c>
      <c r="L212" s="5">
        <f t="shared" si="13"/>
        <v>0</v>
      </c>
    </row>
    <row r="213" spans="1:12" x14ac:dyDescent="0.25">
      <c r="A213" s="2">
        <v>44126</v>
      </c>
      <c r="B213" s="3">
        <v>28.11</v>
      </c>
      <c r="C213" s="3">
        <f t="shared" si="14"/>
        <v>28.11</v>
      </c>
      <c r="D213" s="3">
        <v>3453.49</v>
      </c>
      <c r="E213" s="3">
        <f t="shared" si="15"/>
        <v>3453.49</v>
      </c>
      <c r="F213" s="3">
        <f>MAX($E$2:E213)</f>
        <v>3580.84</v>
      </c>
      <c r="G213" s="3">
        <f t="shared" si="12"/>
        <v>-3.5564281006691267</v>
      </c>
      <c r="I213" s="2">
        <v>44042</v>
      </c>
      <c r="J213" s="3">
        <f>IFERROR(VLOOKUP(I213,$A$1:$G$1610,3,FALSE),J212)</f>
        <v>24.76</v>
      </c>
      <c r="K213" s="3">
        <f>IFERROR(VLOOKUP(I213,$A$1:$G$1610,7,FALSE),K212)</f>
        <v>-4.1324217769443257</v>
      </c>
      <c r="L213" s="5">
        <f t="shared" si="13"/>
        <v>0</v>
      </c>
    </row>
    <row r="214" spans="1:12" x14ac:dyDescent="0.25">
      <c r="A214" s="2">
        <v>44127</v>
      </c>
      <c r="B214" s="3">
        <v>27.55</v>
      </c>
      <c r="C214" s="3">
        <f t="shared" si="14"/>
        <v>27.55</v>
      </c>
      <c r="D214" s="3">
        <v>3465.39</v>
      </c>
      <c r="E214" s="3">
        <f t="shared" si="15"/>
        <v>3465.39</v>
      </c>
      <c r="F214" s="3">
        <f>MAX($E$2:E214)</f>
        <v>3580.84</v>
      </c>
      <c r="G214" s="3">
        <f t="shared" si="12"/>
        <v>-3.2241038415567371</v>
      </c>
      <c r="I214" s="2">
        <v>44043</v>
      </c>
      <c r="J214" s="3">
        <f>IFERROR(VLOOKUP(I214,$A$1:$G$1610,3,FALSE),J213)</f>
        <v>24.46</v>
      </c>
      <c r="K214" s="3">
        <f>IFERROR(VLOOKUP(I214,$A$1:$G$1610,7,FALSE),K213)</f>
        <v>-3.3970733724141042</v>
      </c>
      <c r="L214" s="5">
        <f t="shared" si="13"/>
        <v>0</v>
      </c>
    </row>
    <row r="215" spans="1:12" x14ac:dyDescent="0.25">
      <c r="A215" s="2">
        <v>44130</v>
      </c>
      <c r="B215" s="3">
        <v>32.46</v>
      </c>
      <c r="C215" s="3">
        <f t="shared" si="14"/>
        <v>32.46</v>
      </c>
      <c r="D215" s="3">
        <v>3400.97</v>
      </c>
      <c r="E215" s="3">
        <f t="shared" si="15"/>
        <v>3400.97</v>
      </c>
      <c r="F215" s="3">
        <f>MAX($E$2:E215)</f>
        <v>3580.84</v>
      </c>
      <c r="G215" s="3">
        <f t="shared" si="12"/>
        <v>-5.0231230660962325</v>
      </c>
      <c r="I215" s="2">
        <v>44044</v>
      </c>
      <c r="J215" s="3">
        <f>IFERROR(VLOOKUP(I215,$A$1:$G$1610,3,FALSE),J214)</f>
        <v>24.46</v>
      </c>
      <c r="K215" s="3">
        <f>IFERROR(VLOOKUP(I215,$A$1:$G$1610,7,FALSE),K214)</f>
        <v>-3.3970733724141042</v>
      </c>
      <c r="L215" s="5">
        <f t="shared" si="13"/>
        <v>0</v>
      </c>
    </row>
    <row r="216" spans="1:12" x14ac:dyDescent="0.25">
      <c r="A216" s="2">
        <v>44131</v>
      </c>
      <c r="B216" s="3">
        <v>33.35</v>
      </c>
      <c r="C216" s="3">
        <f t="shared" si="14"/>
        <v>33.35</v>
      </c>
      <c r="D216" s="3">
        <v>3390.68</v>
      </c>
      <c r="E216" s="3">
        <f t="shared" si="15"/>
        <v>3390.68</v>
      </c>
      <c r="F216" s="3">
        <f>MAX($E$2:E216)</f>
        <v>3580.84</v>
      </c>
      <c r="G216" s="3">
        <f t="shared" si="12"/>
        <v>-5.3104858077992958</v>
      </c>
      <c r="I216" s="2">
        <v>44045</v>
      </c>
      <c r="J216" s="3">
        <f>IFERROR(VLOOKUP(I216,$A$1:$G$1610,3,FALSE),J215)</f>
        <v>24.46</v>
      </c>
      <c r="K216" s="3">
        <f>IFERROR(VLOOKUP(I216,$A$1:$G$1610,7,FALSE),K215)</f>
        <v>-3.3970733724141042</v>
      </c>
      <c r="L216" s="5">
        <f t="shared" si="13"/>
        <v>0</v>
      </c>
    </row>
    <row r="217" spans="1:12" x14ac:dyDescent="0.25">
      <c r="A217" s="2">
        <v>44132</v>
      </c>
      <c r="B217" s="3">
        <v>40.28</v>
      </c>
      <c r="C217" s="3">
        <f t="shared" si="14"/>
        <v>40.28</v>
      </c>
      <c r="D217" s="3">
        <v>3271.03</v>
      </c>
      <c r="E217" s="3">
        <f t="shared" si="15"/>
        <v>3271.03</v>
      </c>
      <c r="F217" s="3">
        <f>MAX($E$2:E217)</f>
        <v>3580.84</v>
      </c>
      <c r="G217" s="3">
        <f t="shared" si="12"/>
        <v>-8.6518805643368566</v>
      </c>
      <c r="I217" s="2">
        <v>44046</v>
      </c>
      <c r="J217" s="3">
        <f>IFERROR(VLOOKUP(I217,$A$1:$G$1610,3,FALSE),J216)</f>
        <v>24.28</v>
      </c>
      <c r="K217" s="3">
        <f>IFERROR(VLOOKUP(I217,$A$1:$G$1610,7,FALSE),K216)</f>
        <v>-2.7033651787428186</v>
      </c>
      <c r="L217" s="5">
        <f t="shared" si="13"/>
        <v>0</v>
      </c>
    </row>
    <row r="218" spans="1:12" x14ac:dyDescent="0.25">
      <c r="A218" s="2">
        <v>44133</v>
      </c>
      <c r="B218" s="3">
        <v>37.590000000000003</v>
      </c>
      <c r="C218" s="3">
        <f t="shared" si="14"/>
        <v>37.590000000000003</v>
      </c>
      <c r="D218" s="3">
        <v>3310.11</v>
      </c>
      <c r="E218" s="3">
        <f t="shared" si="15"/>
        <v>3310.11</v>
      </c>
      <c r="F218" s="3">
        <f>MAX($E$2:E218)</f>
        <v>3580.84</v>
      </c>
      <c r="G218" s="3">
        <f t="shared" si="12"/>
        <v>-7.5605165268484491</v>
      </c>
      <c r="I218" s="2">
        <v>44047</v>
      </c>
      <c r="J218" s="3">
        <f>IFERROR(VLOOKUP(I218,$A$1:$G$1610,3,FALSE),J217)</f>
        <v>23.76</v>
      </c>
      <c r="K218" s="3">
        <f>IFERROR(VLOOKUP(I218,$A$1:$G$1610,7,FALSE),K217)</f>
        <v>-2.3519336119191374</v>
      </c>
      <c r="L218" s="5">
        <f t="shared" si="13"/>
        <v>0</v>
      </c>
    </row>
    <row r="219" spans="1:12" x14ac:dyDescent="0.25">
      <c r="A219" s="2">
        <v>44134</v>
      </c>
      <c r="B219" s="3">
        <v>38.020000000000003</v>
      </c>
      <c r="C219" s="3">
        <f t="shared" si="14"/>
        <v>38.020000000000003</v>
      </c>
      <c r="D219" s="3">
        <v>3269.96</v>
      </c>
      <c r="E219" s="3">
        <f t="shared" si="15"/>
        <v>3269.96</v>
      </c>
      <c r="F219" s="3">
        <f>MAX($E$2:E219)</f>
        <v>3580.84</v>
      </c>
      <c r="G219" s="3">
        <f t="shared" si="12"/>
        <v>-8.6817618212486494</v>
      </c>
      <c r="I219" s="2">
        <v>44048</v>
      </c>
      <c r="J219" s="3">
        <f>IFERROR(VLOOKUP(I219,$A$1:$G$1610,3,FALSE),J218)</f>
        <v>22.99</v>
      </c>
      <c r="K219" s="3">
        <f>IFERROR(VLOOKUP(I219,$A$1:$G$1610,7,FALSE),K218)</f>
        <v>-1.7240819219467569</v>
      </c>
      <c r="L219" s="5">
        <f t="shared" si="13"/>
        <v>0</v>
      </c>
    </row>
    <row r="220" spans="1:12" x14ac:dyDescent="0.25">
      <c r="A220" s="2">
        <v>44137</v>
      </c>
      <c r="B220" s="3">
        <v>37.130000000000003</v>
      </c>
      <c r="C220" s="3">
        <f t="shared" si="14"/>
        <v>37.130000000000003</v>
      </c>
      <c r="D220" s="3">
        <v>3310.24</v>
      </c>
      <c r="E220" s="3">
        <f t="shared" si="15"/>
        <v>3310.24</v>
      </c>
      <c r="F220" s="3">
        <f>MAX($E$2:E220)</f>
        <v>3580.84</v>
      </c>
      <c r="G220" s="3">
        <f t="shared" si="12"/>
        <v>-7.5568860937657192</v>
      </c>
      <c r="I220" s="2">
        <v>44049</v>
      </c>
      <c r="J220" s="3">
        <f>IFERROR(VLOOKUP(I220,$A$1:$G$1610,3,FALSE),J219)</f>
        <v>22.65</v>
      </c>
      <c r="K220" s="3">
        <f>IFERROR(VLOOKUP(I220,$A$1:$G$1610,7,FALSE),K219)</f>
        <v>-1.0923910635973078</v>
      </c>
      <c r="L220" s="5">
        <f t="shared" si="13"/>
        <v>0</v>
      </c>
    </row>
    <row r="221" spans="1:12" x14ac:dyDescent="0.25">
      <c r="A221" s="2">
        <v>44138</v>
      </c>
      <c r="B221" s="3">
        <v>35.549999999999997</v>
      </c>
      <c r="C221" s="3">
        <f t="shared" si="14"/>
        <v>35.549999999999997</v>
      </c>
      <c r="D221" s="3">
        <v>3369.16</v>
      </c>
      <c r="E221" s="3">
        <f t="shared" si="15"/>
        <v>3369.16</v>
      </c>
      <c r="F221" s="3">
        <f>MAX($E$2:E221)</f>
        <v>3580.84</v>
      </c>
      <c r="G221" s="3">
        <f t="shared" si="12"/>
        <v>-5.9114621150344693</v>
      </c>
      <c r="I221" s="2">
        <v>44050</v>
      </c>
      <c r="J221" s="3">
        <f>IFERROR(VLOOKUP(I221,$A$1:$G$1610,3,FALSE),J220)</f>
        <v>22.21</v>
      </c>
      <c r="K221" s="3">
        <f>IFERROR(VLOOKUP(I221,$A$1:$G$1610,7,FALSE),K220)</f>
        <v>-1.0297830869866926</v>
      </c>
      <c r="L221" s="5">
        <f t="shared" si="13"/>
        <v>0</v>
      </c>
    </row>
    <row r="222" spans="1:12" x14ac:dyDescent="0.25">
      <c r="A222" s="2">
        <v>44139</v>
      </c>
      <c r="B222" s="3">
        <v>29.57</v>
      </c>
      <c r="C222" s="3">
        <f t="shared" si="14"/>
        <v>29.57</v>
      </c>
      <c r="D222" s="3">
        <v>3443.44</v>
      </c>
      <c r="E222" s="3">
        <f t="shared" si="15"/>
        <v>3443.44</v>
      </c>
      <c r="F222" s="3">
        <f>MAX($E$2:E222)</f>
        <v>3580.84</v>
      </c>
      <c r="G222" s="3">
        <f t="shared" si="12"/>
        <v>-3.8370885043732783</v>
      </c>
      <c r="I222" s="2">
        <v>44051</v>
      </c>
      <c r="J222" s="3">
        <f>IFERROR(VLOOKUP(I222,$A$1:$G$1610,3,FALSE),J221)</f>
        <v>22.21</v>
      </c>
      <c r="K222" s="3">
        <f>IFERROR(VLOOKUP(I222,$A$1:$G$1610,7,FALSE),K221)</f>
        <v>-1.0297830869866926</v>
      </c>
      <c r="L222" s="5">
        <f t="shared" si="13"/>
        <v>0</v>
      </c>
    </row>
    <row r="223" spans="1:12" x14ac:dyDescent="0.25">
      <c r="A223" s="2">
        <v>44140</v>
      </c>
      <c r="B223" s="3">
        <v>27.58</v>
      </c>
      <c r="C223" s="3">
        <f t="shared" si="14"/>
        <v>27.58</v>
      </c>
      <c r="D223" s="3">
        <v>3510.45</v>
      </c>
      <c r="E223" s="3">
        <f t="shared" si="15"/>
        <v>3510.45</v>
      </c>
      <c r="F223" s="3">
        <f>MAX($E$2:E223)</f>
        <v>3580.84</v>
      </c>
      <c r="G223" s="3">
        <f t="shared" si="12"/>
        <v>-1.9657398822622716</v>
      </c>
      <c r="I223" s="2">
        <v>44052</v>
      </c>
      <c r="J223" s="3">
        <f>IFERROR(VLOOKUP(I223,$A$1:$G$1610,3,FALSE),J222)</f>
        <v>22.21</v>
      </c>
      <c r="K223" s="3">
        <f>IFERROR(VLOOKUP(I223,$A$1:$G$1610,7,FALSE),K222)</f>
        <v>-1.0297830869866926</v>
      </c>
      <c r="L223" s="5">
        <f t="shared" si="13"/>
        <v>0</v>
      </c>
    </row>
    <row r="224" spans="1:12" x14ac:dyDescent="0.25">
      <c r="A224" s="2">
        <v>44141</v>
      </c>
      <c r="B224" s="3">
        <v>24.86</v>
      </c>
      <c r="C224" s="3">
        <f t="shared" si="14"/>
        <v>24.86</v>
      </c>
      <c r="D224" s="3">
        <v>3509.44</v>
      </c>
      <c r="E224" s="3">
        <f t="shared" si="15"/>
        <v>3509.44</v>
      </c>
      <c r="F224" s="3">
        <f>MAX($E$2:E224)</f>
        <v>3580.84</v>
      </c>
      <c r="G224" s="3">
        <f t="shared" si="12"/>
        <v>-1.9939455546743245</v>
      </c>
      <c r="I224" s="2">
        <v>44053</v>
      </c>
      <c r="J224" s="3">
        <f>IFERROR(VLOOKUP(I224,$A$1:$G$1610,3,FALSE),J223)</f>
        <v>22.13</v>
      </c>
      <c r="K224" s="3">
        <f>IFERROR(VLOOKUP(I224,$A$1:$G$1610,7,FALSE),K223)</f>
        <v>-0.75838341479261961</v>
      </c>
      <c r="L224" s="5">
        <f t="shared" si="13"/>
        <v>0</v>
      </c>
    </row>
    <row r="225" spans="1:12" x14ac:dyDescent="0.25">
      <c r="A225" s="2">
        <v>44144</v>
      </c>
      <c r="B225" s="3">
        <v>25.75</v>
      </c>
      <c r="C225" s="3">
        <f t="shared" si="14"/>
        <v>25.75</v>
      </c>
      <c r="D225" s="3">
        <v>3550.5</v>
      </c>
      <c r="E225" s="3">
        <f t="shared" si="15"/>
        <v>3550.5</v>
      </c>
      <c r="F225" s="3">
        <f>MAX($E$2:E225)</f>
        <v>3580.84</v>
      </c>
      <c r="G225" s="3">
        <f t="shared" si="12"/>
        <v>-0.8472872286949471</v>
      </c>
      <c r="I225" s="2">
        <v>44054</v>
      </c>
      <c r="J225" s="3">
        <f>IFERROR(VLOOKUP(I225,$A$1:$G$1610,3,FALSE),J224)</f>
        <v>24.03</v>
      </c>
      <c r="K225" s="3">
        <f>IFERROR(VLOOKUP(I225,$A$1:$G$1610,7,FALSE),K224)</f>
        <v>-1.5492521004680844</v>
      </c>
      <c r="L225" s="5">
        <f t="shared" si="13"/>
        <v>0</v>
      </c>
    </row>
    <row r="226" spans="1:12" x14ac:dyDescent="0.25">
      <c r="A226" s="2">
        <v>44145</v>
      </c>
      <c r="B226" s="3">
        <v>24.8</v>
      </c>
      <c r="C226" s="3">
        <f t="shared" si="14"/>
        <v>24.8</v>
      </c>
      <c r="D226" s="3">
        <v>3545.53</v>
      </c>
      <c r="E226" s="3">
        <f t="shared" si="15"/>
        <v>3545.53</v>
      </c>
      <c r="F226" s="3">
        <f>MAX($E$2:E226)</f>
        <v>3580.84</v>
      </c>
      <c r="G226" s="3">
        <f t="shared" si="12"/>
        <v>-0.98608147808893853</v>
      </c>
      <c r="I226" s="2">
        <v>44055</v>
      </c>
      <c r="J226" s="3">
        <f>IFERROR(VLOOKUP(I226,$A$1:$G$1610,3,FALSE),J225)</f>
        <v>22.28</v>
      </c>
      <c r="K226" s="3">
        <f>IFERROR(VLOOKUP(I226,$A$1:$G$1610,7,FALSE),K225)</f>
        <v>-0.17128597374600008</v>
      </c>
      <c r="L226" s="5">
        <f t="shared" si="13"/>
        <v>0</v>
      </c>
    </row>
    <row r="227" spans="1:12" x14ac:dyDescent="0.25">
      <c r="A227" s="2">
        <v>44146</v>
      </c>
      <c r="B227" s="3">
        <v>23.45</v>
      </c>
      <c r="C227" s="3">
        <f t="shared" si="14"/>
        <v>23.45</v>
      </c>
      <c r="D227" s="3">
        <v>3572.66</v>
      </c>
      <c r="E227" s="3">
        <f t="shared" si="15"/>
        <v>3572.66</v>
      </c>
      <c r="F227" s="3">
        <f>MAX($E$2:E227)</f>
        <v>3580.84</v>
      </c>
      <c r="G227" s="3">
        <f t="shared" si="12"/>
        <v>-0.22843802012936323</v>
      </c>
      <c r="I227" s="2">
        <v>44056</v>
      </c>
      <c r="J227" s="3">
        <f>IFERROR(VLOOKUP(I227,$A$1:$G$1610,3,FALSE),J226)</f>
        <v>22.13</v>
      </c>
      <c r="K227" s="3">
        <f>IFERROR(VLOOKUP(I227,$A$1:$G$1610,7,FALSE),K226)</f>
        <v>-0.37564785966363728</v>
      </c>
      <c r="L227" s="5">
        <f t="shared" si="13"/>
        <v>0</v>
      </c>
    </row>
    <row r="228" spans="1:12" x14ac:dyDescent="0.25">
      <c r="A228" s="2">
        <v>44147</v>
      </c>
      <c r="B228" s="3">
        <v>25.35</v>
      </c>
      <c r="C228" s="3">
        <f t="shared" si="14"/>
        <v>25.35</v>
      </c>
      <c r="D228" s="3">
        <v>3537.01</v>
      </c>
      <c r="E228" s="3">
        <f t="shared" si="15"/>
        <v>3537.01</v>
      </c>
      <c r="F228" s="3">
        <f>MAX($E$2:E228)</f>
        <v>3580.84</v>
      </c>
      <c r="G228" s="3">
        <f t="shared" si="12"/>
        <v>-1.2240144770500754</v>
      </c>
      <c r="I228" s="2">
        <v>44057</v>
      </c>
      <c r="J228" s="3">
        <f>IFERROR(VLOOKUP(I228,$A$1:$G$1610,3,FALSE),J227)</f>
        <v>22.05</v>
      </c>
      <c r="K228" s="3">
        <f>IFERROR(VLOOKUP(I228,$A$1:$G$1610,7,FALSE),K227)</f>
        <v>-0.39277645703823461</v>
      </c>
      <c r="L228" s="5">
        <f t="shared" si="13"/>
        <v>0</v>
      </c>
    </row>
    <row r="229" spans="1:12" x14ac:dyDescent="0.25">
      <c r="A229" s="2">
        <v>44148</v>
      </c>
      <c r="B229" s="3">
        <v>23.1</v>
      </c>
      <c r="C229" s="3">
        <f t="shared" si="14"/>
        <v>23.1</v>
      </c>
      <c r="D229" s="3">
        <v>3585.15</v>
      </c>
      <c r="E229" s="3">
        <f t="shared" si="15"/>
        <v>3585.15</v>
      </c>
      <c r="F229" s="3">
        <f>MAX($E$2:E229)</f>
        <v>3585.15</v>
      </c>
      <c r="G229" s="3">
        <f t="shared" si="12"/>
        <v>0</v>
      </c>
      <c r="I229" s="2">
        <v>44058</v>
      </c>
      <c r="J229" s="3">
        <f>IFERROR(VLOOKUP(I229,$A$1:$G$1610,3,FALSE),J228)</f>
        <v>22.05</v>
      </c>
      <c r="K229" s="3">
        <f>IFERROR(VLOOKUP(I229,$A$1:$G$1610,7,FALSE),K228)</f>
        <v>-0.39277645703823461</v>
      </c>
      <c r="L229" s="5">
        <f t="shared" si="13"/>
        <v>0</v>
      </c>
    </row>
    <row r="230" spans="1:12" x14ac:dyDescent="0.25">
      <c r="A230" s="2">
        <v>44151</v>
      </c>
      <c r="B230" s="3">
        <v>22.45</v>
      </c>
      <c r="C230" s="3">
        <f t="shared" si="14"/>
        <v>22.45</v>
      </c>
      <c r="D230" s="3">
        <v>3626.91</v>
      </c>
      <c r="E230" s="3">
        <f t="shared" si="15"/>
        <v>3626.91</v>
      </c>
      <c r="F230" s="3">
        <f>MAX($E$2:E230)</f>
        <v>3626.91</v>
      </c>
      <c r="G230" s="3">
        <f t="shared" si="12"/>
        <v>0</v>
      </c>
      <c r="I230" s="2">
        <v>44059</v>
      </c>
      <c r="J230" s="3">
        <f>IFERROR(VLOOKUP(I230,$A$1:$G$1610,3,FALSE),J229)</f>
        <v>22.05</v>
      </c>
      <c r="K230" s="3">
        <f>IFERROR(VLOOKUP(I230,$A$1:$G$1610,7,FALSE),K229)</f>
        <v>-0.39277645703823461</v>
      </c>
      <c r="L230" s="5">
        <f t="shared" si="13"/>
        <v>0</v>
      </c>
    </row>
    <row r="231" spans="1:12" x14ac:dyDescent="0.25">
      <c r="A231" s="2">
        <v>44152</v>
      </c>
      <c r="B231" s="3">
        <v>22.71</v>
      </c>
      <c r="C231" s="3">
        <f t="shared" si="14"/>
        <v>22.71</v>
      </c>
      <c r="D231" s="3">
        <v>3609.53</v>
      </c>
      <c r="E231" s="3">
        <f t="shared" si="15"/>
        <v>3609.53</v>
      </c>
      <c r="F231" s="3">
        <f>MAX($E$2:E231)</f>
        <v>3626.91</v>
      </c>
      <c r="G231" s="3">
        <f t="shared" si="12"/>
        <v>-0.4791957892531013</v>
      </c>
      <c r="I231" s="2">
        <v>44060</v>
      </c>
      <c r="J231" s="3">
        <f>IFERROR(VLOOKUP(I231,$A$1:$G$1610,3,FALSE),J230)</f>
        <v>21.35</v>
      </c>
      <c r="K231" s="3">
        <f>IFERROR(VLOOKUP(I231,$A$1:$G$1610,7,FALSE),K230)</f>
        <v>-0.1228533880661019</v>
      </c>
      <c r="L231" s="5">
        <f t="shared" si="13"/>
        <v>0</v>
      </c>
    </row>
    <row r="232" spans="1:12" x14ac:dyDescent="0.25">
      <c r="A232" s="2">
        <v>44153</v>
      </c>
      <c r="B232" s="3">
        <v>23.84</v>
      </c>
      <c r="C232" s="3">
        <f t="shared" si="14"/>
        <v>23.84</v>
      </c>
      <c r="D232" s="3">
        <v>3567.79</v>
      </c>
      <c r="E232" s="3">
        <f t="shared" si="15"/>
        <v>3567.79</v>
      </c>
      <c r="F232" s="3">
        <f>MAX($E$2:E232)</f>
        <v>3626.91</v>
      </c>
      <c r="G232" s="3">
        <f t="shared" si="12"/>
        <v>-1.6300376904858378</v>
      </c>
      <c r="I232" s="2">
        <v>44061</v>
      </c>
      <c r="J232" s="3">
        <f>IFERROR(VLOOKUP(I232,$A$1:$G$1610,3,FALSE),J231)</f>
        <v>21.51</v>
      </c>
      <c r="K232" s="3">
        <f>IFERROR(VLOOKUP(I232,$A$1:$G$1610,7,FALSE),K231)</f>
        <v>0</v>
      </c>
      <c r="L232" s="5">
        <f t="shared" si="13"/>
        <v>0</v>
      </c>
    </row>
    <row r="233" spans="1:12" x14ac:dyDescent="0.25">
      <c r="A233" s="2">
        <v>44154</v>
      </c>
      <c r="B233" s="3">
        <v>23.11</v>
      </c>
      <c r="C233" s="3">
        <f t="shared" si="14"/>
        <v>23.11</v>
      </c>
      <c r="D233" s="3">
        <v>3581.87</v>
      </c>
      <c r="E233" s="3">
        <f t="shared" si="15"/>
        <v>3581.87</v>
      </c>
      <c r="F233" s="3">
        <f>MAX($E$2:E233)</f>
        <v>3626.91</v>
      </c>
      <c r="G233" s="3">
        <f t="shared" si="12"/>
        <v>-1.2418284434959777</v>
      </c>
      <c r="I233" s="2">
        <v>44062</v>
      </c>
      <c r="J233" s="3">
        <f>IFERROR(VLOOKUP(I233,$A$1:$G$1610,3,FALSE),J232)</f>
        <v>22.54</v>
      </c>
      <c r="K233" s="3">
        <f>IFERROR(VLOOKUP(I233,$A$1:$G$1610,7,FALSE),K232)</f>
        <v>-0.44044156257929096</v>
      </c>
      <c r="L233" s="5">
        <f t="shared" si="13"/>
        <v>0</v>
      </c>
    </row>
    <row r="234" spans="1:12" x14ac:dyDescent="0.25">
      <c r="A234" s="2">
        <v>44155</v>
      </c>
      <c r="B234" s="3">
        <v>23.7</v>
      </c>
      <c r="C234" s="3">
        <f t="shared" si="14"/>
        <v>23.7</v>
      </c>
      <c r="D234" s="3">
        <v>3557.54</v>
      </c>
      <c r="E234" s="3">
        <f t="shared" si="15"/>
        <v>3557.54</v>
      </c>
      <c r="F234" s="3">
        <f>MAX($E$2:E234)</f>
        <v>3626.91</v>
      </c>
      <c r="G234" s="3">
        <f t="shared" si="12"/>
        <v>-1.9126474050913833</v>
      </c>
      <c r="I234" s="2">
        <v>44063</v>
      </c>
      <c r="J234" s="3">
        <f>IFERROR(VLOOKUP(I234,$A$1:$G$1610,3,FALSE),J233)</f>
        <v>22.72</v>
      </c>
      <c r="K234" s="3">
        <f>IFERROR(VLOOKUP(I234,$A$1:$G$1610,7,FALSE),K233)</f>
        <v>-0.12596687690646535</v>
      </c>
      <c r="L234" s="5">
        <f t="shared" si="13"/>
        <v>0</v>
      </c>
    </row>
    <row r="235" spans="1:12" x14ac:dyDescent="0.25">
      <c r="A235" s="2">
        <v>44158</v>
      </c>
      <c r="B235" s="3">
        <v>22.66</v>
      </c>
      <c r="C235" s="3">
        <f t="shared" si="14"/>
        <v>22.66</v>
      </c>
      <c r="D235" s="3">
        <v>3577.59</v>
      </c>
      <c r="E235" s="3">
        <f t="shared" si="15"/>
        <v>3577.59</v>
      </c>
      <c r="F235" s="3">
        <f>MAX($E$2:E235)</f>
        <v>3626.91</v>
      </c>
      <c r="G235" s="3">
        <f t="shared" si="12"/>
        <v>-1.359835231643457</v>
      </c>
      <c r="I235" s="2">
        <v>44064</v>
      </c>
      <c r="J235" s="3">
        <f>IFERROR(VLOOKUP(I235,$A$1:$G$1610,3,FALSE),J234)</f>
        <v>22.54</v>
      </c>
      <c r="K235" s="3">
        <f>IFERROR(VLOOKUP(I235,$A$1:$G$1610,7,FALSE),K234)</f>
        <v>0</v>
      </c>
      <c r="L235" s="5">
        <f t="shared" si="13"/>
        <v>0</v>
      </c>
    </row>
    <row r="236" spans="1:12" x14ac:dyDescent="0.25">
      <c r="A236" s="2">
        <v>44159</v>
      </c>
      <c r="B236" s="3">
        <v>21.64</v>
      </c>
      <c r="C236" s="3">
        <f t="shared" si="14"/>
        <v>21.64</v>
      </c>
      <c r="D236" s="3">
        <v>3635.41</v>
      </c>
      <c r="E236" s="3">
        <f t="shared" si="15"/>
        <v>3635.41</v>
      </c>
      <c r="F236" s="3">
        <f>MAX($E$2:E236)</f>
        <v>3635.41</v>
      </c>
      <c r="G236" s="3">
        <f t="shared" si="12"/>
        <v>0</v>
      </c>
      <c r="I236" s="2">
        <v>44065</v>
      </c>
      <c r="J236" s="3">
        <f>IFERROR(VLOOKUP(I236,$A$1:$G$1610,3,FALSE),J235)</f>
        <v>22.54</v>
      </c>
      <c r="K236" s="3">
        <f>IFERROR(VLOOKUP(I236,$A$1:$G$1610,7,FALSE),K235)</f>
        <v>0</v>
      </c>
      <c r="L236" s="5">
        <f t="shared" si="13"/>
        <v>0</v>
      </c>
    </row>
    <row r="237" spans="1:12" x14ac:dyDescent="0.25">
      <c r="A237" s="2">
        <v>44160</v>
      </c>
      <c r="B237" s="3">
        <v>21.25</v>
      </c>
      <c r="C237" s="3">
        <f t="shared" si="14"/>
        <v>21.25</v>
      </c>
      <c r="D237" s="3">
        <v>3629.65</v>
      </c>
      <c r="E237" s="3">
        <f t="shared" si="15"/>
        <v>3629.65</v>
      </c>
      <c r="F237" s="3">
        <f>MAX($E$2:E237)</f>
        <v>3635.41</v>
      </c>
      <c r="G237" s="3">
        <f t="shared" si="12"/>
        <v>-0.15844155129682108</v>
      </c>
      <c r="I237" s="2">
        <v>44066</v>
      </c>
      <c r="J237" s="3">
        <f>IFERROR(VLOOKUP(I237,$A$1:$G$1610,3,FALSE),J236)</f>
        <v>22.54</v>
      </c>
      <c r="K237" s="3">
        <f>IFERROR(VLOOKUP(I237,$A$1:$G$1610,7,FALSE),K236)</f>
        <v>0</v>
      </c>
      <c r="L237" s="5">
        <f t="shared" si="13"/>
        <v>0</v>
      </c>
    </row>
    <row r="238" spans="1:12" x14ac:dyDescent="0.25">
      <c r="A238" s="2">
        <v>44161</v>
      </c>
      <c r="C238" s="3">
        <f t="shared" si="14"/>
        <v>21.25</v>
      </c>
      <c r="E238" s="3">
        <f t="shared" si="15"/>
        <v>3629.65</v>
      </c>
      <c r="F238" s="3">
        <f>MAX($E$2:E238)</f>
        <v>3635.41</v>
      </c>
      <c r="G238" s="3">
        <f t="shared" si="12"/>
        <v>-0.15844155129682108</v>
      </c>
      <c r="I238" s="2">
        <v>44067</v>
      </c>
      <c r="J238" s="3">
        <f>IFERROR(VLOOKUP(I238,$A$1:$G$1610,3,FALSE),J237)</f>
        <v>22.37</v>
      </c>
      <c r="K238" s="3">
        <f>IFERROR(VLOOKUP(I238,$A$1:$G$1610,7,FALSE),K237)</f>
        <v>0</v>
      </c>
      <c r="L238" s="5">
        <f t="shared" si="13"/>
        <v>0</v>
      </c>
    </row>
    <row r="239" spans="1:12" x14ac:dyDescent="0.25">
      <c r="A239" s="2">
        <v>44162</v>
      </c>
      <c r="B239" s="3">
        <v>20.84</v>
      </c>
      <c r="C239" s="3">
        <f t="shared" si="14"/>
        <v>20.84</v>
      </c>
      <c r="D239" s="3">
        <v>3638.35</v>
      </c>
      <c r="E239" s="3">
        <f t="shared" si="15"/>
        <v>3638.35</v>
      </c>
      <c r="F239" s="3">
        <f>MAX($E$2:E239)</f>
        <v>3638.35</v>
      </c>
      <c r="G239" s="3">
        <f t="shared" si="12"/>
        <v>0</v>
      </c>
      <c r="I239" s="2">
        <v>44068</v>
      </c>
      <c r="J239" s="3">
        <f>IFERROR(VLOOKUP(I239,$A$1:$G$1610,3,FALSE),J238)</f>
        <v>22.03</v>
      </c>
      <c r="K239" s="3">
        <f>IFERROR(VLOOKUP(I239,$A$1:$G$1610,7,FALSE),K238)</f>
        <v>0</v>
      </c>
      <c r="L239" s="5">
        <f t="shared" si="13"/>
        <v>0</v>
      </c>
    </row>
    <row r="240" spans="1:12" x14ac:dyDescent="0.25">
      <c r="A240" s="2">
        <v>44165</v>
      </c>
      <c r="B240" s="3">
        <v>20.57</v>
      </c>
      <c r="C240" s="3">
        <f t="shared" si="14"/>
        <v>20.57</v>
      </c>
      <c r="D240" s="3">
        <v>3621.63</v>
      </c>
      <c r="E240" s="3">
        <f t="shared" si="15"/>
        <v>3621.63</v>
      </c>
      <c r="F240" s="3">
        <f>MAX($E$2:E240)</f>
        <v>3638.35</v>
      </c>
      <c r="G240" s="3">
        <f t="shared" si="12"/>
        <v>-0.45954897137438128</v>
      </c>
      <c r="I240" s="2">
        <v>44069</v>
      </c>
      <c r="J240" s="3">
        <f>IFERROR(VLOOKUP(I240,$A$1:$G$1610,3,FALSE),J239)</f>
        <v>23.27</v>
      </c>
      <c r="K240" s="3">
        <f>IFERROR(VLOOKUP(I240,$A$1:$G$1610,7,FALSE),K239)</f>
        <v>0</v>
      </c>
      <c r="L240" s="5">
        <f t="shared" si="13"/>
        <v>0</v>
      </c>
    </row>
    <row r="241" spans="1:12" x14ac:dyDescent="0.25">
      <c r="A241" s="2">
        <v>44166</v>
      </c>
      <c r="B241" s="3">
        <v>20.77</v>
      </c>
      <c r="C241" s="3">
        <f t="shared" si="14"/>
        <v>20.77</v>
      </c>
      <c r="D241" s="3">
        <v>3662.45</v>
      </c>
      <c r="E241" s="3">
        <f t="shared" si="15"/>
        <v>3662.45</v>
      </c>
      <c r="F241" s="3">
        <f>MAX($E$2:E241)</f>
        <v>3662.45</v>
      </c>
      <c r="G241" s="3">
        <f t="shared" si="12"/>
        <v>0</v>
      </c>
      <c r="I241" s="2">
        <v>44070</v>
      </c>
      <c r="J241" s="3">
        <f>IFERROR(VLOOKUP(I241,$A$1:$G$1610,3,FALSE),J240)</f>
        <v>24.47</v>
      </c>
      <c r="K241" s="3">
        <f>IFERROR(VLOOKUP(I241,$A$1:$G$1610,7,FALSE),K240)</f>
        <v>0</v>
      </c>
      <c r="L241" s="5">
        <f t="shared" si="13"/>
        <v>0</v>
      </c>
    </row>
    <row r="242" spans="1:12" x14ac:dyDescent="0.25">
      <c r="A242" s="2">
        <v>44167</v>
      </c>
      <c r="B242" s="3">
        <v>21.17</v>
      </c>
      <c r="C242" s="3">
        <f t="shared" si="14"/>
        <v>21.17</v>
      </c>
      <c r="D242" s="3">
        <v>3669.01</v>
      </c>
      <c r="E242" s="3">
        <f t="shared" si="15"/>
        <v>3669.01</v>
      </c>
      <c r="F242" s="3">
        <f>MAX($E$2:E242)</f>
        <v>3669.01</v>
      </c>
      <c r="G242" s="3">
        <f t="shared" si="12"/>
        <v>0</v>
      </c>
      <c r="I242" s="2">
        <v>44071</v>
      </c>
      <c r="J242" s="3">
        <f>IFERROR(VLOOKUP(I242,$A$1:$G$1610,3,FALSE),J241)</f>
        <v>22.96</v>
      </c>
      <c r="K242" s="3">
        <f>IFERROR(VLOOKUP(I242,$A$1:$G$1610,7,FALSE),K241)</f>
        <v>0</v>
      </c>
      <c r="L242" s="5">
        <f t="shared" si="13"/>
        <v>0</v>
      </c>
    </row>
    <row r="243" spans="1:12" x14ac:dyDescent="0.25">
      <c r="A243" s="2">
        <v>44168</v>
      </c>
      <c r="B243" s="3">
        <v>21.28</v>
      </c>
      <c r="C243" s="3">
        <f t="shared" si="14"/>
        <v>21.28</v>
      </c>
      <c r="D243" s="3">
        <v>3666.72</v>
      </c>
      <c r="E243" s="3">
        <f t="shared" si="15"/>
        <v>3666.72</v>
      </c>
      <c r="F243" s="3">
        <f>MAX($E$2:E243)</f>
        <v>3669.01</v>
      </c>
      <c r="G243" s="3">
        <f t="shared" si="12"/>
        <v>-6.2414656814792496E-2</v>
      </c>
      <c r="I243" s="2">
        <v>44072</v>
      </c>
      <c r="J243" s="3">
        <f>IFERROR(VLOOKUP(I243,$A$1:$G$1610,3,FALSE),J242)</f>
        <v>22.96</v>
      </c>
      <c r="K243" s="3">
        <f>IFERROR(VLOOKUP(I243,$A$1:$G$1610,7,FALSE),K242)</f>
        <v>0</v>
      </c>
      <c r="L243" s="5">
        <f t="shared" si="13"/>
        <v>0</v>
      </c>
    </row>
    <row r="244" spans="1:12" x14ac:dyDescent="0.25">
      <c r="A244" s="2">
        <v>44169</v>
      </c>
      <c r="B244" s="3">
        <v>20.79</v>
      </c>
      <c r="C244" s="3">
        <f t="shared" si="14"/>
        <v>20.79</v>
      </c>
      <c r="D244" s="3">
        <v>3699.12</v>
      </c>
      <c r="E244" s="3">
        <f t="shared" si="15"/>
        <v>3699.12</v>
      </c>
      <c r="F244" s="3">
        <f>MAX($E$2:E244)</f>
        <v>3699.12</v>
      </c>
      <c r="G244" s="3">
        <f t="shared" si="12"/>
        <v>0</v>
      </c>
      <c r="I244" s="2">
        <v>44073</v>
      </c>
      <c r="J244" s="3">
        <f>IFERROR(VLOOKUP(I244,$A$1:$G$1610,3,FALSE),J243)</f>
        <v>22.96</v>
      </c>
      <c r="K244" s="3">
        <f>IFERROR(VLOOKUP(I244,$A$1:$G$1610,7,FALSE),K243)</f>
        <v>0</v>
      </c>
      <c r="L244" s="5">
        <f t="shared" si="13"/>
        <v>0</v>
      </c>
    </row>
    <row r="245" spans="1:12" x14ac:dyDescent="0.25">
      <c r="A245" s="2">
        <v>44172</v>
      </c>
      <c r="B245" s="3">
        <v>21.3</v>
      </c>
      <c r="C245" s="3">
        <f t="shared" si="14"/>
        <v>21.3</v>
      </c>
      <c r="D245" s="3">
        <v>3691.96</v>
      </c>
      <c r="E245" s="3">
        <f t="shared" si="15"/>
        <v>3691.96</v>
      </c>
      <c r="F245" s="3">
        <f>MAX($E$2:E245)</f>
        <v>3699.12</v>
      </c>
      <c r="G245" s="3">
        <f t="shared" si="12"/>
        <v>-0.19355954929820754</v>
      </c>
      <c r="I245" s="2">
        <v>44074</v>
      </c>
      <c r="J245" s="3">
        <f>IFERROR(VLOOKUP(I245,$A$1:$G$1610,3,FALSE),J244)</f>
        <v>26.41</v>
      </c>
      <c r="K245" s="3">
        <f>IFERROR(VLOOKUP(I245,$A$1:$G$1610,7,FALSE),K244)</f>
        <v>-0.21949766391772749</v>
      </c>
      <c r="L245" s="5">
        <f t="shared" si="13"/>
        <v>0</v>
      </c>
    </row>
    <row r="246" spans="1:12" x14ac:dyDescent="0.25">
      <c r="A246" s="2">
        <v>44173</v>
      </c>
      <c r="B246" s="3">
        <v>20.68</v>
      </c>
      <c r="C246" s="3">
        <f t="shared" si="14"/>
        <v>20.68</v>
      </c>
      <c r="D246" s="3">
        <v>3702.25</v>
      </c>
      <c r="E246" s="3">
        <f t="shared" si="15"/>
        <v>3702.25</v>
      </c>
      <c r="F246" s="3">
        <f>MAX($E$2:E246)</f>
        <v>3702.25</v>
      </c>
      <c r="G246" s="3">
        <f t="shared" si="12"/>
        <v>0</v>
      </c>
      <c r="I246" s="2">
        <v>44075</v>
      </c>
      <c r="J246" s="3">
        <f>IFERROR(VLOOKUP(I246,$A$1:$G$1610,3,FALSE),J245)</f>
        <v>26.12</v>
      </c>
      <c r="K246" s="3">
        <f>IFERROR(VLOOKUP(I246,$A$1:$G$1610,7,FALSE),K245)</f>
        <v>0</v>
      </c>
      <c r="L246" s="5">
        <f t="shared" si="13"/>
        <v>0</v>
      </c>
    </row>
    <row r="247" spans="1:12" x14ac:dyDescent="0.25">
      <c r="A247" s="2">
        <v>44174</v>
      </c>
      <c r="B247" s="3">
        <v>22.27</v>
      </c>
      <c r="C247" s="3">
        <f t="shared" si="14"/>
        <v>22.27</v>
      </c>
      <c r="D247" s="3">
        <v>3672.82</v>
      </c>
      <c r="E247" s="3">
        <f t="shared" si="15"/>
        <v>3672.82</v>
      </c>
      <c r="F247" s="3">
        <f>MAX($E$2:E247)</f>
        <v>3702.25</v>
      </c>
      <c r="G247" s="3">
        <f t="shared" si="12"/>
        <v>-0.7949220068876991</v>
      </c>
      <c r="I247" s="2">
        <v>44076</v>
      </c>
      <c r="J247" s="3">
        <f>IFERROR(VLOOKUP(I247,$A$1:$G$1610,3,FALSE),J246)</f>
        <v>26.57</v>
      </c>
      <c r="K247" s="3">
        <f>IFERROR(VLOOKUP(I247,$A$1:$G$1610,7,FALSE),K246)</f>
        <v>0</v>
      </c>
      <c r="L247" s="5">
        <f t="shared" si="13"/>
        <v>0</v>
      </c>
    </row>
    <row r="248" spans="1:12" x14ac:dyDescent="0.25">
      <c r="A248" s="2">
        <v>44175</v>
      </c>
      <c r="B248" s="3">
        <v>22.52</v>
      </c>
      <c r="C248" s="3">
        <f t="shared" si="14"/>
        <v>22.52</v>
      </c>
      <c r="D248" s="3">
        <v>3668.1</v>
      </c>
      <c r="E248" s="3">
        <f t="shared" si="15"/>
        <v>3668.1</v>
      </c>
      <c r="F248" s="3">
        <f>MAX($E$2:E248)</f>
        <v>3702.25</v>
      </c>
      <c r="G248" s="3">
        <f t="shared" si="12"/>
        <v>-0.92241204672834332</v>
      </c>
      <c r="I248" s="2">
        <v>44077</v>
      </c>
      <c r="J248" s="3">
        <f>IFERROR(VLOOKUP(I248,$A$1:$G$1610,3,FALSE),J247)</f>
        <v>33.6</v>
      </c>
      <c r="K248" s="3">
        <f>IFERROR(VLOOKUP(I248,$A$1:$G$1610,7,FALSE),K247)</f>
        <v>-3.5125836395929499</v>
      </c>
      <c r="L248" s="5">
        <f t="shared" si="13"/>
        <v>1</v>
      </c>
    </row>
    <row r="249" spans="1:12" x14ac:dyDescent="0.25">
      <c r="A249" s="2">
        <v>44176</v>
      </c>
      <c r="B249" s="3">
        <v>23.31</v>
      </c>
      <c r="C249" s="3">
        <f t="shared" si="14"/>
        <v>23.31</v>
      </c>
      <c r="D249" s="3">
        <v>3663.46</v>
      </c>
      <c r="E249" s="3">
        <f t="shared" si="15"/>
        <v>3663.46</v>
      </c>
      <c r="F249" s="3">
        <f>MAX($E$2:E249)</f>
        <v>3702.25</v>
      </c>
      <c r="G249" s="3">
        <f t="shared" si="12"/>
        <v>-1.0477412384360851</v>
      </c>
      <c r="I249" s="2">
        <v>44078</v>
      </c>
      <c r="J249" s="3">
        <f>IFERROR(VLOOKUP(I249,$A$1:$G$1610,3,FALSE),J248)</f>
        <v>30.75</v>
      </c>
      <c r="K249" s="3">
        <f>IFERROR(VLOOKUP(I249,$A$1:$G$1610,7,FALSE),K248)</f>
        <v>-4.2973157136314413</v>
      </c>
      <c r="L249" s="5">
        <f t="shared" si="13"/>
        <v>1</v>
      </c>
    </row>
    <row r="250" spans="1:12" x14ac:dyDescent="0.25">
      <c r="A250" s="2">
        <v>44179</v>
      </c>
      <c r="B250" s="3">
        <v>24.72</v>
      </c>
      <c r="C250" s="3">
        <f t="shared" si="14"/>
        <v>24.72</v>
      </c>
      <c r="D250" s="3">
        <v>3647.49</v>
      </c>
      <c r="E250" s="3">
        <f t="shared" si="15"/>
        <v>3647.49</v>
      </c>
      <c r="F250" s="3">
        <f>MAX($E$2:E250)</f>
        <v>3702.25</v>
      </c>
      <c r="G250" s="3">
        <f t="shared" si="12"/>
        <v>-1.4791005469646896</v>
      </c>
      <c r="I250" s="2">
        <v>44079</v>
      </c>
      <c r="J250" s="3">
        <f>IFERROR(VLOOKUP(I250,$A$1:$G$1610,3,FALSE),J249)</f>
        <v>30.75</v>
      </c>
      <c r="K250" s="3">
        <f>IFERROR(VLOOKUP(I250,$A$1:$G$1610,7,FALSE),K249)</f>
        <v>-4.2973157136314413</v>
      </c>
      <c r="L250" s="5">
        <f t="shared" si="13"/>
        <v>1</v>
      </c>
    </row>
    <row r="251" spans="1:12" x14ac:dyDescent="0.25">
      <c r="A251" s="2">
        <v>44180</v>
      </c>
      <c r="B251" s="3">
        <v>22.89</v>
      </c>
      <c r="C251" s="3">
        <f t="shared" si="14"/>
        <v>22.89</v>
      </c>
      <c r="D251" s="3">
        <v>3694.62</v>
      </c>
      <c r="E251" s="3">
        <f t="shared" si="15"/>
        <v>3694.62</v>
      </c>
      <c r="F251" s="3">
        <f>MAX($E$2:E251)</f>
        <v>3702.25</v>
      </c>
      <c r="G251" s="3">
        <f t="shared" si="12"/>
        <v>-0.20609089067459271</v>
      </c>
      <c r="I251" s="2">
        <v>44080</v>
      </c>
      <c r="J251" s="3">
        <f>IFERROR(VLOOKUP(I251,$A$1:$G$1610,3,FALSE),J250)</f>
        <v>30.75</v>
      </c>
      <c r="K251" s="3">
        <f>IFERROR(VLOOKUP(I251,$A$1:$G$1610,7,FALSE),K250)</f>
        <v>-4.2973157136314413</v>
      </c>
      <c r="L251" s="5">
        <f t="shared" si="13"/>
        <v>1</v>
      </c>
    </row>
    <row r="252" spans="1:12" x14ac:dyDescent="0.25">
      <c r="A252" s="2">
        <v>44181</v>
      </c>
      <c r="B252" s="3">
        <v>22.5</v>
      </c>
      <c r="C252" s="3">
        <f t="shared" si="14"/>
        <v>22.5</v>
      </c>
      <c r="D252" s="3">
        <v>3701.17</v>
      </c>
      <c r="E252" s="3">
        <f t="shared" si="15"/>
        <v>3701.17</v>
      </c>
      <c r="F252" s="3">
        <f>MAX($E$2:E252)</f>
        <v>3702.25</v>
      </c>
      <c r="G252" s="3">
        <f t="shared" si="12"/>
        <v>-2.9171449794042195E-2</v>
      </c>
      <c r="I252" s="2">
        <v>44081</v>
      </c>
      <c r="J252" s="3">
        <f>IFERROR(VLOOKUP(I252,$A$1:$G$1610,3,FALSE),J251)</f>
        <v>30.75</v>
      </c>
      <c r="K252" s="3">
        <f>IFERROR(VLOOKUP(I252,$A$1:$G$1610,7,FALSE),K251)</f>
        <v>-4.2973157136314413</v>
      </c>
      <c r="L252" s="5">
        <f t="shared" si="13"/>
        <v>1</v>
      </c>
    </row>
    <row r="253" spans="1:12" x14ac:dyDescent="0.25">
      <c r="A253" s="2">
        <v>44182</v>
      </c>
      <c r="B253" s="3">
        <v>21.93</v>
      </c>
      <c r="C253" s="3">
        <f t="shared" si="14"/>
        <v>21.93</v>
      </c>
      <c r="D253" s="3">
        <v>3722.48</v>
      </c>
      <c r="E253" s="3">
        <f t="shared" si="15"/>
        <v>3722.48</v>
      </c>
      <c r="F253" s="3">
        <f>MAX($E$2:E253)</f>
        <v>3722.48</v>
      </c>
      <c r="G253" s="3">
        <f t="shared" si="12"/>
        <v>0</v>
      </c>
      <c r="I253" s="2">
        <v>44082</v>
      </c>
      <c r="J253" s="3">
        <f>IFERROR(VLOOKUP(I253,$A$1:$G$1610,3,FALSE),J252)</f>
        <v>31.46</v>
      </c>
      <c r="K253" s="3">
        <f>IFERROR(VLOOKUP(I253,$A$1:$G$1610,7,FALSE),K252)</f>
        <v>-6.9536756738642334</v>
      </c>
      <c r="L253" s="5">
        <f t="shared" si="13"/>
        <v>1</v>
      </c>
    </row>
    <row r="254" spans="1:12" x14ac:dyDescent="0.25">
      <c r="A254" s="2">
        <v>44183</v>
      </c>
      <c r="B254" s="3">
        <v>21.57</v>
      </c>
      <c r="C254" s="3">
        <f t="shared" si="14"/>
        <v>21.57</v>
      </c>
      <c r="D254" s="3">
        <v>3709.41</v>
      </c>
      <c r="E254" s="3">
        <f t="shared" si="15"/>
        <v>3709.41</v>
      </c>
      <c r="F254" s="3">
        <f>MAX($E$2:E254)</f>
        <v>3722.48</v>
      </c>
      <c r="G254" s="3">
        <f t="shared" si="12"/>
        <v>-0.3511100126797233</v>
      </c>
      <c r="I254" s="2">
        <v>44083</v>
      </c>
      <c r="J254" s="3">
        <f>IFERROR(VLOOKUP(I254,$A$1:$G$1610,3,FALSE),J253)</f>
        <v>28.81</v>
      </c>
      <c r="K254" s="3">
        <f>IFERROR(VLOOKUP(I254,$A$1:$G$1610,7,FALSE),K253)</f>
        <v>-5.0792551468370579</v>
      </c>
      <c r="L254" s="5">
        <f t="shared" si="13"/>
        <v>0</v>
      </c>
    </row>
    <row r="255" spans="1:12" x14ac:dyDescent="0.25">
      <c r="A255" s="2">
        <v>44186</v>
      </c>
      <c r="B255" s="3">
        <v>25.16</v>
      </c>
      <c r="C255" s="3">
        <f t="shared" si="14"/>
        <v>25.16</v>
      </c>
      <c r="D255" s="3">
        <v>3694.92</v>
      </c>
      <c r="E255" s="3">
        <f t="shared" si="15"/>
        <v>3694.92</v>
      </c>
      <c r="F255" s="3">
        <f>MAX($E$2:E255)</f>
        <v>3722.48</v>
      </c>
      <c r="G255" s="3">
        <f t="shared" si="12"/>
        <v>-0.74036663729556496</v>
      </c>
      <c r="I255" s="2">
        <v>44084</v>
      </c>
      <c r="J255" s="3">
        <f>IFERROR(VLOOKUP(I255,$A$1:$G$1610,3,FALSE),J254)</f>
        <v>29.71</v>
      </c>
      <c r="K255" s="3">
        <f>IFERROR(VLOOKUP(I255,$A$1:$G$1610,7,FALSE),K254)</f>
        <v>-6.748416572647761</v>
      </c>
      <c r="L255" s="5">
        <f t="shared" si="13"/>
        <v>0</v>
      </c>
    </row>
    <row r="256" spans="1:12" x14ac:dyDescent="0.25">
      <c r="A256" s="2">
        <v>44187</v>
      </c>
      <c r="B256" s="3">
        <v>24.23</v>
      </c>
      <c r="C256" s="3">
        <f t="shared" si="14"/>
        <v>24.23</v>
      </c>
      <c r="D256" s="3">
        <v>3687.26</v>
      </c>
      <c r="E256" s="3">
        <f t="shared" si="15"/>
        <v>3687.26</v>
      </c>
      <c r="F256" s="3">
        <f>MAX($E$2:E256)</f>
        <v>3722.48</v>
      </c>
      <c r="G256" s="3">
        <f t="shared" si="12"/>
        <v>-0.94614343126087441</v>
      </c>
      <c r="I256" s="2">
        <v>44085</v>
      </c>
      <c r="J256" s="3">
        <f>IFERROR(VLOOKUP(I256,$A$1:$G$1610,3,FALSE),J255)</f>
        <v>26.87</v>
      </c>
      <c r="K256" s="3">
        <f>IFERROR(VLOOKUP(I256,$A$1:$G$1610,7,FALSE),K255)</f>
        <v>-6.6987075658225539</v>
      </c>
      <c r="L256" s="5">
        <f t="shared" si="13"/>
        <v>0</v>
      </c>
    </row>
    <row r="257" spans="1:12" x14ac:dyDescent="0.25">
      <c r="A257" s="2">
        <v>44188</v>
      </c>
      <c r="B257" s="3">
        <v>23.31</v>
      </c>
      <c r="C257" s="3">
        <f t="shared" si="14"/>
        <v>23.31</v>
      </c>
      <c r="D257" s="3">
        <v>3690.01</v>
      </c>
      <c r="E257" s="3">
        <f t="shared" si="15"/>
        <v>3690.01</v>
      </c>
      <c r="F257" s="3">
        <f>MAX($E$2:E257)</f>
        <v>3722.48</v>
      </c>
      <c r="G257" s="3">
        <f t="shared" si="12"/>
        <v>-0.87226795039865357</v>
      </c>
      <c r="I257" s="2">
        <v>44086</v>
      </c>
      <c r="J257" s="3">
        <f>IFERROR(VLOOKUP(I257,$A$1:$G$1610,3,FALSE),J256)</f>
        <v>26.87</v>
      </c>
      <c r="K257" s="3">
        <f>IFERROR(VLOOKUP(I257,$A$1:$G$1610,7,FALSE),K256)</f>
        <v>-6.6987075658225539</v>
      </c>
      <c r="L257" s="5">
        <f t="shared" si="13"/>
        <v>0</v>
      </c>
    </row>
    <row r="258" spans="1:12" x14ac:dyDescent="0.25">
      <c r="A258" s="2">
        <v>44189</v>
      </c>
      <c r="B258" s="3">
        <v>21.53</v>
      </c>
      <c r="C258" s="3">
        <f t="shared" si="14"/>
        <v>21.53</v>
      </c>
      <c r="D258" s="3">
        <v>3703.06</v>
      </c>
      <c r="E258" s="3">
        <f t="shared" si="15"/>
        <v>3703.06</v>
      </c>
      <c r="F258" s="3">
        <f>MAX($E$2:E258)</f>
        <v>3722.48</v>
      </c>
      <c r="G258" s="3">
        <f t="shared" ref="G258:G321" si="16">(E258-F258)/F258*100</f>
        <v>-0.52169521394339458</v>
      </c>
      <c r="I258" s="2">
        <v>44087</v>
      </c>
      <c r="J258" s="3">
        <f>IFERROR(VLOOKUP(I258,$A$1:$G$1610,3,FALSE),J257)</f>
        <v>26.87</v>
      </c>
      <c r="K258" s="3">
        <f>IFERROR(VLOOKUP(I258,$A$1:$G$1610,7,FALSE),K257)</f>
        <v>-6.6987075658225539</v>
      </c>
      <c r="L258" s="5">
        <f t="shared" ref="L258:L321" si="17">IF(OR(J258&gt;=30,K258&lt;-10),1,0)</f>
        <v>0</v>
      </c>
    </row>
    <row r="259" spans="1:12" x14ac:dyDescent="0.25">
      <c r="A259" s="2">
        <v>44190</v>
      </c>
      <c r="C259" s="3">
        <f t="shared" ref="C259:C322" si="18">IF(B259="",B258,B259)</f>
        <v>21.53</v>
      </c>
      <c r="E259" s="3">
        <f t="shared" si="15"/>
        <v>3703.06</v>
      </c>
      <c r="F259" s="3">
        <f>MAX($E$2:E259)</f>
        <v>3722.48</v>
      </c>
      <c r="G259" s="3">
        <f t="shared" si="16"/>
        <v>-0.52169521394339458</v>
      </c>
      <c r="I259" s="2">
        <v>44088</v>
      </c>
      <c r="J259" s="3">
        <f>IFERROR(VLOOKUP(I259,$A$1:$G$1610,3,FALSE),J258)</f>
        <v>25.85</v>
      </c>
      <c r="K259" s="3">
        <f>IFERROR(VLOOKUP(I259,$A$1:$G$1610,7,FALSE),K258)</f>
        <v>-5.509880363266725</v>
      </c>
      <c r="L259" s="5">
        <f t="shared" si="17"/>
        <v>0</v>
      </c>
    </row>
    <row r="260" spans="1:12" x14ac:dyDescent="0.25">
      <c r="A260" s="2">
        <v>44193</v>
      </c>
      <c r="B260" s="3">
        <v>21.7</v>
      </c>
      <c r="C260" s="3">
        <f t="shared" si="18"/>
        <v>21.7</v>
      </c>
      <c r="D260" s="3">
        <v>3735.36</v>
      </c>
      <c r="E260" s="3">
        <f t="shared" si="15"/>
        <v>3735.36</v>
      </c>
      <c r="F260" s="3">
        <f>MAX($E$2:E260)</f>
        <v>3735.36</v>
      </c>
      <c r="G260" s="3">
        <f t="shared" si="16"/>
        <v>0</v>
      </c>
      <c r="I260" s="2">
        <v>44089</v>
      </c>
      <c r="J260" s="3">
        <f>IFERROR(VLOOKUP(I260,$A$1:$G$1610,3,FALSE),J259)</f>
        <v>25.59</v>
      </c>
      <c r="K260" s="3">
        <f>IFERROR(VLOOKUP(I260,$A$1:$G$1610,7,FALSE),K259)</f>
        <v>-5.016699992180615</v>
      </c>
      <c r="L260" s="5">
        <f t="shared" si="17"/>
        <v>0</v>
      </c>
    </row>
    <row r="261" spans="1:12" x14ac:dyDescent="0.25">
      <c r="A261" s="2">
        <v>44194</v>
      </c>
      <c r="B261" s="3">
        <v>23.08</v>
      </c>
      <c r="C261" s="3">
        <f t="shared" si="18"/>
        <v>23.08</v>
      </c>
      <c r="D261" s="3">
        <v>3727.04</v>
      </c>
      <c r="E261" s="3">
        <f t="shared" ref="E261:E324" si="19">IF(D261="",D260,D261)</f>
        <v>3727.04</v>
      </c>
      <c r="F261" s="3">
        <f>MAX($E$2:E261)</f>
        <v>3735.36</v>
      </c>
      <c r="G261" s="3">
        <f t="shared" si="16"/>
        <v>-0.22273622890431347</v>
      </c>
      <c r="I261" s="2">
        <v>44090</v>
      </c>
      <c r="J261" s="3">
        <f>IFERROR(VLOOKUP(I261,$A$1:$G$1610,3,FALSE),J260)</f>
        <v>26.04</v>
      </c>
      <c r="K261" s="3">
        <f>IFERROR(VLOOKUP(I261,$A$1:$G$1610,7,FALSE),K260)</f>
        <v>-5.4554238670256234</v>
      </c>
      <c r="L261" s="5">
        <f t="shared" si="17"/>
        <v>0</v>
      </c>
    </row>
    <row r="262" spans="1:12" x14ac:dyDescent="0.25">
      <c r="A262" s="2">
        <v>44195</v>
      </c>
      <c r="B262" s="3">
        <v>22.77</v>
      </c>
      <c r="C262" s="3">
        <f t="shared" si="18"/>
        <v>22.77</v>
      </c>
      <c r="D262" s="3">
        <v>3732.04</v>
      </c>
      <c r="E262" s="3">
        <f t="shared" si="19"/>
        <v>3732.04</v>
      </c>
      <c r="F262" s="3">
        <f>MAX($E$2:E262)</f>
        <v>3735.36</v>
      </c>
      <c r="G262" s="3">
        <f t="shared" si="16"/>
        <v>-8.8880322110858487E-2</v>
      </c>
      <c r="I262" s="2">
        <v>44091</v>
      </c>
      <c r="J262" s="3">
        <f>IFERROR(VLOOKUP(I262,$A$1:$G$1610,3,FALSE),J261)</f>
        <v>26.46</v>
      </c>
      <c r="K262" s="3">
        <f>IFERROR(VLOOKUP(I262,$A$1:$G$1610,7,FALSE),K261)</f>
        <v>-6.2507679762290396</v>
      </c>
      <c r="L262" s="5">
        <f t="shared" si="17"/>
        <v>0</v>
      </c>
    </row>
    <row r="263" spans="1:12" x14ac:dyDescent="0.25">
      <c r="A263" s="2">
        <v>44196</v>
      </c>
      <c r="B263" s="3">
        <v>22.75</v>
      </c>
      <c r="C263" s="3">
        <f t="shared" si="18"/>
        <v>22.75</v>
      </c>
      <c r="D263" s="3">
        <v>3756.07</v>
      </c>
      <c r="E263" s="3">
        <f t="shared" si="19"/>
        <v>3756.07</v>
      </c>
      <c r="F263" s="3">
        <f>MAX($E$2:E263)</f>
        <v>3756.07</v>
      </c>
      <c r="G263" s="3">
        <f t="shared" si="16"/>
        <v>0</v>
      </c>
      <c r="I263" s="2">
        <v>44092</v>
      </c>
      <c r="J263" s="3">
        <f>IFERROR(VLOOKUP(I263,$A$1:$G$1610,3,FALSE),J262)</f>
        <v>25.83</v>
      </c>
      <c r="K263" s="3">
        <f>IFERROR(VLOOKUP(I263,$A$1:$G$1610,7,FALSE),K262)</f>
        <v>-7.2991253448911522</v>
      </c>
      <c r="L263" s="5">
        <f t="shared" si="17"/>
        <v>0</v>
      </c>
    </row>
    <row r="264" spans="1:12" x14ac:dyDescent="0.25">
      <c r="A264" s="2">
        <v>44197</v>
      </c>
      <c r="C264" s="3">
        <f t="shared" si="18"/>
        <v>22.75</v>
      </c>
      <c r="E264" s="3">
        <f t="shared" si="19"/>
        <v>3756.07</v>
      </c>
      <c r="F264" s="3">
        <f>MAX($E$2:E264)</f>
        <v>3756.07</v>
      </c>
      <c r="G264" s="3">
        <f t="shared" si="16"/>
        <v>0</v>
      </c>
      <c r="I264" s="2">
        <v>44093</v>
      </c>
      <c r="J264" s="3">
        <f>IFERROR(VLOOKUP(I264,$A$1:$G$1610,3,FALSE),J263)</f>
        <v>25.83</v>
      </c>
      <c r="K264" s="3">
        <f>IFERROR(VLOOKUP(I264,$A$1:$G$1610,7,FALSE),K263)</f>
        <v>-7.2991253448911522</v>
      </c>
      <c r="L264" s="5">
        <f t="shared" si="17"/>
        <v>0</v>
      </c>
    </row>
    <row r="265" spans="1:12" x14ac:dyDescent="0.25">
      <c r="A265" s="2">
        <v>44200</v>
      </c>
      <c r="B265" s="3">
        <v>26.97</v>
      </c>
      <c r="C265" s="3">
        <f t="shared" si="18"/>
        <v>26.97</v>
      </c>
      <c r="D265" s="3">
        <v>3700.65</v>
      </c>
      <c r="E265" s="3">
        <f t="shared" si="19"/>
        <v>3700.65</v>
      </c>
      <c r="F265" s="3">
        <f>MAX($E$2:E265)</f>
        <v>3756.07</v>
      </c>
      <c r="G265" s="3">
        <f t="shared" si="16"/>
        <v>-1.4754783590295193</v>
      </c>
      <c r="I265" s="2">
        <v>44094</v>
      </c>
      <c r="J265" s="3">
        <f>IFERROR(VLOOKUP(I265,$A$1:$G$1610,3,FALSE),J264)</f>
        <v>25.83</v>
      </c>
      <c r="K265" s="3">
        <f>IFERROR(VLOOKUP(I265,$A$1:$G$1610,7,FALSE),K264)</f>
        <v>-7.2991253448911522</v>
      </c>
      <c r="L265" s="5">
        <f t="shared" si="17"/>
        <v>0</v>
      </c>
    </row>
    <row r="266" spans="1:12" x14ac:dyDescent="0.25">
      <c r="A266" s="2">
        <v>44201</v>
      </c>
      <c r="B266" s="3">
        <v>25.34</v>
      </c>
      <c r="C266" s="3">
        <f t="shared" si="18"/>
        <v>25.34</v>
      </c>
      <c r="D266" s="3">
        <v>3726.86</v>
      </c>
      <c r="E266" s="3">
        <f t="shared" si="19"/>
        <v>3726.86</v>
      </c>
      <c r="F266" s="3">
        <f>MAX($E$2:E266)</f>
        <v>3756.07</v>
      </c>
      <c r="G266" s="3">
        <f t="shared" si="16"/>
        <v>-0.77767453748199677</v>
      </c>
      <c r="I266" s="2">
        <v>44095</v>
      </c>
      <c r="J266" s="3">
        <f>IFERROR(VLOOKUP(I266,$A$1:$G$1610,3,FALSE),J265)</f>
        <v>27.78</v>
      </c>
      <c r="K266" s="3">
        <f>IFERROR(VLOOKUP(I266,$A$1:$G$1610,7,FALSE),K265)</f>
        <v>-8.3717786887992816</v>
      </c>
      <c r="L266" s="5">
        <f t="shared" si="17"/>
        <v>0</v>
      </c>
    </row>
    <row r="267" spans="1:12" x14ac:dyDescent="0.25">
      <c r="A267" s="2">
        <v>44202</v>
      </c>
      <c r="B267" s="3">
        <v>25.07</v>
      </c>
      <c r="C267" s="3">
        <f t="shared" si="18"/>
        <v>25.07</v>
      </c>
      <c r="D267" s="3">
        <v>3748.14</v>
      </c>
      <c r="E267" s="3">
        <f t="shared" si="19"/>
        <v>3748.14</v>
      </c>
      <c r="F267" s="3">
        <f>MAX($E$2:E267)</f>
        <v>3756.07</v>
      </c>
      <c r="G267" s="3">
        <f t="shared" si="16"/>
        <v>-0.21112492578680087</v>
      </c>
      <c r="I267" s="2">
        <v>44096</v>
      </c>
      <c r="J267" s="3">
        <f>IFERROR(VLOOKUP(I267,$A$1:$G$1610,3,FALSE),J266)</f>
        <v>26.86</v>
      </c>
      <c r="K267" s="3">
        <f>IFERROR(VLOOKUP(I267,$A$1:$G$1610,7,FALSE),K266)</f>
        <v>-7.4080383373733527</v>
      </c>
      <c r="L267" s="5">
        <f t="shared" si="17"/>
        <v>0</v>
      </c>
    </row>
    <row r="268" spans="1:12" x14ac:dyDescent="0.25">
      <c r="A268" s="2">
        <v>44203</v>
      </c>
      <c r="B268" s="3">
        <v>22.37</v>
      </c>
      <c r="C268" s="3">
        <f t="shared" si="18"/>
        <v>22.37</v>
      </c>
      <c r="D268" s="3">
        <v>3803.79</v>
      </c>
      <c r="E268" s="3">
        <f t="shared" si="19"/>
        <v>3803.79</v>
      </c>
      <c r="F268" s="3">
        <f>MAX($E$2:E268)</f>
        <v>3803.79</v>
      </c>
      <c r="G268" s="3">
        <f t="shared" si="16"/>
        <v>0</v>
      </c>
      <c r="I268" s="2">
        <v>44097</v>
      </c>
      <c r="J268" s="3">
        <f>IFERROR(VLOOKUP(I268,$A$1:$G$1610,3,FALSE),J267)</f>
        <v>28.58</v>
      </c>
      <c r="K268" s="3">
        <f>IFERROR(VLOOKUP(I268,$A$1:$G$1610,7,FALSE),K267)</f>
        <v>-9.6044503524312752</v>
      </c>
      <c r="L268" s="5">
        <f t="shared" si="17"/>
        <v>0</v>
      </c>
    </row>
    <row r="269" spans="1:12" x14ac:dyDescent="0.25">
      <c r="A269" s="2">
        <v>44204</v>
      </c>
      <c r="B269" s="3">
        <v>21.56</v>
      </c>
      <c r="C269" s="3">
        <f t="shared" si="18"/>
        <v>21.56</v>
      </c>
      <c r="D269" s="3">
        <v>3824.68</v>
      </c>
      <c r="E269" s="3">
        <f t="shared" si="19"/>
        <v>3824.68</v>
      </c>
      <c r="F269" s="3">
        <f>MAX($E$2:E269)</f>
        <v>3824.68</v>
      </c>
      <c r="G269" s="3">
        <f t="shared" si="16"/>
        <v>0</v>
      </c>
      <c r="I269" s="2">
        <v>44098</v>
      </c>
      <c r="J269" s="3">
        <f>IFERROR(VLOOKUP(I269,$A$1:$G$1610,3,FALSE),J268)</f>
        <v>28.51</v>
      </c>
      <c r="K269" s="3">
        <f>IFERROR(VLOOKUP(I269,$A$1:$G$1610,7,FALSE),K268)</f>
        <v>-9.3344019838920467</v>
      </c>
      <c r="L269" s="5">
        <f t="shared" si="17"/>
        <v>0</v>
      </c>
    </row>
    <row r="270" spans="1:12" x14ac:dyDescent="0.25">
      <c r="A270" s="2">
        <v>44207</v>
      </c>
      <c r="B270" s="3">
        <v>24.08</v>
      </c>
      <c r="C270" s="3">
        <f t="shared" si="18"/>
        <v>24.08</v>
      </c>
      <c r="D270" s="3">
        <v>3799.61</v>
      </c>
      <c r="E270" s="3">
        <f t="shared" si="19"/>
        <v>3799.61</v>
      </c>
      <c r="F270" s="3">
        <f>MAX($E$2:E270)</f>
        <v>3824.68</v>
      </c>
      <c r="G270" s="3">
        <f t="shared" si="16"/>
        <v>-0.65547967411651986</v>
      </c>
      <c r="I270" s="2">
        <v>44099</v>
      </c>
      <c r="J270" s="3">
        <f>IFERROR(VLOOKUP(I270,$A$1:$G$1610,3,FALSE),J269)</f>
        <v>26.38</v>
      </c>
      <c r="K270" s="3">
        <f>IFERROR(VLOOKUP(I270,$A$1:$G$1610,7,FALSE),K269)</f>
        <v>-7.8858591838786465</v>
      </c>
      <c r="L270" s="5">
        <f t="shared" si="17"/>
        <v>0</v>
      </c>
    </row>
    <row r="271" spans="1:12" x14ac:dyDescent="0.25">
      <c r="A271" s="2">
        <v>44208</v>
      </c>
      <c r="B271" s="3">
        <v>23.33</v>
      </c>
      <c r="C271" s="3">
        <f t="shared" si="18"/>
        <v>23.33</v>
      </c>
      <c r="D271" s="3">
        <v>3801.19</v>
      </c>
      <c r="E271" s="3">
        <f t="shared" si="19"/>
        <v>3801.19</v>
      </c>
      <c r="F271" s="3">
        <f>MAX($E$2:E271)</f>
        <v>3824.68</v>
      </c>
      <c r="G271" s="3">
        <f t="shared" si="16"/>
        <v>-0.61416902852002742</v>
      </c>
      <c r="I271" s="2">
        <v>44100</v>
      </c>
      <c r="J271" s="3">
        <f>IFERROR(VLOOKUP(I271,$A$1:$G$1610,3,FALSE),J270)</f>
        <v>26.38</v>
      </c>
      <c r="K271" s="3">
        <f>IFERROR(VLOOKUP(I271,$A$1:$G$1610,7,FALSE),K270)</f>
        <v>-7.8858591838786465</v>
      </c>
      <c r="L271" s="5">
        <f t="shared" si="17"/>
        <v>0</v>
      </c>
    </row>
    <row r="272" spans="1:12" x14ac:dyDescent="0.25">
      <c r="A272" s="2">
        <v>44209</v>
      </c>
      <c r="B272" s="3">
        <v>22.21</v>
      </c>
      <c r="C272" s="3">
        <f t="shared" si="18"/>
        <v>22.21</v>
      </c>
      <c r="D272" s="3">
        <v>3809.84</v>
      </c>
      <c r="E272" s="3">
        <f t="shared" si="19"/>
        <v>3809.84</v>
      </c>
      <c r="F272" s="3">
        <f>MAX($E$2:E272)</f>
        <v>3824.68</v>
      </c>
      <c r="G272" s="3">
        <f t="shared" si="16"/>
        <v>-0.38800631686833126</v>
      </c>
      <c r="I272" s="2">
        <v>44101</v>
      </c>
      <c r="J272" s="3">
        <f>IFERROR(VLOOKUP(I272,$A$1:$G$1610,3,FALSE),J271)</f>
        <v>26.38</v>
      </c>
      <c r="K272" s="3">
        <f>IFERROR(VLOOKUP(I272,$A$1:$G$1610,7,FALSE),K271)</f>
        <v>-7.8858591838786465</v>
      </c>
      <c r="L272" s="5">
        <f t="shared" si="17"/>
        <v>0</v>
      </c>
    </row>
    <row r="273" spans="1:12" x14ac:dyDescent="0.25">
      <c r="A273" s="2">
        <v>44210</v>
      </c>
      <c r="B273" s="3">
        <v>23.25</v>
      </c>
      <c r="C273" s="3">
        <f t="shared" si="18"/>
        <v>23.25</v>
      </c>
      <c r="D273" s="3">
        <v>3795.54</v>
      </c>
      <c r="E273" s="3">
        <f t="shared" si="19"/>
        <v>3795.54</v>
      </c>
      <c r="F273" s="3">
        <f>MAX($E$2:E273)</f>
        <v>3824.68</v>
      </c>
      <c r="G273" s="3">
        <f t="shared" si="16"/>
        <v>-0.76189380549483543</v>
      </c>
      <c r="I273" s="2">
        <v>44102</v>
      </c>
      <c r="J273" s="3">
        <f>IFERROR(VLOOKUP(I273,$A$1:$G$1610,3,FALSE),J272)</f>
        <v>26.19</v>
      </c>
      <c r="K273" s="3">
        <f>IFERROR(VLOOKUP(I273,$A$1:$G$1610,7,FALSE),K272)</f>
        <v>-6.4018498452877051</v>
      </c>
      <c r="L273" s="5">
        <f t="shared" si="17"/>
        <v>0</v>
      </c>
    </row>
    <row r="274" spans="1:12" x14ac:dyDescent="0.25">
      <c r="A274" s="2">
        <v>44211</v>
      </c>
      <c r="B274" s="3">
        <v>24.34</v>
      </c>
      <c r="C274" s="3">
        <f t="shared" si="18"/>
        <v>24.34</v>
      </c>
      <c r="D274" s="3">
        <v>3768.25</v>
      </c>
      <c r="E274" s="3">
        <f t="shared" si="19"/>
        <v>3768.25</v>
      </c>
      <c r="F274" s="3">
        <f>MAX($E$2:E274)</f>
        <v>3824.68</v>
      </c>
      <c r="G274" s="3">
        <f t="shared" si="16"/>
        <v>-1.4754175512722592</v>
      </c>
      <c r="I274" s="2">
        <v>44103</v>
      </c>
      <c r="J274" s="3">
        <f>IFERROR(VLOOKUP(I274,$A$1:$G$1610,3,FALSE),J273)</f>
        <v>26.27</v>
      </c>
      <c r="K274" s="3">
        <f>IFERROR(VLOOKUP(I274,$A$1:$G$1610,7,FALSE),K273)</f>
        <v>-6.8523028116308007</v>
      </c>
      <c r="L274" s="5">
        <f t="shared" si="17"/>
        <v>0</v>
      </c>
    </row>
    <row r="275" spans="1:12" x14ac:dyDescent="0.25">
      <c r="A275" s="2">
        <v>44214</v>
      </c>
      <c r="C275" s="3">
        <f t="shared" si="18"/>
        <v>24.34</v>
      </c>
      <c r="E275" s="3">
        <f t="shared" si="19"/>
        <v>3768.25</v>
      </c>
      <c r="F275" s="3">
        <f>MAX($E$2:E275)</f>
        <v>3824.68</v>
      </c>
      <c r="G275" s="3">
        <f t="shared" si="16"/>
        <v>-1.4754175512722592</v>
      </c>
      <c r="I275" s="2">
        <v>44104</v>
      </c>
      <c r="J275" s="3">
        <f>IFERROR(VLOOKUP(I275,$A$1:$G$1610,3,FALSE),J274)</f>
        <v>26.37</v>
      </c>
      <c r="K275" s="3">
        <f>IFERROR(VLOOKUP(I275,$A$1:$G$1610,7,FALSE),K274)</f>
        <v>-6.0834887903397004</v>
      </c>
      <c r="L275" s="5">
        <f t="shared" si="17"/>
        <v>0</v>
      </c>
    </row>
    <row r="276" spans="1:12" x14ac:dyDescent="0.25">
      <c r="A276" s="2">
        <v>44215</v>
      </c>
      <c r="B276" s="3">
        <v>23.24</v>
      </c>
      <c r="C276" s="3">
        <f t="shared" si="18"/>
        <v>23.24</v>
      </c>
      <c r="D276" s="3">
        <v>3798.91</v>
      </c>
      <c r="E276" s="3">
        <f t="shared" si="19"/>
        <v>3798.91</v>
      </c>
      <c r="F276" s="3">
        <f>MAX($E$2:E276)</f>
        <v>3824.68</v>
      </c>
      <c r="G276" s="3">
        <f t="shared" si="16"/>
        <v>-0.67378185887446751</v>
      </c>
      <c r="I276" s="2">
        <v>44105</v>
      </c>
      <c r="J276" s="3">
        <f>IFERROR(VLOOKUP(I276,$A$1:$G$1610,3,FALSE),J275)</f>
        <v>26.7</v>
      </c>
      <c r="K276" s="3">
        <f>IFERROR(VLOOKUP(I276,$A$1:$G$1610,7,FALSE),K275)</f>
        <v>-5.5863987220875533</v>
      </c>
      <c r="L276" s="5">
        <f t="shared" si="17"/>
        <v>0</v>
      </c>
    </row>
    <row r="277" spans="1:12" x14ac:dyDescent="0.25">
      <c r="A277" s="2">
        <v>44216</v>
      </c>
      <c r="B277" s="3">
        <v>21.58</v>
      </c>
      <c r="C277" s="3">
        <f t="shared" si="18"/>
        <v>21.58</v>
      </c>
      <c r="D277" s="3">
        <v>3851.85</v>
      </c>
      <c r="E277" s="3">
        <f t="shared" si="19"/>
        <v>3851.85</v>
      </c>
      <c r="F277" s="3">
        <f>MAX($E$2:E277)</f>
        <v>3851.85</v>
      </c>
      <c r="G277" s="3">
        <f t="shared" si="16"/>
        <v>0</v>
      </c>
      <c r="I277" s="2">
        <v>44106</v>
      </c>
      <c r="J277" s="3">
        <f>IFERROR(VLOOKUP(I277,$A$1:$G$1610,3,FALSE),J276)</f>
        <v>27.63</v>
      </c>
      <c r="K277" s="3">
        <f>IFERROR(VLOOKUP(I277,$A$1:$G$1610,7,FALSE),K276)</f>
        <v>-6.4900972956066196</v>
      </c>
      <c r="L277" s="5">
        <f t="shared" si="17"/>
        <v>0</v>
      </c>
    </row>
    <row r="278" spans="1:12" x14ac:dyDescent="0.25">
      <c r="A278" s="2">
        <v>44217</v>
      </c>
      <c r="B278" s="3">
        <v>21.32</v>
      </c>
      <c r="C278" s="3">
        <f t="shared" si="18"/>
        <v>21.32</v>
      </c>
      <c r="D278" s="3">
        <v>3853.07</v>
      </c>
      <c r="E278" s="3">
        <f t="shared" si="19"/>
        <v>3853.07</v>
      </c>
      <c r="F278" s="3">
        <f>MAX($E$2:E278)</f>
        <v>3853.07</v>
      </c>
      <c r="G278" s="3">
        <f t="shared" si="16"/>
        <v>0</v>
      </c>
      <c r="I278" s="2">
        <v>44107</v>
      </c>
      <c r="J278" s="3">
        <f>IFERROR(VLOOKUP(I278,$A$1:$G$1610,3,FALSE),J277)</f>
        <v>27.63</v>
      </c>
      <c r="K278" s="3">
        <f>IFERROR(VLOOKUP(I278,$A$1:$G$1610,7,FALSE),K277)</f>
        <v>-6.4900972956066196</v>
      </c>
      <c r="L278" s="5">
        <f t="shared" si="17"/>
        <v>0</v>
      </c>
    </row>
    <row r="279" spans="1:12" x14ac:dyDescent="0.25">
      <c r="A279" s="2">
        <v>44218</v>
      </c>
      <c r="B279" s="3">
        <v>21.91</v>
      </c>
      <c r="C279" s="3">
        <f t="shared" si="18"/>
        <v>21.91</v>
      </c>
      <c r="D279" s="3">
        <v>3841.47</v>
      </c>
      <c r="E279" s="3">
        <f t="shared" si="19"/>
        <v>3841.47</v>
      </c>
      <c r="F279" s="3">
        <f>MAX($E$2:E279)</f>
        <v>3853.07</v>
      </c>
      <c r="G279" s="3">
        <f t="shared" si="16"/>
        <v>-0.30105863636010671</v>
      </c>
      <c r="I279" s="2">
        <v>44108</v>
      </c>
      <c r="J279" s="3">
        <f>IFERROR(VLOOKUP(I279,$A$1:$G$1610,3,FALSE),J278)</f>
        <v>27.63</v>
      </c>
      <c r="K279" s="3">
        <f>IFERROR(VLOOKUP(I279,$A$1:$G$1610,7,FALSE),K278)</f>
        <v>-6.4900972956066196</v>
      </c>
      <c r="L279" s="5">
        <f t="shared" si="17"/>
        <v>0</v>
      </c>
    </row>
    <row r="280" spans="1:12" x14ac:dyDescent="0.25">
      <c r="A280" s="2">
        <v>44221</v>
      </c>
      <c r="B280" s="3">
        <v>23.19</v>
      </c>
      <c r="C280" s="3">
        <f t="shared" si="18"/>
        <v>23.19</v>
      </c>
      <c r="D280" s="3">
        <v>3855.36</v>
      </c>
      <c r="E280" s="3">
        <f t="shared" si="19"/>
        <v>3855.36</v>
      </c>
      <c r="F280" s="3">
        <f>MAX($E$2:E280)</f>
        <v>3855.36</v>
      </c>
      <c r="G280" s="3">
        <f t="shared" si="16"/>
        <v>0</v>
      </c>
      <c r="I280" s="2">
        <v>44109</v>
      </c>
      <c r="J280" s="3">
        <f>IFERROR(VLOOKUP(I280,$A$1:$G$1610,3,FALSE),J279)</f>
        <v>27.96</v>
      </c>
      <c r="K280" s="3">
        <f>IFERROR(VLOOKUP(I280,$A$1:$G$1610,7,FALSE),K279)</f>
        <v>-4.8092067782978303</v>
      </c>
      <c r="L280" s="5">
        <f t="shared" si="17"/>
        <v>0</v>
      </c>
    </row>
    <row r="281" spans="1:12" x14ac:dyDescent="0.25">
      <c r="A281" s="2">
        <v>44222</v>
      </c>
      <c r="B281" s="3">
        <v>23.02</v>
      </c>
      <c r="C281" s="3">
        <f t="shared" si="18"/>
        <v>23.02</v>
      </c>
      <c r="D281" s="3">
        <v>3849.62</v>
      </c>
      <c r="E281" s="3">
        <f t="shared" si="19"/>
        <v>3849.62</v>
      </c>
      <c r="F281" s="3">
        <f>MAX($E$2:E281)</f>
        <v>3855.36</v>
      </c>
      <c r="G281" s="3">
        <f t="shared" si="16"/>
        <v>-0.14888363213812034</v>
      </c>
      <c r="I281" s="2">
        <v>44110</v>
      </c>
      <c r="J281" s="3">
        <f>IFERROR(VLOOKUP(I281,$A$1:$G$1610,3,FALSE),J280)</f>
        <v>29.48</v>
      </c>
      <c r="K281" s="3">
        <f>IFERROR(VLOOKUP(I281,$A$1:$G$1610,7,FALSE),K280)</f>
        <v>-6.1407379274136886</v>
      </c>
      <c r="L281" s="5">
        <f t="shared" si="17"/>
        <v>0</v>
      </c>
    </row>
    <row r="282" spans="1:12" x14ac:dyDescent="0.25">
      <c r="A282" s="2">
        <v>44223</v>
      </c>
      <c r="B282" s="3">
        <v>37.21</v>
      </c>
      <c r="C282" s="3">
        <f t="shared" si="18"/>
        <v>37.21</v>
      </c>
      <c r="D282" s="3">
        <v>3750.77</v>
      </c>
      <c r="E282" s="3">
        <f t="shared" si="19"/>
        <v>3750.77</v>
      </c>
      <c r="F282" s="3">
        <f>MAX($E$2:E282)</f>
        <v>3855.36</v>
      </c>
      <c r="G282" s="3">
        <f t="shared" si="16"/>
        <v>-2.7128465305444922</v>
      </c>
      <c r="I282" s="2">
        <v>44111</v>
      </c>
      <c r="J282" s="3">
        <f>IFERROR(VLOOKUP(I282,$A$1:$G$1610,3,FALSE),J281)</f>
        <v>28.06</v>
      </c>
      <c r="K282" s="3">
        <f>IFERROR(VLOOKUP(I282,$A$1:$G$1610,7,FALSE),K281)</f>
        <v>-4.507043040180525</v>
      </c>
      <c r="L282" s="5">
        <f t="shared" si="17"/>
        <v>0</v>
      </c>
    </row>
    <row r="283" spans="1:12" x14ac:dyDescent="0.25">
      <c r="A283" s="2">
        <v>44224</v>
      </c>
      <c r="B283" s="3">
        <v>30.21</v>
      </c>
      <c r="C283" s="3">
        <f t="shared" si="18"/>
        <v>30.21</v>
      </c>
      <c r="D283" s="3">
        <v>3787.38</v>
      </c>
      <c r="E283" s="3">
        <f t="shared" si="19"/>
        <v>3787.38</v>
      </c>
      <c r="F283" s="3">
        <f>MAX($E$2:E283)</f>
        <v>3855.36</v>
      </c>
      <c r="G283" s="3">
        <f t="shared" si="16"/>
        <v>-1.7632594621513948</v>
      </c>
      <c r="I283" s="2">
        <v>44112</v>
      </c>
      <c r="J283" s="3">
        <f>IFERROR(VLOOKUP(I283,$A$1:$G$1610,3,FALSE),J282)</f>
        <v>26.36</v>
      </c>
      <c r="K283" s="3">
        <f>IFERROR(VLOOKUP(I283,$A$1:$G$1610,7,FALSE),K282)</f>
        <v>-3.7424179801387445</v>
      </c>
      <c r="L283" s="5">
        <f t="shared" si="17"/>
        <v>0</v>
      </c>
    </row>
    <row r="284" spans="1:12" x14ac:dyDescent="0.25">
      <c r="A284" s="2">
        <v>44225</v>
      </c>
      <c r="B284" s="3">
        <v>33.090000000000003</v>
      </c>
      <c r="C284" s="3">
        <f t="shared" si="18"/>
        <v>33.090000000000003</v>
      </c>
      <c r="D284" s="3">
        <v>3714.24</v>
      </c>
      <c r="E284" s="3">
        <f t="shared" si="19"/>
        <v>3714.24</v>
      </c>
      <c r="F284" s="3">
        <f>MAX($E$2:E284)</f>
        <v>3855.36</v>
      </c>
      <c r="G284" s="3">
        <f t="shared" si="16"/>
        <v>-3.6603585657370603</v>
      </c>
      <c r="I284" s="2">
        <v>44113</v>
      </c>
      <c r="J284" s="3">
        <f>IFERROR(VLOOKUP(I284,$A$1:$G$1610,3,FALSE),J283)</f>
        <v>25</v>
      </c>
      <c r="K284" s="3">
        <f>IFERROR(VLOOKUP(I284,$A$1:$G$1610,7,FALSE),K283)</f>
        <v>-2.8962478077769473</v>
      </c>
      <c r="L284" s="5">
        <f t="shared" si="17"/>
        <v>0</v>
      </c>
    </row>
    <row r="285" spans="1:12" x14ac:dyDescent="0.25">
      <c r="A285" s="2">
        <v>44228</v>
      </c>
      <c r="B285" s="3">
        <v>30.24</v>
      </c>
      <c r="C285" s="3">
        <f t="shared" si="18"/>
        <v>30.24</v>
      </c>
      <c r="D285" s="3">
        <v>3773.86</v>
      </c>
      <c r="E285" s="3">
        <f t="shared" si="19"/>
        <v>3773.86</v>
      </c>
      <c r="F285" s="3">
        <f>MAX($E$2:E285)</f>
        <v>3855.36</v>
      </c>
      <c r="G285" s="3">
        <f t="shared" si="16"/>
        <v>-2.1139400730411686</v>
      </c>
      <c r="I285" s="2">
        <v>44114</v>
      </c>
      <c r="J285" s="3">
        <f>IFERROR(VLOOKUP(I285,$A$1:$G$1610,3,FALSE),J284)</f>
        <v>25</v>
      </c>
      <c r="K285" s="3">
        <f>IFERROR(VLOOKUP(I285,$A$1:$G$1610,7,FALSE),K284)</f>
        <v>-2.8962478077769473</v>
      </c>
      <c r="L285" s="5">
        <f t="shared" si="17"/>
        <v>0</v>
      </c>
    </row>
    <row r="286" spans="1:12" x14ac:dyDescent="0.25">
      <c r="A286" s="2">
        <v>44229</v>
      </c>
      <c r="B286" s="3">
        <v>25.56</v>
      </c>
      <c r="C286" s="3">
        <f t="shared" si="18"/>
        <v>25.56</v>
      </c>
      <c r="D286" s="3">
        <v>3826.31</v>
      </c>
      <c r="E286" s="3">
        <f t="shared" si="19"/>
        <v>3826.31</v>
      </c>
      <c r="F286" s="3">
        <f>MAX($E$2:E286)</f>
        <v>3855.36</v>
      </c>
      <c r="G286" s="3">
        <f t="shared" si="16"/>
        <v>-0.75349643094289975</v>
      </c>
      <c r="I286" s="2">
        <v>44115</v>
      </c>
      <c r="J286" s="3">
        <f>IFERROR(VLOOKUP(I286,$A$1:$G$1610,3,FALSE),J285)</f>
        <v>25</v>
      </c>
      <c r="K286" s="3">
        <f>IFERROR(VLOOKUP(I286,$A$1:$G$1610,7,FALSE),K285)</f>
        <v>-2.8962478077769473</v>
      </c>
      <c r="L286" s="5">
        <f t="shared" si="17"/>
        <v>0</v>
      </c>
    </row>
    <row r="287" spans="1:12" x14ac:dyDescent="0.25">
      <c r="A287" s="2">
        <v>44230</v>
      </c>
      <c r="B287" s="3">
        <v>22.91</v>
      </c>
      <c r="C287" s="3">
        <f t="shared" si="18"/>
        <v>22.91</v>
      </c>
      <c r="D287" s="3">
        <v>3830.17</v>
      </c>
      <c r="E287" s="3">
        <f t="shared" si="19"/>
        <v>3830.17</v>
      </c>
      <c r="F287" s="3">
        <f>MAX($E$2:E287)</f>
        <v>3855.36</v>
      </c>
      <c r="G287" s="3">
        <f t="shared" si="16"/>
        <v>-0.65337607901726569</v>
      </c>
      <c r="I287" s="2">
        <v>44116</v>
      </c>
      <c r="J287" s="3">
        <f>IFERROR(VLOOKUP(I287,$A$1:$G$1610,3,FALSE),J286)</f>
        <v>25.07</v>
      </c>
      <c r="K287" s="3">
        <f>IFERROR(VLOOKUP(I287,$A$1:$G$1610,7,FALSE),K286)</f>
        <v>-1.3019291562873612</v>
      </c>
      <c r="L287" s="5">
        <f t="shared" si="17"/>
        <v>0</v>
      </c>
    </row>
    <row r="288" spans="1:12" x14ac:dyDescent="0.25">
      <c r="A288" s="2">
        <v>44231</v>
      </c>
      <c r="B288" s="3">
        <v>21.77</v>
      </c>
      <c r="C288" s="3">
        <f t="shared" si="18"/>
        <v>21.77</v>
      </c>
      <c r="D288" s="3">
        <v>3871.74</v>
      </c>
      <c r="E288" s="3">
        <f t="shared" si="19"/>
        <v>3871.74</v>
      </c>
      <c r="F288" s="3">
        <f>MAX($E$2:E288)</f>
        <v>3871.74</v>
      </c>
      <c r="G288" s="3">
        <f t="shared" si="16"/>
        <v>0</v>
      </c>
      <c r="I288" s="2">
        <v>44117</v>
      </c>
      <c r="J288" s="3">
        <f>IFERROR(VLOOKUP(I288,$A$1:$G$1610,3,FALSE),J287)</f>
        <v>26.07</v>
      </c>
      <c r="K288" s="3">
        <f>IFERROR(VLOOKUP(I288,$A$1:$G$1610,7,FALSE),K287)</f>
        <v>-1.9244087979356883</v>
      </c>
      <c r="L288" s="5">
        <f t="shared" si="17"/>
        <v>0</v>
      </c>
    </row>
    <row r="289" spans="1:12" x14ac:dyDescent="0.25">
      <c r="A289" s="2">
        <v>44232</v>
      </c>
      <c r="B289" s="3">
        <v>20.87</v>
      </c>
      <c r="C289" s="3">
        <f t="shared" si="18"/>
        <v>20.87</v>
      </c>
      <c r="D289" s="3">
        <v>3886.83</v>
      </c>
      <c r="E289" s="3">
        <f t="shared" si="19"/>
        <v>3886.83</v>
      </c>
      <c r="F289" s="3">
        <f>MAX($E$2:E289)</f>
        <v>3886.83</v>
      </c>
      <c r="G289" s="3">
        <f t="shared" si="16"/>
        <v>0</v>
      </c>
      <c r="I289" s="2">
        <v>44118</v>
      </c>
      <c r="J289" s="3">
        <f>IFERROR(VLOOKUP(I289,$A$1:$G$1610,3,FALSE),J288)</f>
        <v>26.4</v>
      </c>
      <c r="K289" s="3">
        <f>IFERROR(VLOOKUP(I289,$A$1:$G$1610,7,FALSE),K288)</f>
        <v>-2.5739770556629189</v>
      </c>
      <c r="L289" s="5">
        <f t="shared" si="17"/>
        <v>0</v>
      </c>
    </row>
    <row r="290" spans="1:12" x14ac:dyDescent="0.25">
      <c r="A290" s="2">
        <v>44235</v>
      </c>
      <c r="B290" s="3">
        <v>21.24</v>
      </c>
      <c r="C290" s="3">
        <f t="shared" si="18"/>
        <v>21.24</v>
      </c>
      <c r="D290" s="3">
        <v>3915.59</v>
      </c>
      <c r="E290" s="3">
        <f t="shared" si="19"/>
        <v>3915.59</v>
      </c>
      <c r="F290" s="3">
        <f>MAX($E$2:E290)</f>
        <v>3915.59</v>
      </c>
      <c r="G290" s="3">
        <f t="shared" si="16"/>
        <v>0</v>
      </c>
      <c r="I290" s="2">
        <v>44119</v>
      </c>
      <c r="J290" s="3">
        <f>IFERROR(VLOOKUP(I290,$A$1:$G$1610,3,FALSE),J289)</f>
        <v>26.97</v>
      </c>
      <c r="K290" s="3">
        <f>IFERROR(VLOOKUP(I290,$A$1:$G$1610,7,FALSE),K289)</f>
        <v>-2.7228248120552716</v>
      </c>
      <c r="L290" s="5">
        <f t="shared" si="17"/>
        <v>0</v>
      </c>
    </row>
    <row r="291" spans="1:12" x14ac:dyDescent="0.25">
      <c r="A291" s="2">
        <v>44236</v>
      </c>
      <c r="B291" s="3">
        <v>21.63</v>
      </c>
      <c r="C291" s="3">
        <f t="shared" si="18"/>
        <v>21.63</v>
      </c>
      <c r="D291" s="3">
        <v>3911.23</v>
      </c>
      <c r="E291" s="3">
        <f t="shared" si="19"/>
        <v>3911.23</v>
      </c>
      <c r="F291" s="3">
        <f>MAX($E$2:E291)</f>
        <v>3915.59</v>
      </c>
      <c r="G291" s="3">
        <f t="shared" si="16"/>
        <v>-0.11134975827397985</v>
      </c>
      <c r="I291" s="2">
        <v>44120</v>
      </c>
      <c r="J291" s="3">
        <f>IFERROR(VLOOKUP(I291,$A$1:$G$1610,3,FALSE),J290)</f>
        <v>27.41</v>
      </c>
      <c r="K291" s="3">
        <f>IFERROR(VLOOKUP(I291,$A$1:$G$1610,7,FALSE),K290)</f>
        <v>-2.7096994001407548</v>
      </c>
      <c r="L291" s="5">
        <f t="shared" si="17"/>
        <v>0</v>
      </c>
    </row>
    <row r="292" spans="1:12" x14ac:dyDescent="0.25">
      <c r="A292" s="2">
        <v>44237</v>
      </c>
      <c r="B292" s="3">
        <v>21.99</v>
      </c>
      <c r="C292" s="3">
        <f t="shared" si="18"/>
        <v>21.99</v>
      </c>
      <c r="D292" s="3">
        <v>3909.88</v>
      </c>
      <c r="E292" s="3">
        <f t="shared" si="19"/>
        <v>3909.88</v>
      </c>
      <c r="F292" s="3">
        <f>MAX($E$2:E292)</f>
        <v>3915.59</v>
      </c>
      <c r="G292" s="3">
        <f t="shared" si="16"/>
        <v>-0.14582732104229595</v>
      </c>
      <c r="I292" s="2">
        <v>44121</v>
      </c>
      <c r="J292" s="3">
        <f>IFERROR(VLOOKUP(I292,$A$1:$G$1610,3,FALSE),J291)</f>
        <v>27.41</v>
      </c>
      <c r="K292" s="3">
        <f>IFERROR(VLOOKUP(I292,$A$1:$G$1610,7,FALSE),K291)</f>
        <v>-2.7096994001407548</v>
      </c>
      <c r="L292" s="5">
        <f t="shared" si="17"/>
        <v>0</v>
      </c>
    </row>
    <row r="293" spans="1:12" x14ac:dyDescent="0.25">
      <c r="A293" s="2">
        <v>44238</v>
      </c>
      <c r="B293" s="3">
        <v>21.25</v>
      </c>
      <c r="C293" s="3">
        <f t="shared" si="18"/>
        <v>21.25</v>
      </c>
      <c r="D293" s="3">
        <v>3916.38</v>
      </c>
      <c r="E293" s="3">
        <f t="shared" si="19"/>
        <v>3916.38</v>
      </c>
      <c r="F293" s="3">
        <f>MAX($E$2:E293)</f>
        <v>3916.38</v>
      </c>
      <c r="G293" s="3">
        <f t="shared" si="16"/>
        <v>0</v>
      </c>
      <c r="I293" s="2">
        <v>44122</v>
      </c>
      <c r="J293" s="3">
        <f>IFERROR(VLOOKUP(I293,$A$1:$G$1610,3,FALSE),J292)</f>
        <v>27.41</v>
      </c>
      <c r="K293" s="3">
        <f>IFERROR(VLOOKUP(I293,$A$1:$G$1610,7,FALSE),K292)</f>
        <v>-2.7096994001407548</v>
      </c>
      <c r="L293" s="5">
        <f t="shared" si="17"/>
        <v>0</v>
      </c>
    </row>
    <row r="294" spans="1:12" x14ac:dyDescent="0.25">
      <c r="A294" s="2">
        <v>44239</v>
      </c>
      <c r="B294" s="3">
        <v>19.97</v>
      </c>
      <c r="C294" s="3">
        <f t="shared" si="18"/>
        <v>19.97</v>
      </c>
      <c r="D294" s="3">
        <v>3934.83</v>
      </c>
      <c r="E294" s="3">
        <f t="shared" si="19"/>
        <v>3934.83</v>
      </c>
      <c r="F294" s="3">
        <f>MAX($E$2:E294)</f>
        <v>3934.83</v>
      </c>
      <c r="G294" s="3">
        <f t="shared" si="16"/>
        <v>0</v>
      </c>
      <c r="I294" s="2">
        <v>44123</v>
      </c>
      <c r="J294" s="3">
        <f>IFERROR(VLOOKUP(I294,$A$1:$G$1610,3,FALSE),J293)</f>
        <v>29.18</v>
      </c>
      <c r="K294" s="3">
        <f>IFERROR(VLOOKUP(I294,$A$1:$G$1610,7,FALSE),K293)</f>
        <v>-4.2984327699645917</v>
      </c>
      <c r="L294" s="5">
        <f t="shared" si="17"/>
        <v>0</v>
      </c>
    </row>
    <row r="295" spans="1:12" x14ac:dyDescent="0.25">
      <c r="A295" s="2">
        <v>44242</v>
      </c>
      <c r="C295" s="3">
        <f t="shared" si="18"/>
        <v>19.97</v>
      </c>
      <c r="E295" s="3">
        <f t="shared" si="19"/>
        <v>3934.83</v>
      </c>
      <c r="F295" s="3">
        <f>MAX($E$2:E295)</f>
        <v>3934.83</v>
      </c>
      <c r="G295" s="3">
        <f t="shared" si="16"/>
        <v>0</v>
      </c>
      <c r="I295" s="2">
        <v>44124</v>
      </c>
      <c r="J295" s="3">
        <f>IFERROR(VLOOKUP(I295,$A$1:$G$1610,3,FALSE),J294)</f>
        <v>29.35</v>
      </c>
      <c r="K295" s="3">
        <f>IFERROR(VLOOKUP(I295,$A$1:$G$1610,7,FALSE),K294)</f>
        <v>-3.8460249550384891</v>
      </c>
      <c r="L295" s="5">
        <f t="shared" si="17"/>
        <v>0</v>
      </c>
    </row>
    <row r="296" spans="1:12" x14ac:dyDescent="0.25">
      <c r="A296" s="2">
        <v>44243</v>
      </c>
      <c r="B296" s="3">
        <v>21.46</v>
      </c>
      <c r="C296" s="3">
        <f t="shared" si="18"/>
        <v>21.46</v>
      </c>
      <c r="D296" s="3">
        <v>3932.59</v>
      </c>
      <c r="E296" s="3">
        <f t="shared" si="19"/>
        <v>3932.59</v>
      </c>
      <c r="F296" s="3">
        <f>MAX($E$2:E296)</f>
        <v>3934.83</v>
      </c>
      <c r="G296" s="3">
        <f t="shared" si="16"/>
        <v>-5.6927491149548565E-2</v>
      </c>
      <c r="I296" s="2">
        <v>44125</v>
      </c>
      <c r="J296" s="3">
        <f>IFERROR(VLOOKUP(I296,$A$1:$G$1610,3,FALSE),J295)</f>
        <v>28.65</v>
      </c>
      <c r="K296" s="3">
        <f>IFERROR(VLOOKUP(I296,$A$1:$G$1610,7,FALSE),K295)</f>
        <v>-4.0571486020040046</v>
      </c>
      <c r="L296" s="5">
        <f t="shared" si="17"/>
        <v>0</v>
      </c>
    </row>
    <row r="297" spans="1:12" x14ac:dyDescent="0.25">
      <c r="A297" s="2">
        <v>44244</v>
      </c>
      <c r="B297" s="3">
        <v>21.5</v>
      </c>
      <c r="C297" s="3">
        <f t="shared" si="18"/>
        <v>21.5</v>
      </c>
      <c r="D297" s="3">
        <v>3931.33</v>
      </c>
      <c r="E297" s="3">
        <f t="shared" si="19"/>
        <v>3931.33</v>
      </c>
      <c r="F297" s="3">
        <f>MAX($E$2:E297)</f>
        <v>3934.83</v>
      </c>
      <c r="G297" s="3">
        <f t="shared" si="16"/>
        <v>-8.894920492117829E-2</v>
      </c>
      <c r="I297" s="2">
        <v>44126</v>
      </c>
      <c r="J297" s="3">
        <f>IFERROR(VLOOKUP(I297,$A$1:$G$1610,3,FALSE),J296)</f>
        <v>28.11</v>
      </c>
      <c r="K297" s="3">
        <f>IFERROR(VLOOKUP(I297,$A$1:$G$1610,7,FALSE),K296)</f>
        <v>-3.5564281006691267</v>
      </c>
      <c r="L297" s="5">
        <f t="shared" si="17"/>
        <v>0</v>
      </c>
    </row>
    <row r="298" spans="1:12" x14ac:dyDescent="0.25">
      <c r="A298" s="2">
        <v>44245</v>
      </c>
      <c r="B298" s="3">
        <v>22.49</v>
      </c>
      <c r="C298" s="3">
        <f t="shared" si="18"/>
        <v>22.49</v>
      </c>
      <c r="D298" s="3">
        <v>3913.97</v>
      </c>
      <c r="E298" s="3">
        <f t="shared" si="19"/>
        <v>3913.97</v>
      </c>
      <c r="F298" s="3">
        <f>MAX($E$2:E298)</f>
        <v>3934.83</v>
      </c>
      <c r="G298" s="3">
        <f t="shared" si="16"/>
        <v>-0.53013726133022587</v>
      </c>
      <c r="I298" s="2">
        <v>44127</v>
      </c>
      <c r="J298" s="3">
        <f>IFERROR(VLOOKUP(I298,$A$1:$G$1610,3,FALSE),J297)</f>
        <v>27.55</v>
      </c>
      <c r="K298" s="3">
        <f>IFERROR(VLOOKUP(I298,$A$1:$G$1610,7,FALSE),K297)</f>
        <v>-3.2241038415567371</v>
      </c>
      <c r="L298" s="5">
        <f t="shared" si="17"/>
        <v>0</v>
      </c>
    </row>
    <row r="299" spans="1:12" x14ac:dyDescent="0.25">
      <c r="A299" s="2">
        <v>44246</v>
      </c>
      <c r="B299" s="3">
        <v>22.05</v>
      </c>
      <c r="C299" s="3">
        <f t="shared" si="18"/>
        <v>22.05</v>
      </c>
      <c r="D299" s="3">
        <v>3906.71</v>
      </c>
      <c r="E299" s="3">
        <f t="shared" si="19"/>
        <v>3906.71</v>
      </c>
      <c r="F299" s="3">
        <f>MAX($E$2:E299)</f>
        <v>3934.83</v>
      </c>
      <c r="G299" s="3">
        <f t="shared" si="16"/>
        <v>-0.7146433263952926</v>
      </c>
      <c r="I299" s="2">
        <v>44128</v>
      </c>
      <c r="J299" s="3">
        <f>IFERROR(VLOOKUP(I299,$A$1:$G$1610,3,FALSE),J298)</f>
        <v>27.55</v>
      </c>
      <c r="K299" s="3">
        <f>IFERROR(VLOOKUP(I299,$A$1:$G$1610,7,FALSE),K298)</f>
        <v>-3.2241038415567371</v>
      </c>
      <c r="L299" s="5">
        <f t="shared" si="17"/>
        <v>0</v>
      </c>
    </row>
    <row r="300" spans="1:12" x14ac:dyDescent="0.25">
      <c r="A300" s="2">
        <v>44249</v>
      </c>
      <c r="B300" s="3">
        <v>23.45</v>
      </c>
      <c r="C300" s="3">
        <f t="shared" si="18"/>
        <v>23.45</v>
      </c>
      <c r="D300" s="3">
        <v>3876.5</v>
      </c>
      <c r="E300" s="3">
        <f t="shared" si="19"/>
        <v>3876.5</v>
      </c>
      <c r="F300" s="3">
        <f>MAX($E$2:E300)</f>
        <v>3934.83</v>
      </c>
      <c r="G300" s="3">
        <f t="shared" si="16"/>
        <v>-1.4824020351578067</v>
      </c>
      <c r="I300" s="2">
        <v>44129</v>
      </c>
      <c r="J300" s="3">
        <f>IFERROR(VLOOKUP(I300,$A$1:$G$1610,3,FALSE),J299)</f>
        <v>27.55</v>
      </c>
      <c r="K300" s="3">
        <f>IFERROR(VLOOKUP(I300,$A$1:$G$1610,7,FALSE),K299)</f>
        <v>-3.2241038415567371</v>
      </c>
      <c r="L300" s="5">
        <f t="shared" si="17"/>
        <v>0</v>
      </c>
    </row>
    <row r="301" spans="1:12" x14ac:dyDescent="0.25">
      <c r="A301" s="2">
        <v>44250</v>
      </c>
      <c r="B301" s="3">
        <v>23.11</v>
      </c>
      <c r="C301" s="3">
        <f t="shared" si="18"/>
        <v>23.11</v>
      </c>
      <c r="D301" s="3">
        <v>3881.37</v>
      </c>
      <c r="E301" s="3">
        <f t="shared" si="19"/>
        <v>3881.37</v>
      </c>
      <c r="F301" s="3">
        <f>MAX($E$2:E301)</f>
        <v>3934.83</v>
      </c>
      <c r="G301" s="3">
        <f t="shared" si="16"/>
        <v>-1.3586355700246271</v>
      </c>
      <c r="I301" s="2">
        <v>44130</v>
      </c>
      <c r="J301" s="3">
        <f>IFERROR(VLOOKUP(I301,$A$1:$G$1610,3,FALSE),J300)</f>
        <v>32.46</v>
      </c>
      <c r="K301" s="3">
        <f>IFERROR(VLOOKUP(I301,$A$1:$G$1610,7,FALSE),K300)</f>
        <v>-5.0231230660962325</v>
      </c>
      <c r="L301" s="5">
        <f t="shared" si="17"/>
        <v>1</v>
      </c>
    </row>
    <row r="302" spans="1:12" x14ac:dyDescent="0.25">
      <c r="A302" s="2">
        <v>44251</v>
      </c>
      <c r="B302" s="3">
        <v>21.34</v>
      </c>
      <c r="C302" s="3">
        <f t="shared" si="18"/>
        <v>21.34</v>
      </c>
      <c r="D302" s="3">
        <v>3925.43</v>
      </c>
      <c r="E302" s="3">
        <f t="shared" si="19"/>
        <v>3925.43</v>
      </c>
      <c r="F302" s="3">
        <f>MAX($E$2:E302)</f>
        <v>3934.83</v>
      </c>
      <c r="G302" s="3">
        <f t="shared" si="16"/>
        <v>-0.23889215035973829</v>
      </c>
      <c r="I302" s="2">
        <v>44131</v>
      </c>
      <c r="J302" s="3">
        <f>IFERROR(VLOOKUP(I302,$A$1:$G$1610,3,FALSE),J301)</f>
        <v>33.35</v>
      </c>
      <c r="K302" s="3">
        <f>IFERROR(VLOOKUP(I302,$A$1:$G$1610,7,FALSE),K301)</f>
        <v>-5.3104858077992958</v>
      </c>
      <c r="L302" s="5">
        <f t="shared" si="17"/>
        <v>1</v>
      </c>
    </row>
    <row r="303" spans="1:12" x14ac:dyDescent="0.25">
      <c r="A303" s="2">
        <v>44252</v>
      </c>
      <c r="B303" s="3">
        <v>28.89</v>
      </c>
      <c r="C303" s="3">
        <f t="shared" si="18"/>
        <v>28.89</v>
      </c>
      <c r="D303" s="3">
        <v>3829.34</v>
      </c>
      <c r="E303" s="3">
        <f t="shared" si="19"/>
        <v>3829.34</v>
      </c>
      <c r="F303" s="3">
        <f>MAX($E$2:E303)</f>
        <v>3934.83</v>
      </c>
      <c r="G303" s="3">
        <f t="shared" si="16"/>
        <v>-2.6809290363243083</v>
      </c>
      <c r="I303" s="2">
        <v>44132</v>
      </c>
      <c r="J303" s="3">
        <f>IFERROR(VLOOKUP(I303,$A$1:$G$1610,3,FALSE),J302)</f>
        <v>40.28</v>
      </c>
      <c r="K303" s="3">
        <f>IFERROR(VLOOKUP(I303,$A$1:$G$1610,7,FALSE),K302)</f>
        <v>-8.6518805643368566</v>
      </c>
      <c r="L303" s="5">
        <f t="shared" si="17"/>
        <v>1</v>
      </c>
    </row>
    <row r="304" spans="1:12" x14ac:dyDescent="0.25">
      <c r="A304" s="2">
        <v>44253</v>
      </c>
      <c r="B304" s="3">
        <v>27.95</v>
      </c>
      <c r="C304" s="3">
        <f t="shared" si="18"/>
        <v>27.95</v>
      </c>
      <c r="D304" s="3">
        <v>3811.15</v>
      </c>
      <c r="E304" s="3">
        <f t="shared" si="19"/>
        <v>3811.15</v>
      </c>
      <c r="F304" s="3">
        <f>MAX($E$2:E304)</f>
        <v>3934.83</v>
      </c>
      <c r="G304" s="3">
        <f t="shared" si="16"/>
        <v>-3.1432107613289477</v>
      </c>
      <c r="I304" s="2">
        <v>44133</v>
      </c>
      <c r="J304" s="3">
        <f>IFERROR(VLOOKUP(I304,$A$1:$G$1610,3,FALSE),J303)</f>
        <v>37.590000000000003</v>
      </c>
      <c r="K304" s="3">
        <f>IFERROR(VLOOKUP(I304,$A$1:$G$1610,7,FALSE),K303)</f>
        <v>-7.5605165268484491</v>
      </c>
      <c r="L304" s="5">
        <f t="shared" si="17"/>
        <v>1</v>
      </c>
    </row>
    <row r="305" spans="1:12" x14ac:dyDescent="0.25">
      <c r="A305" s="2">
        <v>44256</v>
      </c>
      <c r="B305" s="3">
        <v>23.35</v>
      </c>
      <c r="C305" s="3">
        <f t="shared" si="18"/>
        <v>23.35</v>
      </c>
      <c r="D305" s="3">
        <v>3901.82</v>
      </c>
      <c r="E305" s="3">
        <f t="shared" si="19"/>
        <v>3901.82</v>
      </c>
      <c r="F305" s="3">
        <f>MAX($E$2:E305)</f>
        <v>3934.83</v>
      </c>
      <c r="G305" s="3">
        <f t="shared" si="16"/>
        <v>-0.83891807269944985</v>
      </c>
      <c r="I305" s="2">
        <v>44134</v>
      </c>
      <c r="J305" s="3">
        <f>IFERROR(VLOOKUP(I305,$A$1:$G$1610,3,FALSE),J304)</f>
        <v>38.020000000000003</v>
      </c>
      <c r="K305" s="3">
        <f>IFERROR(VLOOKUP(I305,$A$1:$G$1610,7,FALSE),K304)</f>
        <v>-8.6817618212486494</v>
      </c>
      <c r="L305" s="5">
        <f t="shared" si="17"/>
        <v>1</v>
      </c>
    </row>
    <row r="306" spans="1:12" x14ac:dyDescent="0.25">
      <c r="A306" s="2">
        <v>44257</v>
      </c>
      <c r="B306" s="3">
        <v>24.1</v>
      </c>
      <c r="C306" s="3">
        <f t="shared" si="18"/>
        <v>24.1</v>
      </c>
      <c r="D306" s="3">
        <v>3870.29</v>
      </c>
      <c r="E306" s="3">
        <f t="shared" si="19"/>
        <v>3870.29</v>
      </c>
      <c r="F306" s="3">
        <f>MAX($E$2:E306)</f>
        <v>3934.83</v>
      </c>
      <c r="G306" s="3">
        <f t="shared" si="16"/>
        <v>-1.640223338746527</v>
      </c>
      <c r="I306" s="2">
        <v>44135</v>
      </c>
      <c r="J306" s="3">
        <f>IFERROR(VLOOKUP(I306,$A$1:$G$1610,3,FALSE),J305)</f>
        <v>38.020000000000003</v>
      </c>
      <c r="K306" s="3">
        <f>IFERROR(VLOOKUP(I306,$A$1:$G$1610,7,FALSE),K305)</f>
        <v>-8.6817618212486494</v>
      </c>
      <c r="L306" s="5">
        <f t="shared" si="17"/>
        <v>1</v>
      </c>
    </row>
    <row r="307" spans="1:12" x14ac:dyDescent="0.25">
      <c r="A307" s="2">
        <v>44258</v>
      </c>
      <c r="B307" s="3">
        <v>26.67</v>
      </c>
      <c r="C307" s="3">
        <f t="shared" si="18"/>
        <v>26.67</v>
      </c>
      <c r="D307" s="3">
        <v>3819.72</v>
      </c>
      <c r="E307" s="3">
        <f t="shared" si="19"/>
        <v>3819.72</v>
      </c>
      <c r="F307" s="3">
        <f>MAX($E$2:E307)</f>
        <v>3934.83</v>
      </c>
      <c r="G307" s="3">
        <f t="shared" si="16"/>
        <v>-2.9254122795648132</v>
      </c>
      <c r="I307" s="2">
        <v>44136</v>
      </c>
      <c r="J307" s="3">
        <f>IFERROR(VLOOKUP(I307,$A$1:$G$1610,3,FALSE),J306)</f>
        <v>38.020000000000003</v>
      </c>
      <c r="K307" s="3">
        <f>IFERROR(VLOOKUP(I307,$A$1:$G$1610,7,FALSE),K306)</f>
        <v>-8.6817618212486494</v>
      </c>
      <c r="L307" s="5">
        <f t="shared" si="17"/>
        <v>1</v>
      </c>
    </row>
    <row r="308" spans="1:12" x14ac:dyDescent="0.25">
      <c r="A308" s="2">
        <v>44259</v>
      </c>
      <c r="B308" s="3">
        <v>28.57</v>
      </c>
      <c r="C308" s="3">
        <f t="shared" si="18"/>
        <v>28.57</v>
      </c>
      <c r="D308" s="3">
        <v>3768.47</v>
      </c>
      <c r="E308" s="3">
        <f t="shared" si="19"/>
        <v>3768.47</v>
      </c>
      <c r="F308" s="3">
        <f>MAX($E$2:E308)</f>
        <v>3934.83</v>
      </c>
      <c r="G308" s="3">
        <f t="shared" si="16"/>
        <v>-4.2278827801963521</v>
      </c>
      <c r="I308" s="2">
        <v>44137</v>
      </c>
      <c r="J308" s="3">
        <f>IFERROR(VLOOKUP(I308,$A$1:$G$1610,3,FALSE),J307)</f>
        <v>37.130000000000003</v>
      </c>
      <c r="K308" s="3">
        <f>IFERROR(VLOOKUP(I308,$A$1:$G$1610,7,FALSE),K307)</f>
        <v>-7.5568860937657192</v>
      </c>
      <c r="L308" s="5">
        <f t="shared" si="17"/>
        <v>1</v>
      </c>
    </row>
    <row r="309" spans="1:12" x14ac:dyDescent="0.25">
      <c r="A309" s="2">
        <v>44260</v>
      </c>
      <c r="B309" s="3">
        <v>24.66</v>
      </c>
      <c r="C309" s="3">
        <f t="shared" si="18"/>
        <v>24.66</v>
      </c>
      <c r="D309" s="3">
        <v>3841.94</v>
      </c>
      <c r="E309" s="3">
        <f t="shared" si="19"/>
        <v>3841.94</v>
      </c>
      <c r="F309" s="3">
        <f>MAX($E$2:E309)</f>
        <v>3934.83</v>
      </c>
      <c r="G309" s="3">
        <f t="shared" si="16"/>
        <v>-2.3607118986080691</v>
      </c>
      <c r="I309" s="2">
        <v>44138</v>
      </c>
      <c r="J309" s="3">
        <f>IFERROR(VLOOKUP(I309,$A$1:$G$1610,3,FALSE),J308)</f>
        <v>35.549999999999997</v>
      </c>
      <c r="K309" s="3">
        <f>IFERROR(VLOOKUP(I309,$A$1:$G$1610,7,FALSE),K308)</f>
        <v>-5.9114621150344693</v>
      </c>
      <c r="L309" s="5">
        <f t="shared" si="17"/>
        <v>1</v>
      </c>
    </row>
    <row r="310" spans="1:12" x14ac:dyDescent="0.25">
      <c r="A310" s="2">
        <v>44263</v>
      </c>
      <c r="B310" s="3">
        <v>25.47</v>
      </c>
      <c r="C310" s="3">
        <f t="shared" si="18"/>
        <v>25.47</v>
      </c>
      <c r="D310" s="3">
        <v>3821.35</v>
      </c>
      <c r="E310" s="3">
        <f t="shared" si="19"/>
        <v>3821.35</v>
      </c>
      <c r="F310" s="3">
        <f>MAX($E$2:E310)</f>
        <v>3934.83</v>
      </c>
      <c r="G310" s="3">
        <f t="shared" si="16"/>
        <v>-2.8839873641300899</v>
      </c>
      <c r="I310" s="2">
        <v>44139</v>
      </c>
      <c r="J310" s="3">
        <f>IFERROR(VLOOKUP(I310,$A$1:$G$1610,3,FALSE),J309)</f>
        <v>29.57</v>
      </c>
      <c r="K310" s="3">
        <f>IFERROR(VLOOKUP(I310,$A$1:$G$1610,7,FALSE),K309)</f>
        <v>-3.8370885043732783</v>
      </c>
      <c r="L310" s="5">
        <f t="shared" si="17"/>
        <v>0</v>
      </c>
    </row>
    <row r="311" spans="1:12" x14ac:dyDescent="0.25">
      <c r="A311" s="2">
        <v>44264</v>
      </c>
      <c r="B311" s="3">
        <v>24.03</v>
      </c>
      <c r="C311" s="3">
        <f t="shared" si="18"/>
        <v>24.03</v>
      </c>
      <c r="D311" s="3">
        <v>3875.44</v>
      </c>
      <c r="E311" s="3">
        <f t="shared" si="19"/>
        <v>3875.44</v>
      </c>
      <c r="F311" s="3">
        <f>MAX($E$2:E311)</f>
        <v>3934.83</v>
      </c>
      <c r="G311" s="3">
        <f t="shared" si="16"/>
        <v>-1.5093409372196478</v>
      </c>
      <c r="I311" s="2">
        <v>44140</v>
      </c>
      <c r="J311" s="3">
        <f>IFERROR(VLOOKUP(I311,$A$1:$G$1610,3,FALSE),J310)</f>
        <v>27.58</v>
      </c>
      <c r="K311" s="3">
        <f>IFERROR(VLOOKUP(I311,$A$1:$G$1610,7,FALSE),K310)</f>
        <v>-1.9657398822622716</v>
      </c>
      <c r="L311" s="5">
        <f t="shared" si="17"/>
        <v>0</v>
      </c>
    </row>
    <row r="312" spans="1:12" x14ac:dyDescent="0.25">
      <c r="A312" s="2">
        <v>44265</v>
      </c>
      <c r="B312" s="3">
        <v>22.56</v>
      </c>
      <c r="C312" s="3">
        <f t="shared" si="18"/>
        <v>22.56</v>
      </c>
      <c r="D312" s="3">
        <v>3898.81</v>
      </c>
      <c r="E312" s="3">
        <f t="shared" si="19"/>
        <v>3898.81</v>
      </c>
      <c r="F312" s="3">
        <f>MAX($E$2:E312)</f>
        <v>3934.83</v>
      </c>
      <c r="G312" s="3">
        <f t="shared" si="16"/>
        <v>-0.91541438893166882</v>
      </c>
      <c r="I312" s="2">
        <v>44141</v>
      </c>
      <c r="J312" s="3">
        <f>IFERROR(VLOOKUP(I312,$A$1:$G$1610,3,FALSE),J311)</f>
        <v>24.86</v>
      </c>
      <c r="K312" s="3">
        <f>IFERROR(VLOOKUP(I312,$A$1:$G$1610,7,FALSE),K311)</f>
        <v>-1.9939455546743245</v>
      </c>
      <c r="L312" s="5">
        <f t="shared" si="17"/>
        <v>0</v>
      </c>
    </row>
    <row r="313" spans="1:12" x14ac:dyDescent="0.25">
      <c r="A313" s="2">
        <v>44266</v>
      </c>
      <c r="B313" s="3">
        <v>21.91</v>
      </c>
      <c r="C313" s="3">
        <f t="shared" si="18"/>
        <v>21.91</v>
      </c>
      <c r="D313" s="3">
        <v>3939.34</v>
      </c>
      <c r="E313" s="3">
        <f t="shared" si="19"/>
        <v>3939.34</v>
      </c>
      <c r="F313" s="3">
        <f>MAX($E$2:E313)</f>
        <v>3939.34</v>
      </c>
      <c r="G313" s="3">
        <f t="shared" si="16"/>
        <v>0</v>
      </c>
      <c r="I313" s="2">
        <v>44142</v>
      </c>
      <c r="J313" s="3">
        <f>IFERROR(VLOOKUP(I313,$A$1:$G$1610,3,FALSE),J312)</f>
        <v>24.86</v>
      </c>
      <c r="K313" s="3">
        <f>IFERROR(VLOOKUP(I313,$A$1:$G$1610,7,FALSE),K312)</f>
        <v>-1.9939455546743245</v>
      </c>
      <c r="L313" s="5">
        <f t="shared" si="17"/>
        <v>0</v>
      </c>
    </row>
    <row r="314" spans="1:12" x14ac:dyDescent="0.25">
      <c r="A314" s="2">
        <v>44267</v>
      </c>
      <c r="B314" s="3">
        <v>20.69</v>
      </c>
      <c r="C314" s="3">
        <f t="shared" si="18"/>
        <v>20.69</v>
      </c>
      <c r="D314" s="3">
        <v>3943.34</v>
      </c>
      <c r="E314" s="3">
        <f t="shared" si="19"/>
        <v>3943.34</v>
      </c>
      <c r="F314" s="3">
        <f>MAX($E$2:E314)</f>
        <v>3943.34</v>
      </c>
      <c r="G314" s="3">
        <f t="shared" si="16"/>
        <v>0</v>
      </c>
      <c r="I314" s="2">
        <v>44143</v>
      </c>
      <c r="J314" s="3">
        <f>IFERROR(VLOOKUP(I314,$A$1:$G$1610,3,FALSE),J313)</f>
        <v>24.86</v>
      </c>
      <c r="K314" s="3">
        <f>IFERROR(VLOOKUP(I314,$A$1:$G$1610,7,FALSE),K313)</f>
        <v>-1.9939455546743245</v>
      </c>
      <c r="L314" s="5">
        <f t="shared" si="17"/>
        <v>0</v>
      </c>
    </row>
    <row r="315" spans="1:12" x14ac:dyDescent="0.25">
      <c r="A315" s="2">
        <v>44270</v>
      </c>
      <c r="B315" s="3">
        <v>20.03</v>
      </c>
      <c r="C315" s="3">
        <f t="shared" si="18"/>
        <v>20.03</v>
      </c>
      <c r="D315" s="3">
        <v>3968.94</v>
      </c>
      <c r="E315" s="3">
        <f t="shared" si="19"/>
        <v>3968.94</v>
      </c>
      <c r="F315" s="3">
        <f>MAX($E$2:E315)</f>
        <v>3968.94</v>
      </c>
      <c r="G315" s="3">
        <f t="shared" si="16"/>
        <v>0</v>
      </c>
      <c r="I315" s="2">
        <v>44144</v>
      </c>
      <c r="J315" s="3">
        <f>IFERROR(VLOOKUP(I315,$A$1:$G$1610,3,FALSE),J314)</f>
        <v>25.75</v>
      </c>
      <c r="K315" s="3">
        <f>IFERROR(VLOOKUP(I315,$A$1:$G$1610,7,FALSE),K314)</f>
        <v>-0.8472872286949471</v>
      </c>
      <c r="L315" s="5">
        <f t="shared" si="17"/>
        <v>0</v>
      </c>
    </row>
    <row r="316" spans="1:12" x14ac:dyDescent="0.25">
      <c r="A316" s="2">
        <v>44271</v>
      </c>
      <c r="B316" s="3">
        <v>19.79</v>
      </c>
      <c r="C316" s="3">
        <f t="shared" si="18"/>
        <v>19.79</v>
      </c>
      <c r="D316" s="3">
        <v>3962.71</v>
      </c>
      <c r="E316" s="3">
        <f t="shared" si="19"/>
        <v>3962.71</v>
      </c>
      <c r="F316" s="3">
        <f>MAX($E$2:E316)</f>
        <v>3968.94</v>
      </c>
      <c r="G316" s="3">
        <f t="shared" si="16"/>
        <v>-0.15696886322292647</v>
      </c>
      <c r="I316" s="2">
        <v>44145</v>
      </c>
      <c r="J316" s="3">
        <f>IFERROR(VLOOKUP(I316,$A$1:$G$1610,3,FALSE),J315)</f>
        <v>24.8</v>
      </c>
      <c r="K316" s="3">
        <f>IFERROR(VLOOKUP(I316,$A$1:$G$1610,7,FALSE),K315)</f>
        <v>-0.98608147808893853</v>
      </c>
      <c r="L316" s="5">
        <f t="shared" si="17"/>
        <v>0</v>
      </c>
    </row>
    <row r="317" spans="1:12" x14ac:dyDescent="0.25">
      <c r="A317" s="2">
        <v>44272</v>
      </c>
      <c r="B317" s="3">
        <v>19.23</v>
      </c>
      <c r="C317" s="3">
        <f t="shared" si="18"/>
        <v>19.23</v>
      </c>
      <c r="D317" s="3">
        <v>3974.12</v>
      </c>
      <c r="E317" s="3">
        <f t="shared" si="19"/>
        <v>3974.12</v>
      </c>
      <c r="F317" s="3">
        <f>MAX($E$2:E317)</f>
        <v>3974.12</v>
      </c>
      <c r="G317" s="3">
        <f t="shared" si="16"/>
        <v>0</v>
      </c>
      <c r="I317" s="2">
        <v>44146</v>
      </c>
      <c r="J317" s="3">
        <f>IFERROR(VLOOKUP(I317,$A$1:$G$1610,3,FALSE),J316)</f>
        <v>23.45</v>
      </c>
      <c r="K317" s="3">
        <f>IFERROR(VLOOKUP(I317,$A$1:$G$1610,7,FALSE),K316)</f>
        <v>-0.22843802012936323</v>
      </c>
      <c r="L317" s="5">
        <f t="shared" si="17"/>
        <v>0</v>
      </c>
    </row>
    <row r="318" spans="1:12" x14ac:dyDescent="0.25">
      <c r="A318" s="2">
        <v>44273</v>
      </c>
      <c r="B318" s="3">
        <v>21.58</v>
      </c>
      <c r="C318" s="3">
        <f t="shared" si="18"/>
        <v>21.58</v>
      </c>
      <c r="D318" s="3">
        <v>3915.46</v>
      </c>
      <c r="E318" s="3">
        <f t="shared" si="19"/>
        <v>3915.46</v>
      </c>
      <c r="F318" s="3">
        <f>MAX($E$2:E318)</f>
        <v>3974.12</v>
      </c>
      <c r="G318" s="3">
        <f t="shared" si="16"/>
        <v>-1.4760500437832742</v>
      </c>
      <c r="I318" s="2">
        <v>44147</v>
      </c>
      <c r="J318" s="3">
        <f>IFERROR(VLOOKUP(I318,$A$1:$G$1610,3,FALSE),J317)</f>
        <v>25.35</v>
      </c>
      <c r="K318" s="3">
        <f>IFERROR(VLOOKUP(I318,$A$1:$G$1610,7,FALSE),K317)</f>
        <v>-1.2240144770500754</v>
      </c>
      <c r="L318" s="5">
        <f t="shared" si="17"/>
        <v>0</v>
      </c>
    </row>
    <row r="319" spans="1:12" x14ac:dyDescent="0.25">
      <c r="A319" s="2">
        <v>44274</v>
      </c>
      <c r="B319" s="3">
        <v>20.95</v>
      </c>
      <c r="C319" s="3">
        <f t="shared" si="18"/>
        <v>20.95</v>
      </c>
      <c r="D319" s="3">
        <v>3913.1</v>
      </c>
      <c r="E319" s="3">
        <f t="shared" si="19"/>
        <v>3913.1</v>
      </c>
      <c r="F319" s="3">
        <f>MAX($E$2:E319)</f>
        <v>3974.12</v>
      </c>
      <c r="G319" s="3">
        <f t="shared" si="16"/>
        <v>-1.5354342596599999</v>
      </c>
      <c r="I319" s="2">
        <v>44148</v>
      </c>
      <c r="J319" s="3">
        <f>IFERROR(VLOOKUP(I319,$A$1:$G$1610,3,FALSE),J318)</f>
        <v>23.1</v>
      </c>
      <c r="K319" s="3">
        <f>IFERROR(VLOOKUP(I319,$A$1:$G$1610,7,FALSE),K318)</f>
        <v>0</v>
      </c>
      <c r="L319" s="5">
        <f t="shared" si="17"/>
        <v>0</v>
      </c>
    </row>
    <row r="320" spans="1:12" x14ac:dyDescent="0.25">
      <c r="A320" s="2">
        <v>44277</v>
      </c>
      <c r="B320" s="3">
        <v>18.88</v>
      </c>
      <c r="C320" s="3">
        <f t="shared" si="18"/>
        <v>18.88</v>
      </c>
      <c r="D320" s="3">
        <v>3940.59</v>
      </c>
      <c r="E320" s="3">
        <f t="shared" si="19"/>
        <v>3940.59</v>
      </c>
      <c r="F320" s="3">
        <f>MAX($E$2:E320)</f>
        <v>3974.12</v>
      </c>
      <c r="G320" s="3">
        <f t="shared" si="16"/>
        <v>-0.8437087959095283</v>
      </c>
      <c r="I320" s="2">
        <v>44149</v>
      </c>
      <c r="J320" s="3">
        <f>IFERROR(VLOOKUP(I320,$A$1:$G$1610,3,FALSE),J319)</f>
        <v>23.1</v>
      </c>
      <c r="K320" s="3">
        <f>IFERROR(VLOOKUP(I320,$A$1:$G$1610,7,FALSE),K319)</f>
        <v>0</v>
      </c>
      <c r="L320" s="5">
        <f t="shared" si="17"/>
        <v>0</v>
      </c>
    </row>
    <row r="321" spans="1:12" x14ac:dyDescent="0.25">
      <c r="A321" s="2">
        <v>44278</v>
      </c>
      <c r="B321" s="3">
        <v>20.3</v>
      </c>
      <c r="C321" s="3">
        <f t="shared" si="18"/>
        <v>20.3</v>
      </c>
      <c r="D321" s="3">
        <v>3910.52</v>
      </c>
      <c r="E321" s="3">
        <f t="shared" si="19"/>
        <v>3910.52</v>
      </c>
      <c r="F321" s="3">
        <f>MAX($E$2:E321)</f>
        <v>3974.12</v>
      </c>
      <c r="G321" s="3">
        <f t="shared" si="16"/>
        <v>-1.600354292270991</v>
      </c>
      <c r="I321" s="2">
        <v>44150</v>
      </c>
      <c r="J321" s="3">
        <f>IFERROR(VLOOKUP(I321,$A$1:$G$1610,3,FALSE),J320)</f>
        <v>23.1</v>
      </c>
      <c r="K321" s="3">
        <f>IFERROR(VLOOKUP(I321,$A$1:$G$1610,7,FALSE),K320)</f>
        <v>0</v>
      </c>
      <c r="L321" s="5">
        <f t="shared" si="17"/>
        <v>0</v>
      </c>
    </row>
    <row r="322" spans="1:12" x14ac:dyDescent="0.25">
      <c r="A322" s="2">
        <v>44279</v>
      </c>
      <c r="B322" s="3">
        <v>21.2</v>
      </c>
      <c r="C322" s="3">
        <f t="shared" si="18"/>
        <v>21.2</v>
      </c>
      <c r="D322" s="3">
        <v>3889.14</v>
      </c>
      <c r="E322" s="3">
        <f t="shared" si="19"/>
        <v>3889.14</v>
      </c>
      <c r="F322" s="3">
        <f>MAX($E$2:E322)</f>
        <v>3974.12</v>
      </c>
      <c r="G322" s="3">
        <f t="shared" ref="G322:G385" si="20">(E322-F322)/F322*100</f>
        <v>-2.1383350276287585</v>
      </c>
      <c r="I322" s="2">
        <v>44151</v>
      </c>
      <c r="J322" s="3">
        <f>IFERROR(VLOOKUP(I322,$A$1:$G$1610,3,FALSE),J321)</f>
        <v>22.45</v>
      </c>
      <c r="K322" s="3">
        <f>IFERROR(VLOOKUP(I322,$A$1:$G$1610,7,FALSE),K321)</f>
        <v>0</v>
      </c>
      <c r="L322" s="5">
        <f t="shared" ref="L322:L385" si="21">IF(OR(J322&gt;=30,K322&lt;-10),1,0)</f>
        <v>0</v>
      </c>
    </row>
    <row r="323" spans="1:12" x14ac:dyDescent="0.25">
      <c r="A323" s="2">
        <v>44280</v>
      </c>
      <c r="B323" s="3">
        <v>19.809999999999999</v>
      </c>
      <c r="C323" s="3">
        <f t="shared" ref="C323:C386" si="22">IF(B323="",B322,B323)</f>
        <v>19.809999999999999</v>
      </c>
      <c r="D323" s="3">
        <v>3909.52</v>
      </c>
      <c r="E323" s="3">
        <f t="shared" si="19"/>
        <v>3909.52</v>
      </c>
      <c r="F323" s="3">
        <f>MAX($E$2:E323)</f>
        <v>3974.12</v>
      </c>
      <c r="G323" s="3">
        <f t="shared" si="20"/>
        <v>-1.6255170956085851</v>
      </c>
      <c r="I323" s="2">
        <v>44152</v>
      </c>
      <c r="J323" s="3">
        <f>IFERROR(VLOOKUP(I323,$A$1:$G$1610,3,FALSE),J322)</f>
        <v>22.71</v>
      </c>
      <c r="K323" s="3">
        <f>IFERROR(VLOOKUP(I323,$A$1:$G$1610,7,FALSE),K322)</f>
        <v>-0.4791957892531013</v>
      </c>
      <c r="L323" s="5">
        <f t="shared" si="21"/>
        <v>0</v>
      </c>
    </row>
    <row r="324" spans="1:12" x14ac:dyDescent="0.25">
      <c r="A324" s="2">
        <v>44281</v>
      </c>
      <c r="B324" s="3">
        <v>18.86</v>
      </c>
      <c r="C324" s="3">
        <f t="shared" si="22"/>
        <v>18.86</v>
      </c>
      <c r="D324" s="3">
        <v>3974.54</v>
      </c>
      <c r="E324" s="3">
        <f t="shared" si="19"/>
        <v>3974.54</v>
      </c>
      <c r="F324" s="3">
        <f>MAX($E$2:E324)</f>
        <v>3974.54</v>
      </c>
      <c r="G324" s="3">
        <f t="shared" si="20"/>
        <v>0</v>
      </c>
      <c r="I324" s="2">
        <v>44153</v>
      </c>
      <c r="J324" s="3">
        <f>IFERROR(VLOOKUP(I324,$A$1:$G$1610,3,FALSE),J323)</f>
        <v>23.84</v>
      </c>
      <c r="K324" s="3">
        <f>IFERROR(VLOOKUP(I324,$A$1:$G$1610,7,FALSE),K323)</f>
        <v>-1.6300376904858378</v>
      </c>
      <c r="L324" s="5">
        <f t="shared" si="21"/>
        <v>0</v>
      </c>
    </row>
    <row r="325" spans="1:12" x14ac:dyDescent="0.25">
      <c r="A325" s="2">
        <v>44284</v>
      </c>
      <c r="B325" s="3">
        <v>20.74</v>
      </c>
      <c r="C325" s="3">
        <f t="shared" si="22"/>
        <v>20.74</v>
      </c>
      <c r="D325" s="3">
        <v>3971.09</v>
      </c>
      <c r="E325" s="3">
        <f t="shared" ref="E325:E388" si="23">IF(D325="",D324,D325)</f>
        <v>3971.09</v>
      </c>
      <c r="F325" s="3">
        <f>MAX($E$2:E325)</f>
        <v>3974.54</v>
      </c>
      <c r="G325" s="3">
        <f t="shared" si="20"/>
        <v>-8.6802497899123365E-2</v>
      </c>
      <c r="I325" s="2">
        <v>44154</v>
      </c>
      <c r="J325" s="3">
        <f>IFERROR(VLOOKUP(I325,$A$1:$G$1610,3,FALSE),J324)</f>
        <v>23.11</v>
      </c>
      <c r="K325" s="3">
        <f>IFERROR(VLOOKUP(I325,$A$1:$G$1610,7,FALSE),K324)</f>
        <v>-1.2418284434959777</v>
      </c>
      <c r="L325" s="5">
        <f t="shared" si="21"/>
        <v>0</v>
      </c>
    </row>
    <row r="326" spans="1:12" x14ac:dyDescent="0.25">
      <c r="A326" s="2">
        <v>44285</v>
      </c>
      <c r="B326" s="3">
        <v>19.61</v>
      </c>
      <c r="C326" s="3">
        <f t="shared" si="22"/>
        <v>19.61</v>
      </c>
      <c r="D326" s="3">
        <v>3958.55</v>
      </c>
      <c r="E326" s="3">
        <f t="shared" si="23"/>
        <v>3958.55</v>
      </c>
      <c r="F326" s="3">
        <f>MAX($E$2:E326)</f>
        <v>3974.54</v>
      </c>
      <c r="G326" s="3">
        <f t="shared" si="20"/>
        <v>-0.40231070765421362</v>
      </c>
      <c r="I326" s="2">
        <v>44155</v>
      </c>
      <c r="J326" s="3">
        <f>IFERROR(VLOOKUP(I326,$A$1:$G$1610,3,FALSE),J325)</f>
        <v>23.7</v>
      </c>
      <c r="K326" s="3">
        <f>IFERROR(VLOOKUP(I326,$A$1:$G$1610,7,FALSE),K325)</f>
        <v>-1.9126474050913833</v>
      </c>
      <c r="L326" s="5">
        <f t="shared" si="21"/>
        <v>0</v>
      </c>
    </row>
    <row r="327" spans="1:12" x14ac:dyDescent="0.25">
      <c r="A327" s="2">
        <v>44286</v>
      </c>
      <c r="B327" s="3">
        <v>19.399999999999999</v>
      </c>
      <c r="C327" s="3">
        <f t="shared" si="22"/>
        <v>19.399999999999999</v>
      </c>
      <c r="D327" s="3">
        <v>3972.89</v>
      </c>
      <c r="E327" s="3">
        <f t="shared" si="23"/>
        <v>3972.89</v>
      </c>
      <c r="F327" s="3">
        <f>MAX($E$2:E327)</f>
        <v>3974.54</v>
      </c>
      <c r="G327" s="3">
        <f t="shared" si="20"/>
        <v>-4.1514238125672176E-2</v>
      </c>
      <c r="I327" s="2">
        <v>44156</v>
      </c>
      <c r="J327" s="3">
        <f>IFERROR(VLOOKUP(I327,$A$1:$G$1610,3,FALSE),J326)</f>
        <v>23.7</v>
      </c>
      <c r="K327" s="3">
        <f>IFERROR(VLOOKUP(I327,$A$1:$G$1610,7,FALSE),K326)</f>
        <v>-1.9126474050913833</v>
      </c>
      <c r="L327" s="5">
        <f t="shared" si="21"/>
        <v>0</v>
      </c>
    </row>
    <row r="328" spans="1:12" x14ac:dyDescent="0.25">
      <c r="A328" s="2">
        <v>44287</v>
      </c>
      <c r="B328" s="3">
        <v>17.329999999999998</v>
      </c>
      <c r="C328" s="3">
        <f t="shared" si="22"/>
        <v>17.329999999999998</v>
      </c>
      <c r="D328" s="3">
        <v>4019.87</v>
      </c>
      <c r="E328" s="3">
        <f t="shared" si="23"/>
        <v>4019.87</v>
      </c>
      <c r="F328" s="3">
        <f>MAX($E$2:E328)</f>
        <v>4019.87</v>
      </c>
      <c r="G328" s="3">
        <f t="shared" si="20"/>
        <v>0</v>
      </c>
      <c r="I328" s="2">
        <v>44157</v>
      </c>
      <c r="J328" s="3">
        <f>IFERROR(VLOOKUP(I328,$A$1:$G$1610,3,FALSE),J327)</f>
        <v>23.7</v>
      </c>
      <c r="K328" s="3">
        <f>IFERROR(VLOOKUP(I328,$A$1:$G$1610,7,FALSE),K327)</f>
        <v>-1.9126474050913833</v>
      </c>
      <c r="L328" s="5">
        <f t="shared" si="21"/>
        <v>0</v>
      </c>
    </row>
    <row r="329" spans="1:12" x14ac:dyDescent="0.25">
      <c r="A329" s="2">
        <v>44288</v>
      </c>
      <c r="C329" s="3">
        <f t="shared" si="22"/>
        <v>17.329999999999998</v>
      </c>
      <c r="E329" s="3">
        <f t="shared" si="23"/>
        <v>4019.87</v>
      </c>
      <c r="F329" s="3">
        <f>MAX($E$2:E329)</f>
        <v>4019.87</v>
      </c>
      <c r="G329" s="3">
        <f t="shared" si="20"/>
        <v>0</v>
      </c>
      <c r="I329" s="2">
        <v>44158</v>
      </c>
      <c r="J329" s="3">
        <f>IFERROR(VLOOKUP(I329,$A$1:$G$1610,3,FALSE),J328)</f>
        <v>22.66</v>
      </c>
      <c r="K329" s="3">
        <f>IFERROR(VLOOKUP(I329,$A$1:$G$1610,7,FALSE),K328)</f>
        <v>-1.359835231643457</v>
      </c>
      <c r="L329" s="5">
        <f t="shared" si="21"/>
        <v>0</v>
      </c>
    </row>
    <row r="330" spans="1:12" x14ac:dyDescent="0.25">
      <c r="A330" s="2">
        <v>44291</v>
      </c>
      <c r="B330" s="3">
        <v>17.91</v>
      </c>
      <c r="C330" s="3">
        <f t="shared" si="22"/>
        <v>17.91</v>
      </c>
      <c r="D330" s="3">
        <v>4077.91</v>
      </c>
      <c r="E330" s="3">
        <f t="shared" si="23"/>
        <v>4077.91</v>
      </c>
      <c r="F330" s="3">
        <f>MAX($E$2:E330)</f>
        <v>4077.91</v>
      </c>
      <c r="G330" s="3">
        <f t="shared" si="20"/>
        <v>0</v>
      </c>
      <c r="I330" s="2">
        <v>44159</v>
      </c>
      <c r="J330" s="3">
        <f>IFERROR(VLOOKUP(I330,$A$1:$G$1610,3,FALSE),J329)</f>
        <v>21.64</v>
      </c>
      <c r="K330" s="3">
        <f>IFERROR(VLOOKUP(I330,$A$1:$G$1610,7,FALSE),K329)</f>
        <v>0</v>
      </c>
      <c r="L330" s="5">
        <f t="shared" si="21"/>
        <v>0</v>
      </c>
    </row>
    <row r="331" spans="1:12" x14ac:dyDescent="0.25">
      <c r="A331" s="2">
        <v>44292</v>
      </c>
      <c r="B331" s="3">
        <v>18.12</v>
      </c>
      <c r="C331" s="3">
        <f t="shared" si="22"/>
        <v>18.12</v>
      </c>
      <c r="D331" s="3">
        <v>4073.94</v>
      </c>
      <c r="E331" s="3">
        <f t="shared" si="23"/>
        <v>4073.94</v>
      </c>
      <c r="F331" s="3">
        <f>MAX($E$2:E331)</f>
        <v>4077.91</v>
      </c>
      <c r="G331" s="3">
        <f t="shared" si="20"/>
        <v>-9.7353791525555983E-2</v>
      </c>
      <c r="I331" s="2">
        <v>44160</v>
      </c>
      <c r="J331" s="3">
        <f>IFERROR(VLOOKUP(I331,$A$1:$G$1610,3,FALSE),J330)</f>
        <v>21.25</v>
      </c>
      <c r="K331" s="3">
        <f>IFERROR(VLOOKUP(I331,$A$1:$G$1610,7,FALSE),K330)</f>
        <v>-0.15844155129682108</v>
      </c>
      <c r="L331" s="5">
        <f t="shared" si="21"/>
        <v>0</v>
      </c>
    </row>
    <row r="332" spans="1:12" x14ac:dyDescent="0.25">
      <c r="A332" s="2">
        <v>44293</v>
      </c>
      <c r="B332" s="3">
        <v>17.16</v>
      </c>
      <c r="C332" s="3">
        <f t="shared" si="22"/>
        <v>17.16</v>
      </c>
      <c r="D332" s="3">
        <v>4079.95</v>
      </c>
      <c r="E332" s="3">
        <f t="shared" si="23"/>
        <v>4079.95</v>
      </c>
      <c r="F332" s="3">
        <f>MAX($E$2:E332)</f>
        <v>4079.95</v>
      </c>
      <c r="G332" s="3">
        <f t="shared" si="20"/>
        <v>0</v>
      </c>
      <c r="I332" s="2">
        <v>44161</v>
      </c>
      <c r="J332" s="3">
        <f>IFERROR(VLOOKUP(I332,$A$1:$G$1610,3,FALSE),J331)</f>
        <v>21.25</v>
      </c>
      <c r="K332" s="3">
        <f>IFERROR(VLOOKUP(I332,$A$1:$G$1610,7,FALSE),K331)</f>
        <v>-0.15844155129682108</v>
      </c>
      <c r="L332" s="5">
        <f t="shared" si="21"/>
        <v>0</v>
      </c>
    </row>
    <row r="333" spans="1:12" x14ac:dyDescent="0.25">
      <c r="A333" s="2">
        <v>44294</v>
      </c>
      <c r="B333" s="3">
        <v>16.95</v>
      </c>
      <c r="C333" s="3">
        <f t="shared" si="22"/>
        <v>16.95</v>
      </c>
      <c r="D333" s="3">
        <v>4097.17</v>
      </c>
      <c r="E333" s="3">
        <f t="shared" si="23"/>
        <v>4097.17</v>
      </c>
      <c r="F333" s="3">
        <f>MAX($E$2:E333)</f>
        <v>4097.17</v>
      </c>
      <c r="G333" s="3">
        <f t="shared" si="20"/>
        <v>0</v>
      </c>
      <c r="I333" s="2">
        <v>44162</v>
      </c>
      <c r="J333" s="3">
        <f>IFERROR(VLOOKUP(I333,$A$1:$G$1610,3,FALSE),J332)</f>
        <v>20.84</v>
      </c>
      <c r="K333" s="3">
        <f>IFERROR(VLOOKUP(I333,$A$1:$G$1610,7,FALSE),K332)</f>
        <v>0</v>
      </c>
      <c r="L333" s="5">
        <f t="shared" si="21"/>
        <v>0</v>
      </c>
    </row>
    <row r="334" spans="1:12" x14ac:dyDescent="0.25">
      <c r="A334" s="2">
        <v>44295</v>
      </c>
      <c r="B334" s="3">
        <v>16.690000000000001</v>
      </c>
      <c r="C334" s="3">
        <f t="shared" si="22"/>
        <v>16.690000000000001</v>
      </c>
      <c r="D334" s="3">
        <v>4128.8</v>
      </c>
      <c r="E334" s="3">
        <f t="shared" si="23"/>
        <v>4128.8</v>
      </c>
      <c r="F334" s="3">
        <f>MAX($E$2:E334)</f>
        <v>4128.8</v>
      </c>
      <c r="G334" s="3">
        <f t="shared" si="20"/>
        <v>0</v>
      </c>
      <c r="I334" s="2">
        <v>44163</v>
      </c>
      <c r="J334" s="3">
        <f>IFERROR(VLOOKUP(I334,$A$1:$G$1610,3,FALSE),J333)</f>
        <v>20.84</v>
      </c>
      <c r="K334" s="3">
        <f>IFERROR(VLOOKUP(I334,$A$1:$G$1610,7,FALSE),K333)</f>
        <v>0</v>
      </c>
      <c r="L334" s="5">
        <f t="shared" si="21"/>
        <v>0</v>
      </c>
    </row>
    <row r="335" spans="1:12" x14ac:dyDescent="0.25">
      <c r="A335" s="2">
        <v>44298</v>
      </c>
      <c r="B335" s="3">
        <v>16.91</v>
      </c>
      <c r="C335" s="3">
        <f t="shared" si="22"/>
        <v>16.91</v>
      </c>
      <c r="D335" s="3">
        <v>4127.99</v>
      </c>
      <c r="E335" s="3">
        <f t="shared" si="23"/>
        <v>4127.99</v>
      </c>
      <c r="F335" s="3">
        <f>MAX($E$2:E335)</f>
        <v>4128.8</v>
      </c>
      <c r="G335" s="3">
        <f t="shared" si="20"/>
        <v>-1.9618291028880065E-2</v>
      </c>
      <c r="I335" s="2">
        <v>44164</v>
      </c>
      <c r="J335" s="3">
        <f>IFERROR(VLOOKUP(I335,$A$1:$G$1610,3,FALSE),J334)</f>
        <v>20.84</v>
      </c>
      <c r="K335" s="3">
        <f>IFERROR(VLOOKUP(I335,$A$1:$G$1610,7,FALSE),K334)</f>
        <v>0</v>
      </c>
      <c r="L335" s="5">
        <f t="shared" si="21"/>
        <v>0</v>
      </c>
    </row>
    <row r="336" spans="1:12" x14ac:dyDescent="0.25">
      <c r="A336" s="2">
        <v>44299</v>
      </c>
      <c r="B336" s="3">
        <v>16.649999999999999</v>
      </c>
      <c r="C336" s="3">
        <f t="shared" si="22"/>
        <v>16.649999999999999</v>
      </c>
      <c r="D336" s="3">
        <v>4141.59</v>
      </c>
      <c r="E336" s="3">
        <f t="shared" si="23"/>
        <v>4141.59</v>
      </c>
      <c r="F336" s="3">
        <f>MAX($E$2:E336)</f>
        <v>4141.59</v>
      </c>
      <c r="G336" s="3">
        <f t="shared" si="20"/>
        <v>0</v>
      </c>
      <c r="I336" s="2">
        <v>44165</v>
      </c>
      <c r="J336" s="3">
        <f>IFERROR(VLOOKUP(I336,$A$1:$G$1610,3,FALSE),J335)</f>
        <v>20.57</v>
      </c>
      <c r="K336" s="3">
        <f>IFERROR(VLOOKUP(I336,$A$1:$G$1610,7,FALSE),K335)</f>
        <v>-0.45954897137438128</v>
      </c>
      <c r="L336" s="5">
        <f t="shared" si="21"/>
        <v>0</v>
      </c>
    </row>
    <row r="337" spans="1:12" x14ac:dyDescent="0.25">
      <c r="A337" s="2">
        <v>44300</v>
      </c>
      <c r="B337" s="3">
        <v>16.989999999999998</v>
      </c>
      <c r="C337" s="3">
        <f t="shared" si="22"/>
        <v>16.989999999999998</v>
      </c>
      <c r="D337" s="3">
        <v>4124.66</v>
      </c>
      <c r="E337" s="3">
        <f t="shared" si="23"/>
        <v>4124.66</v>
      </c>
      <c r="F337" s="3">
        <f>MAX($E$2:E337)</f>
        <v>4141.59</v>
      </c>
      <c r="G337" s="3">
        <f t="shared" si="20"/>
        <v>-0.40878020277237226</v>
      </c>
      <c r="I337" s="2">
        <v>44166</v>
      </c>
      <c r="J337" s="3">
        <f>IFERROR(VLOOKUP(I337,$A$1:$G$1610,3,FALSE),J336)</f>
        <v>20.77</v>
      </c>
      <c r="K337" s="3">
        <f>IFERROR(VLOOKUP(I337,$A$1:$G$1610,7,FALSE),K336)</f>
        <v>0</v>
      </c>
      <c r="L337" s="5">
        <f t="shared" si="21"/>
        <v>0</v>
      </c>
    </row>
    <row r="338" spans="1:12" x14ac:dyDescent="0.25">
      <c r="A338" s="2">
        <v>44301</v>
      </c>
      <c r="B338" s="3">
        <v>16.57</v>
      </c>
      <c r="C338" s="3">
        <f t="shared" si="22"/>
        <v>16.57</v>
      </c>
      <c r="D338" s="3">
        <v>4170.42</v>
      </c>
      <c r="E338" s="3">
        <f t="shared" si="23"/>
        <v>4170.42</v>
      </c>
      <c r="F338" s="3">
        <f>MAX($E$2:E338)</f>
        <v>4170.42</v>
      </c>
      <c r="G338" s="3">
        <f t="shared" si="20"/>
        <v>0</v>
      </c>
      <c r="I338" s="2">
        <v>44167</v>
      </c>
      <c r="J338" s="3">
        <f>IFERROR(VLOOKUP(I338,$A$1:$G$1610,3,FALSE),J337)</f>
        <v>21.17</v>
      </c>
      <c r="K338" s="3">
        <f>IFERROR(VLOOKUP(I338,$A$1:$G$1610,7,FALSE),K337)</f>
        <v>0</v>
      </c>
      <c r="L338" s="5">
        <f t="shared" si="21"/>
        <v>0</v>
      </c>
    </row>
    <row r="339" spans="1:12" x14ac:dyDescent="0.25">
      <c r="A339" s="2">
        <v>44302</v>
      </c>
      <c r="B339" s="3">
        <v>16.25</v>
      </c>
      <c r="C339" s="3">
        <f t="shared" si="22"/>
        <v>16.25</v>
      </c>
      <c r="D339" s="3">
        <v>4185.47</v>
      </c>
      <c r="E339" s="3">
        <f t="shared" si="23"/>
        <v>4185.47</v>
      </c>
      <c r="F339" s="3">
        <f>MAX($E$2:E339)</f>
        <v>4185.47</v>
      </c>
      <c r="G339" s="3">
        <f t="shared" si="20"/>
        <v>0</v>
      </c>
      <c r="I339" s="2">
        <v>44168</v>
      </c>
      <c r="J339" s="3">
        <f>IFERROR(VLOOKUP(I339,$A$1:$G$1610,3,FALSE),J338)</f>
        <v>21.28</v>
      </c>
      <c r="K339" s="3">
        <f>IFERROR(VLOOKUP(I339,$A$1:$G$1610,7,FALSE),K338)</f>
        <v>-6.2414656814792496E-2</v>
      </c>
      <c r="L339" s="5">
        <f t="shared" si="21"/>
        <v>0</v>
      </c>
    </row>
    <row r="340" spans="1:12" x14ac:dyDescent="0.25">
      <c r="A340" s="2">
        <v>44305</v>
      </c>
      <c r="B340" s="3">
        <v>17.29</v>
      </c>
      <c r="C340" s="3">
        <f t="shared" si="22"/>
        <v>17.29</v>
      </c>
      <c r="D340" s="3">
        <v>4163.26</v>
      </c>
      <c r="E340" s="3">
        <f t="shared" si="23"/>
        <v>4163.26</v>
      </c>
      <c r="F340" s="3">
        <f>MAX($E$2:E340)</f>
        <v>4185.47</v>
      </c>
      <c r="G340" s="3">
        <f t="shared" si="20"/>
        <v>-0.53064530387268416</v>
      </c>
      <c r="I340" s="2">
        <v>44169</v>
      </c>
      <c r="J340" s="3">
        <f>IFERROR(VLOOKUP(I340,$A$1:$G$1610,3,FALSE),J339)</f>
        <v>20.79</v>
      </c>
      <c r="K340" s="3">
        <f>IFERROR(VLOOKUP(I340,$A$1:$G$1610,7,FALSE),K339)</f>
        <v>0</v>
      </c>
      <c r="L340" s="5">
        <f t="shared" si="21"/>
        <v>0</v>
      </c>
    </row>
    <row r="341" spans="1:12" x14ac:dyDescent="0.25">
      <c r="A341" s="2">
        <v>44306</v>
      </c>
      <c r="B341" s="3">
        <v>18.68</v>
      </c>
      <c r="C341" s="3">
        <f t="shared" si="22"/>
        <v>18.68</v>
      </c>
      <c r="D341" s="3">
        <v>4134.9399999999996</v>
      </c>
      <c r="E341" s="3">
        <f t="shared" si="23"/>
        <v>4134.9399999999996</v>
      </c>
      <c r="F341" s="3">
        <f>MAX($E$2:E341)</f>
        <v>4185.47</v>
      </c>
      <c r="G341" s="3">
        <f t="shared" si="20"/>
        <v>-1.2072718237139592</v>
      </c>
      <c r="I341" s="2">
        <v>44170</v>
      </c>
      <c r="J341" s="3">
        <f>IFERROR(VLOOKUP(I341,$A$1:$G$1610,3,FALSE),J340)</f>
        <v>20.79</v>
      </c>
      <c r="K341" s="3">
        <f>IFERROR(VLOOKUP(I341,$A$1:$G$1610,7,FALSE),K340)</f>
        <v>0</v>
      </c>
      <c r="L341" s="5">
        <f t="shared" si="21"/>
        <v>0</v>
      </c>
    </row>
    <row r="342" spans="1:12" x14ac:dyDescent="0.25">
      <c r="A342" s="2">
        <v>44307</v>
      </c>
      <c r="B342" s="3">
        <v>17.5</v>
      </c>
      <c r="C342" s="3">
        <f t="shared" si="22"/>
        <v>17.5</v>
      </c>
      <c r="D342" s="3">
        <v>4173.42</v>
      </c>
      <c r="E342" s="3">
        <f t="shared" si="23"/>
        <v>4173.42</v>
      </c>
      <c r="F342" s="3">
        <f>MAX($E$2:E342)</f>
        <v>4185.47</v>
      </c>
      <c r="G342" s="3">
        <f t="shared" si="20"/>
        <v>-0.28790076144376098</v>
      </c>
      <c r="I342" s="2">
        <v>44171</v>
      </c>
      <c r="J342" s="3">
        <f>IFERROR(VLOOKUP(I342,$A$1:$G$1610,3,FALSE),J341)</f>
        <v>20.79</v>
      </c>
      <c r="K342" s="3">
        <f>IFERROR(VLOOKUP(I342,$A$1:$G$1610,7,FALSE),K341)</f>
        <v>0</v>
      </c>
      <c r="L342" s="5">
        <f t="shared" si="21"/>
        <v>0</v>
      </c>
    </row>
    <row r="343" spans="1:12" x14ac:dyDescent="0.25">
      <c r="A343" s="2">
        <v>44308</v>
      </c>
      <c r="B343" s="3">
        <v>18.71</v>
      </c>
      <c r="C343" s="3">
        <f t="shared" si="22"/>
        <v>18.71</v>
      </c>
      <c r="D343" s="3">
        <v>4134.9799999999996</v>
      </c>
      <c r="E343" s="3">
        <f t="shared" si="23"/>
        <v>4134.9799999999996</v>
      </c>
      <c r="F343" s="3">
        <f>MAX($E$2:E343)</f>
        <v>4185.47</v>
      </c>
      <c r="G343" s="3">
        <f t="shared" si="20"/>
        <v>-1.2063161365390431</v>
      </c>
      <c r="I343" s="2">
        <v>44172</v>
      </c>
      <c r="J343" s="3">
        <f>IFERROR(VLOOKUP(I343,$A$1:$G$1610,3,FALSE),J342)</f>
        <v>21.3</v>
      </c>
      <c r="K343" s="3">
        <f>IFERROR(VLOOKUP(I343,$A$1:$G$1610,7,FALSE),K342)</f>
        <v>-0.19355954929820754</v>
      </c>
      <c r="L343" s="5">
        <f t="shared" si="21"/>
        <v>0</v>
      </c>
    </row>
    <row r="344" spans="1:12" x14ac:dyDescent="0.25">
      <c r="A344" s="2">
        <v>44309</v>
      </c>
      <c r="B344" s="3">
        <v>17.329999999999998</v>
      </c>
      <c r="C344" s="3">
        <f t="shared" si="22"/>
        <v>17.329999999999998</v>
      </c>
      <c r="D344" s="3">
        <v>4180.17</v>
      </c>
      <c r="E344" s="3">
        <f t="shared" si="23"/>
        <v>4180.17</v>
      </c>
      <c r="F344" s="3">
        <f>MAX($E$2:E344)</f>
        <v>4185.47</v>
      </c>
      <c r="G344" s="3">
        <f t="shared" si="20"/>
        <v>-0.12662855067651141</v>
      </c>
      <c r="I344" s="2">
        <v>44173</v>
      </c>
      <c r="J344" s="3">
        <f>IFERROR(VLOOKUP(I344,$A$1:$G$1610,3,FALSE),J343)</f>
        <v>20.68</v>
      </c>
      <c r="K344" s="3">
        <f>IFERROR(VLOOKUP(I344,$A$1:$G$1610,7,FALSE),K343)</f>
        <v>0</v>
      </c>
      <c r="L344" s="5">
        <f t="shared" si="21"/>
        <v>0</v>
      </c>
    </row>
    <row r="345" spans="1:12" x14ac:dyDescent="0.25">
      <c r="A345" s="2">
        <v>44312</v>
      </c>
      <c r="B345" s="3">
        <v>17.64</v>
      </c>
      <c r="C345" s="3">
        <f t="shared" si="22"/>
        <v>17.64</v>
      </c>
      <c r="D345" s="3">
        <v>4187.62</v>
      </c>
      <c r="E345" s="3">
        <f t="shared" si="23"/>
        <v>4187.62</v>
      </c>
      <c r="F345" s="3">
        <f>MAX($E$2:E345)</f>
        <v>4187.62</v>
      </c>
      <c r="G345" s="3">
        <f t="shared" si="20"/>
        <v>0</v>
      </c>
      <c r="I345" s="2">
        <v>44174</v>
      </c>
      <c r="J345" s="3">
        <f>IFERROR(VLOOKUP(I345,$A$1:$G$1610,3,FALSE),J344)</f>
        <v>22.27</v>
      </c>
      <c r="K345" s="3">
        <f>IFERROR(VLOOKUP(I345,$A$1:$G$1610,7,FALSE),K344)</f>
        <v>-0.7949220068876991</v>
      </c>
      <c r="L345" s="5">
        <f t="shared" si="21"/>
        <v>0</v>
      </c>
    </row>
    <row r="346" spans="1:12" x14ac:dyDescent="0.25">
      <c r="A346" s="2">
        <v>44313</v>
      </c>
      <c r="B346" s="3">
        <v>17.559999999999999</v>
      </c>
      <c r="C346" s="3">
        <f t="shared" si="22"/>
        <v>17.559999999999999</v>
      </c>
      <c r="D346" s="3">
        <v>4186.72</v>
      </c>
      <c r="E346" s="3">
        <f t="shared" si="23"/>
        <v>4186.72</v>
      </c>
      <c r="F346" s="3">
        <f>MAX($E$2:E346)</f>
        <v>4187.62</v>
      </c>
      <c r="G346" s="3">
        <f t="shared" si="20"/>
        <v>-2.149192142552658E-2</v>
      </c>
      <c r="I346" s="2">
        <v>44175</v>
      </c>
      <c r="J346" s="3">
        <f>IFERROR(VLOOKUP(I346,$A$1:$G$1610,3,FALSE),J345)</f>
        <v>22.52</v>
      </c>
      <c r="K346" s="3">
        <f>IFERROR(VLOOKUP(I346,$A$1:$G$1610,7,FALSE),K345)</f>
        <v>-0.92241204672834332</v>
      </c>
      <c r="L346" s="5">
        <f t="shared" si="21"/>
        <v>0</v>
      </c>
    </row>
    <row r="347" spans="1:12" x14ac:dyDescent="0.25">
      <c r="A347" s="2">
        <v>44314</v>
      </c>
      <c r="B347" s="3">
        <v>17.28</v>
      </c>
      <c r="C347" s="3">
        <f t="shared" si="22"/>
        <v>17.28</v>
      </c>
      <c r="D347" s="3">
        <v>4183.18</v>
      </c>
      <c r="E347" s="3">
        <f t="shared" si="23"/>
        <v>4183.18</v>
      </c>
      <c r="F347" s="3">
        <f>MAX($E$2:E347)</f>
        <v>4187.62</v>
      </c>
      <c r="G347" s="3">
        <f t="shared" si="20"/>
        <v>-0.10602681236596444</v>
      </c>
      <c r="I347" s="2">
        <v>44176</v>
      </c>
      <c r="J347" s="3">
        <f>IFERROR(VLOOKUP(I347,$A$1:$G$1610,3,FALSE),J346)</f>
        <v>23.31</v>
      </c>
      <c r="K347" s="3">
        <f>IFERROR(VLOOKUP(I347,$A$1:$G$1610,7,FALSE),K346)</f>
        <v>-1.0477412384360851</v>
      </c>
      <c r="L347" s="5">
        <f t="shared" si="21"/>
        <v>0</v>
      </c>
    </row>
    <row r="348" spans="1:12" x14ac:dyDescent="0.25">
      <c r="A348" s="2">
        <v>44315</v>
      </c>
      <c r="B348" s="3">
        <v>17.61</v>
      </c>
      <c r="C348" s="3">
        <f t="shared" si="22"/>
        <v>17.61</v>
      </c>
      <c r="D348" s="3">
        <v>4211.47</v>
      </c>
      <c r="E348" s="3">
        <f t="shared" si="23"/>
        <v>4211.47</v>
      </c>
      <c r="F348" s="3">
        <f>MAX($E$2:E348)</f>
        <v>4211.47</v>
      </c>
      <c r="G348" s="3">
        <f t="shared" si="20"/>
        <v>0</v>
      </c>
      <c r="I348" s="2">
        <v>44177</v>
      </c>
      <c r="J348" s="3">
        <f>IFERROR(VLOOKUP(I348,$A$1:$G$1610,3,FALSE),J347)</f>
        <v>23.31</v>
      </c>
      <c r="K348" s="3">
        <f>IFERROR(VLOOKUP(I348,$A$1:$G$1610,7,FALSE),K347)</f>
        <v>-1.0477412384360851</v>
      </c>
      <c r="L348" s="5">
        <f t="shared" si="21"/>
        <v>0</v>
      </c>
    </row>
    <row r="349" spans="1:12" x14ac:dyDescent="0.25">
      <c r="A349" s="2">
        <v>44316</v>
      </c>
      <c r="B349" s="3">
        <v>18.61</v>
      </c>
      <c r="C349" s="3">
        <f t="shared" si="22"/>
        <v>18.61</v>
      </c>
      <c r="D349" s="3">
        <v>4181.17</v>
      </c>
      <c r="E349" s="3">
        <f t="shared" si="23"/>
        <v>4181.17</v>
      </c>
      <c r="F349" s="3">
        <f>MAX($E$2:E349)</f>
        <v>4211.47</v>
      </c>
      <c r="G349" s="3">
        <f t="shared" si="20"/>
        <v>-0.7194637501869936</v>
      </c>
      <c r="I349" s="2">
        <v>44178</v>
      </c>
      <c r="J349" s="3">
        <f>IFERROR(VLOOKUP(I349,$A$1:$G$1610,3,FALSE),J348)</f>
        <v>23.31</v>
      </c>
      <c r="K349" s="3">
        <f>IFERROR(VLOOKUP(I349,$A$1:$G$1610,7,FALSE),K348)</f>
        <v>-1.0477412384360851</v>
      </c>
      <c r="L349" s="5">
        <f t="shared" si="21"/>
        <v>0</v>
      </c>
    </row>
    <row r="350" spans="1:12" x14ac:dyDescent="0.25">
      <c r="A350" s="2">
        <v>44319</v>
      </c>
      <c r="B350" s="3">
        <v>18.309999999999999</v>
      </c>
      <c r="C350" s="3">
        <f t="shared" si="22"/>
        <v>18.309999999999999</v>
      </c>
      <c r="D350" s="3">
        <v>4192.66</v>
      </c>
      <c r="E350" s="3">
        <f t="shared" si="23"/>
        <v>4192.66</v>
      </c>
      <c r="F350" s="3">
        <f>MAX($E$2:E350)</f>
        <v>4211.47</v>
      </c>
      <c r="G350" s="3">
        <f t="shared" si="20"/>
        <v>-0.44663739739331865</v>
      </c>
      <c r="I350" s="2">
        <v>44179</v>
      </c>
      <c r="J350" s="3">
        <f>IFERROR(VLOOKUP(I350,$A$1:$G$1610,3,FALSE),J349)</f>
        <v>24.72</v>
      </c>
      <c r="K350" s="3">
        <f>IFERROR(VLOOKUP(I350,$A$1:$G$1610,7,FALSE),K349)</f>
        <v>-1.4791005469646896</v>
      </c>
      <c r="L350" s="5">
        <f t="shared" si="21"/>
        <v>0</v>
      </c>
    </row>
    <row r="351" spans="1:12" x14ac:dyDescent="0.25">
      <c r="A351" s="2">
        <v>44320</v>
      </c>
      <c r="B351" s="3">
        <v>19.48</v>
      </c>
      <c r="C351" s="3">
        <f t="shared" si="22"/>
        <v>19.48</v>
      </c>
      <c r="D351" s="3">
        <v>4164.66</v>
      </c>
      <c r="E351" s="3">
        <f t="shared" si="23"/>
        <v>4164.66</v>
      </c>
      <c r="F351" s="3">
        <f>MAX($E$2:E351)</f>
        <v>4211.47</v>
      </c>
      <c r="G351" s="3">
        <f t="shared" si="20"/>
        <v>-1.111488387665124</v>
      </c>
      <c r="I351" s="2">
        <v>44180</v>
      </c>
      <c r="J351" s="3">
        <f>IFERROR(VLOOKUP(I351,$A$1:$G$1610,3,FALSE),J350)</f>
        <v>22.89</v>
      </c>
      <c r="K351" s="3">
        <f>IFERROR(VLOOKUP(I351,$A$1:$G$1610,7,FALSE),K350)</f>
        <v>-0.20609089067459271</v>
      </c>
      <c r="L351" s="5">
        <f t="shared" si="21"/>
        <v>0</v>
      </c>
    </row>
    <row r="352" spans="1:12" x14ac:dyDescent="0.25">
      <c r="A352" s="2">
        <v>44321</v>
      </c>
      <c r="B352" s="3">
        <v>19.149999999999999</v>
      </c>
      <c r="C352" s="3">
        <f t="shared" si="22"/>
        <v>19.149999999999999</v>
      </c>
      <c r="D352" s="3">
        <v>4167.59</v>
      </c>
      <c r="E352" s="3">
        <f t="shared" si="23"/>
        <v>4167.59</v>
      </c>
      <c r="F352" s="3">
        <f>MAX($E$2:E352)</f>
        <v>4211.47</v>
      </c>
      <c r="G352" s="3">
        <f t="shared" si="20"/>
        <v>-1.0419164804688175</v>
      </c>
      <c r="I352" s="2">
        <v>44181</v>
      </c>
      <c r="J352" s="3">
        <f>IFERROR(VLOOKUP(I352,$A$1:$G$1610,3,FALSE),J351)</f>
        <v>22.5</v>
      </c>
      <c r="K352" s="3">
        <f>IFERROR(VLOOKUP(I352,$A$1:$G$1610,7,FALSE),K351)</f>
        <v>-2.9171449794042195E-2</v>
      </c>
      <c r="L352" s="5">
        <f t="shared" si="21"/>
        <v>0</v>
      </c>
    </row>
    <row r="353" spans="1:12" x14ac:dyDescent="0.25">
      <c r="A353" s="2">
        <v>44322</v>
      </c>
      <c r="B353" s="3">
        <v>18.39</v>
      </c>
      <c r="C353" s="3">
        <f t="shared" si="22"/>
        <v>18.39</v>
      </c>
      <c r="D353" s="3">
        <v>4201.62</v>
      </c>
      <c r="E353" s="3">
        <f t="shared" si="23"/>
        <v>4201.62</v>
      </c>
      <c r="F353" s="3">
        <f>MAX($E$2:E353)</f>
        <v>4211.47</v>
      </c>
      <c r="G353" s="3">
        <f t="shared" si="20"/>
        <v>-0.23388508050634013</v>
      </c>
      <c r="I353" s="2">
        <v>44182</v>
      </c>
      <c r="J353" s="3">
        <f>IFERROR(VLOOKUP(I353,$A$1:$G$1610,3,FALSE),J352)</f>
        <v>21.93</v>
      </c>
      <c r="K353" s="3">
        <f>IFERROR(VLOOKUP(I353,$A$1:$G$1610,7,FALSE),K352)</f>
        <v>0</v>
      </c>
      <c r="L353" s="5">
        <f t="shared" si="21"/>
        <v>0</v>
      </c>
    </row>
    <row r="354" spans="1:12" x14ac:dyDescent="0.25">
      <c r="A354" s="2">
        <v>44323</v>
      </c>
      <c r="B354" s="3">
        <v>16.690000000000001</v>
      </c>
      <c r="C354" s="3">
        <f t="shared" si="22"/>
        <v>16.690000000000001</v>
      </c>
      <c r="D354" s="3">
        <v>4232.6000000000004</v>
      </c>
      <c r="E354" s="3">
        <f t="shared" si="23"/>
        <v>4232.6000000000004</v>
      </c>
      <c r="F354" s="3">
        <f>MAX($E$2:E354)</f>
        <v>4232.6000000000004</v>
      </c>
      <c r="G354" s="3">
        <f t="shared" si="20"/>
        <v>0</v>
      </c>
      <c r="I354" s="2">
        <v>44183</v>
      </c>
      <c r="J354" s="3">
        <f>IFERROR(VLOOKUP(I354,$A$1:$G$1610,3,FALSE),J353)</f>
        <v>21.57</v>
      </c>
      <c r="K354" s="3">
        <f>IFERROR(VLOOKUP(I354,$A$1:$G$1610,7,FALSE),K353)</f>
        <v>-0.3511100126797233</v>
      </c>
      <c r="L354" s="5">
        <f t="shared" si="21"/>
        <v>0</v>
      </c>
    </row>
    <row r="355" spans="1:12" x14ac:dyDescent="0.25">
      <c r="A355" s="2">
        <v>44326</v>
      </c>
      <c r="B355" s="3">
        <v>19.66</v>
      </c>
      <c r="C355" s="3">
        <f t="shared" si="22"/>
        <v>19.66</v>
      </c>
      <c r="D355" s="3">
        <v>4188.43</v>
      </c>
      <c r="E355" s="3">
        <f t="shared" si="23"/>
        <v>4188.43</v>
      </c>
      <c r="F355" s="3">
        <f>MAX($E$2:E355)</f>
        <v>4232.6000000000004</v>
      </c>
      <c r="G355" s="3">
        <f t="shared" si="20"/>
        <v>-1.0435666020885523</v>
      </c>
      <c r="I355" s="2">
        <v>44184</v>
      </c>
      <c r="J355" s="3">
        <f>IFERROR(VLOOKUP(I355,$A$1:$G$1610,3,FALSE),J354)</f>
        <v>21.57</v>
      </c>
      <c r="K355" s="3">
        <f>IFERROR(VLOOKUP(I355,$A$1:$G$1610,7,FALSE),K354)</f>
        <v>-0.3511100126797233</v>
      </c>
      <c r="L355" s="5">
        <f t="shared" si="21"/>
        <v>0</v>
      </c>
    </row>
    <row r="356" spans="1:12" x14ac:dyDescent="0.25">
      <c r="A356" s="2">
        <v>44327</v>
      </c>
      <c r="B356" s="3">
        <v>21.84</v>
      </c>
      <c r="C356" s="3">
        <f t="shared" si="22"/>
        <v>21.84</v>
      </c>
      <c r="D356" s="3">
        <v>4152.1000000000004</v>
      </c>
      <c r="E356" s="3">
        <f t="shared" si="23"/>
        <v>4152.1000000000004</v>
      </c>
      <c r="F356" s="3">
        <f>MAX($E$2:E356)</f>
        <v>4232.6000000000004</v>
      </c>
      <c r="G356" s="3">
        <f t="shared" si="20"/>
        <v>-1.9019042668808768</v>
      </c>
      <c r="I356" s="2">
        <v>44185</v>
      </c>
      <c r="J356" s="3">
        <f>IFERROR(VLOOKUP(I356,$A$1:$G$1610,3,FALSE),J355)</f>
        <v>21.57</v>
      </c>
      <c r="K356" s="3">
        <f>IFERROR(VLOOKUP(I356,$A$1:$G$1610,7,FALSE),K355)</f>
        <v>-0.3511100126797233</v>
      </c>
      <c r="L356" s="5">
        <f t="shared" si="21"/>
        <v>0</v>
      </c>
    </row>
    <row r="357" spans="1:12" x14ac:dyDescent="0.25">
      <c r="A357" s="2">
        <v>44328</v>
      </c>
      <c r="B357" s="3">
        <v>27.59</v>
      </c>
      <c r="C357" s="3">
        <f t="shared" si="22"/>
        <v>27.59</v>
      </c>
      <c r="D357" s="3">
        <v>4063.04</v>
      </c>
      <c r="E357" s="3">
        <f t="shared" si="23"/>
        <v>4063.04</v>
      </c>
      <c r="F357" s="3">
        <f>MAX($E$2:E357)</f>
        <v>4232.6000000000004</v>
      </c>
      <c r="G357" s="3">
        <f t="shared" si="20"/>
        <v>-4.0060482918300906</v>
      </c>
      <c r="I357" s="2">
        <v>44186</v>
      </c>
      <c r="J357" s="3">
        <f>IFERROR(VLOOKUP(I357,$A$1:$G$1610,3,FALSE),J356)</f>
        <v>25.16</v>
      </c>
      <c r="K357" s="3">
        <f>IFERROR(VLOOKUP(I357,$A$1:$G$1610,7,FALSE),K356)</f>
        <v>-0.74036663729556496</v>
      </c>
      <c r="L357" s="5">
        <f t="shared" si="21"/>
        <v>0</v>
      </c>
    </row>
    <row r="358" spans="1:12" x14ac:dyDescent="0.25">
      <c r="A358" s="2">
        <v>44329</v>
      </c>
      <c r="B358" s="3">
        <v>23.13</v>
      </c>
      <c r="C358" s="3">
        <f t="shared" si="22"/>
        <v>23.13</v>
      </c>
      <c r="D358" s="3">
        <v>4112.5</v>
      </c>
      <c r="E358" s="3">
        <f t="shared" si="23"/>
        <v>4112.5</v>
      </c>
      <c r="F358" s="3">
        <f>MAX($E$2:E358)</f>
        <v>4232.6000000000004</v>
      </c>
      <c r="G358" s="3">
        <f t="shared" si="20"/>
        <v>-2.8374994093465093</v>
      </c>
      <c r="I358" s="2">
        <v>44187</v>
      </c>
      <c r="J358" s="3">
        <f>IFERROR(VLOOKUP(I358,$A$1:$G$1610,3,FALSE),J357)</f>
        <v>24.23</v>
      </c>
      <c r="K358" s="3">
        <f>IFERROR(VLOOKUP(I358,$A$1:$G$1610,7,FALSE),K357)</f>
        <v>-0.94614343126087441</v>
      </c>
      <c r="L358" s="5">
        <f t="shared" si="21"/>
        <v>0</v>
      </c>
    </row>
    <row r="359" spans="1:12" x14ac:dyDescent="0.25">
      <c r="A359" s="2">
        <v>44330</v>
      </c>
      <c r="B359" s="3">
        <v>18.809999999999999</v>
      </c>
      <c r="C359" s="3">
        <f t="shared" si="22"/>
        <v>18.809999999999999</v>
      </c>
      <c r="D359" s="3">
        <v>4173.8500000000004</v>
      </c>
      <c r="E359" s="3">
        <f t="shared" si="23"/>
        <v>4173.8500000000004</v>
      </c>
      <c r="F359" s="3">
        <f>MAX($E$2:E359)</f>
        <v>4232.6000000000004</v>
      </c>
      <c r="G359" s="3">
        <f t="shared" si="20"/>
        <v>-1.3880357227236213</v>
      </c>
      <c r="I359" s="2">
        <v>44188</v>
      </c>
      <c r="J359" s="3">
        <f>IFERROR(VLOOKUP(I359,$A$1:$G$1610,3,FALSE),J358)</f>
        <v>23.31</v>
      </c>
      <c r="K359" s="3">
        <f>IFERROR(VLOOKUP(I359,$A$1:$G$1610,7,FALSE),K358)</f>
        <v>-0.87226795039865357</v>
      </c>
      <c r="L359" s="5">
        <f t="shared" si="21"/>
        <v>0</v>
      </c>
    </row>
    <row r="360" spans="1:12" x14ac:dyDescent="0.25">
      <c r="A360" s="2">
        <v>44333</v>
      </c>
      <c r="B360" s="3">
        <v>19.72</v>
      </c>
      <c r="C360" s="3">
        <f t="shared" si="22"/>
        <v>19.72</v>
      </c>
      <c r="D360" s="3">
        <v>4163.29</v>
      </c>
      <c r="E360" s="3">
        <f t="shared" si="23"/>
        <v>4163.29</v>
      </c>
      <c r="F360" s="3">
        <f>MAX($E$2:E360)</f>
        <v>4232.6000000000004</v>
      </c>
      <c r="G360" s="3">
        <f t="shared" si="20"/>
        <v>-1.6375277607144638</v>
      </c>
      <c r="I360" s="2">
        <v>44189</v>
      </c>
      <c r="J360" s="3">
        <f>IFERROR(VLOOKUP(I360,$A$1:$G$1610,3,FALSE),J359)</f>
        <v>21.53</v>
      </c>
      <c r="K360" s="3">
        <f>IFERROR(VLOOKUP(I360,$A$1:$G$1610,7,FALSE),K359)</f>
        <v>-0.52169521394339458</v>
      </c>
      <c r="L360" s="5">
        <f t="shared" si="21"/>
        <v>0</v>
      </c>
    </row>
    <row r="361" spans="1:12" x14ac:dyDescent="0.25">
      <c r="A361" s="2">
        <v>44334</v>
      </c>
      <c r="B361" s="3">
        <v>21.34</v>
      </c>
      <c r="C361" s="3">
        <f t="shared" si="22"/>
        <v>21.34</v>
      </c>
      <c r="D361" s="3">
        <v>4127.83</v>
      </c>
      <c r="E361" s="3">
        <f t="shared" si="23"/>
        <v>4127.83</v>
      </c>
      <c r="F361" s="3">
        <f>MAX($E$2:E361)</f>
        <v>4232.6000000000004</v>
      </c>
      <c r="G361" s="3">
        <f t="shared" si="20"/>
        <v>-2.4753106837405006</v>
      </c>
      <c r="I361" s="2">
        <v>44190</v>
      </c>
      <c r="J361" s="3">
        <f>IFERROR(VLOOKUP(I361,$A$1:$G$1610,3,FALSE),J360)</f>
        <v>21.53</v>
      </c>
      <c r="K361" s="3">
        <f>IFERROR(VLOOKUP(I361,$A$1:$G$1610,7,FALSE),K360)</f>
        <v>-0.52169521394339458</v>
      </c>
      <c r="L361" s="5">
        <f t="shared" si="21"/>
        <v>0</v>
      </c>
    </row>
    <row r="362" spans="1:12" x14ac:dyDescent="0.25">
      <c r="A362" s="2">
        <v>44335</v>
      </c>
      <c r="B362" s="3">
        <v>22.18</v>
      </c>
      <c r="C362" s="3">
        <f t="shared" si="22"/>
        <v>22.18</v>
      </c>
      <c r="D362" s="3">
        <v>4115.68</v>
      </c>
      <c r="E362" s="3">
        <f t="shared" si="23"/>
        <v>4115.68</v>
      </c>
      <c r="F362" s="3">
        <f>MAX($E$2:E362)</f>
        <v>4232.6000000000004</v>
      </c>
      <c r="G362" s="3">
        <f t="shared" si="20"/>
        <v>-2.7623682842697175</v>
      </c>
      <c r="I362" s="2">
        <v>44191</v>
      </c>
      <c r="J362" s="3">
        <f>IFERROR(VLOOKUP(I362,$A$1:$G$1610,3,FALSE),J361)</f>
        <v>21.53</v>
      </c>
      <c r="K362" s="3">
        <f>IFERROR(VLOOKUP(I362,$A$1:$G$1610,7,FALSE),K361)</f>
        <v>-0.52169521394339458</v>
      </c>
      <c r="L362" s="5">
        <f t="shared" si="21"/>
        <v>0</v>
      </c>
    </row>
    <row r="363" spans="1:12" x14ac:dyDescent="0.25">
      <c r="A363" s="2">
        <v>44336</v>
      </c>
      <c r="B363" s="3">
        <v>20.67</v>
      </c>
      <c r="C363" s="3">
        <f t="shared" si="22"/>
        <v>20.67</v>
      </c>
      <c r="D363" s="3">
        <v>4159.12</v>
      </c>
      <c r="E363" s="3">
        <f t="shared" si="23"/>
        <v>4159.12</v>
      </c>
      <c r="F363" s="3">
        <f>MAX($E$2:E363)</f>
        <v>4232.6000000000004</v>
      </c>
      <c r="G363" s="3">
        <f t="shared" si="20"/>
        <v>-1.7360487643528912</v>
      </c>
      <c r="I363" s="2">
        <v>44192</v>
      </c>
      <c r="J363" s="3">
        <f>IFERROR(VLOOKUP(I363,$A$1:$G$1610,3,FALSE),J362)</f>
        <v>21.53</v>
      </c>
      <c r="K363" s="3">
        <f>IFERROR(VLOOKUP(I363,$A$1:$G$1610,7,FALSE),K362)</f>
        <v>-0.52169521394339458</v>
      </c>
      <c r="L363" s="5">
        <f t="shared" si="21"/>
        <v>0</v>
      </c>
    </row>
    <row r="364" spans="1:12" x14ac:dyDescent="0.25">
      <c r="A364" s="2">
        <v>44337</v>
      </c>
      <c r="B364" s="3">
        <v>20.149999999999999</v>
      </c>
      <c r="C364" s="3">
        <f t="shared" si="22"/>
        <v>20.149999999999999</v>
      </c>
      <c r="D364" s="3">
        <v>4155.8599999999997</v>
      </c>
      <c r="E364" s="3">
        <f t="shared" si="23"/>
        <v>4155.8599999999997</v>
      </c>
      <c r="F364" s="3">
        <f>MAX($E$2:E364)</f>
        <v>4232.6000000000004</v>
      </c>
      <c r="G364" s="3">
        <f t="shared" si="20"/>
        <v>-1.8130699806265815</v>
      </c>
      <c r="I364" s="2">
        <v>44193</v>
      </c>
      <c r="J364" s="3">
        <f>IFERROR(VLOOKUP(I364,$A$1:$G$1610,3,FALSE),J363)</f>
        <v>21.7</v>
      </c>
      <c r="K364" s="3">
        <f>IFERROR(VLOOKUP(I364,$A$1:$G$1610,7,FALSE),K363)</f>
        <v>0</v>
      </c>
      <c r="L364" s="5">
        <f t="shared" si="21"/>
        <v>0</v>
      </c>
    </row>
    <row r="365" spans="1:12" x14ac:dyDescent="0.25">
      <c r="A365" s="2">
        <v>44340</v>
      </c>
      <c r="B365" s="3">
        <v>18.399999999999999</v>
      </c>
      <c r="C365" s="3">
        <f t="shared" si="22"/>
        <v>18.399999999999999</v>
      </c>
      <c r="D365" s="3">
        <v>4197.05</v>
      </c>
      <c r="E365" s="3">
        <f t="shared" si="23"/>
        <v>4197.05</v>
      </c>
      <c r="F365" s="3">
        <f>MAX($E$2:E365)</f>
        <v>4232.6000000000004</v>
      </c>
      <c r="G365" s="3">
        <f t="shared" si="20"/>
        <v>-0.83990927562255302</v>
      </c>
      <c r="I365" s="2">
        <v>44194</v>
      </c>
      <c r="J365" s="3">
        <f>IFERROR(VLOOKUP(I365,$A$1:$G$1610,3,FALSE),J364)</f>
        <v>23.08</v>
      </c>
      <c r="K365" s="3">
        <f>IFERROR(VLOOKUP(I365,$A$1:$G$1610,7,FALSE),K364)</f>
        <v>-0.22273622890431347</v>
      </c>
      <c r="L365" s="5">
        <f t="shared" si="21"/>
        <v>0</v>
      </c>
    </row>
    <row r="366" spans="1:12" x14ac:dyDescent="0.25">
      <c r="A366" s="2">
        <v>44341</v>
      </c>
      <c r="B366" s="3">
        <v>18.84</v>
      </c>
      <c r="C366" s="3">
        <f t="shared" si="22"/>
        <v>18.84</v>
      </c>
      <c r="D366" s="3">
        <v>4188.13</v>
      </c>
      <c r="E366" s="3">
        <f t="shared" si="23"/>
        <v>4188.13</v>
      </c>
      <c r="F366" s="3">
        <f>MAX($E$2:E366)</f>
        <v>4232.6000000000004</v>
      </c>
      <c r="G366" s="3">
        <f t="shared" si="20"/>
        <v>-1.0506544440769328</v>
      </c>
      <c r="I366" s="2">
        <v>44195</v>
      </c>
      <c r="J366" s="3">
        <f>IFERROR(VLOOKUP(I366,$A$1:$G$1610,3,FALSE),J365)</f>
        <v>22.77</v>
      </c>
      <c r="K366" s="3">
        <f>IFERROR(VLOOKUP(I366,$A$1:$G$1610,7,FALSE),K365)</f>
        <v>-8.8880322110858487E-2</v>
      </c>
      <c r="L366" s="5">
        <f t="shared" si="21"/>
        <v>0</v>
      </c>
    </row>
    <row r="367" spans="1:12" x14ac:dyDescent="0.25">
      <c r="A367" s="2">
        <v>44342</v>
      </c>
      <c r="B367" s="3">
        <v>17.36</v>
      </c>
      <c r="C367" s="3">
        <f t="shared" si="22"/>
        <v>17.36</v>
      </c>
      <c r="D367" s="3">
        <v>4195.99</v>
      </c>
      <c r="E367" s="3">
        <f t="shared" si="23"/>
        <v>4195.99</v>
      </c>
      <c r="F367" s="3">
        <f>MAX($E$2:E367)</f>
        <v>4232.6000000000004</v>
      </c>
      <c r="G367" s="3">
        <f t="shared" si="20"/>
        <v>-0.86495298398149079</v>
      </c>
      <c r="I367" s="2">
        <v>44196</v>
      </c>
      <c r="J367" s="3">
        <f>IFERROR(VLOOKUP(I367,$A$1:$G$1610,3,FALSE),J366)</f>
        <v>22.75</v>
      </c>
      <c r="K367" s="3">
        <f>IFERROR(VLOOKUP(I367,$A$1:$G$1610,7,FALSE),K366)</f>
        <v>0</v>
      </c>
      <c r="L367" s="5">
        <f t="shared" si="21"/>
        <v>0</v>
      </c>
    </row>
    <row r="368" spans="1:12" x14ac:dyDescent="0.25">
      <c r="A368" s="2">
        <v>44343</v>
      </c>
      <c r="B368" s="3">
        <v>16.739999999999998</v>
      </c>
      <c r="C368" s="3">
        <f t="shared" si="22"/>
        <v>16.739999999999998</v>
      </c>
      <c r="D368" s="3">
        <v>4200.88</v>
      </c>
      <c r="E368" s="3">
        <f t="shared" si="23"/>
        <v>4200.88</v>
      </c>
      <c r="F368" s="3">
        <f>MAX($E$2:E368)</f>
        <v>4232.6000000000004</v>
      </c>
      <c r="G368" s="3">
        <f t="shared" si="20"/>
        <v>-0.74942115957095523</v>
      </c>
      <c r="I368" s="2">
        <v>44197</v>
      </c>
      <c r="J368" s="3">
        <f>IFERROR(VLOOKUP(I368,$A$1:$G$1610,3,FALSE),J367)</f>
        <v>22.75</v>
      </c>
      <c r="K368" s="3">
        <f>IFERROR(VLOOKUP(I368,$A$1:$G$1610,7,FALSE),K367)</f>
        <v>0</v>
      </c>
      <c r="L368" s="5">
        <f t="shared" si="21"/>
        <v>0</v>
      </c>
    </row>
    <row r="369" spans="1:12" x14ac:dyDescent="0.25">
      <c r="A369" s="2">
        <v>44344</v>
      </c>
      <c r="B369" s="3">
        <v>16.760000000000002</v>
      </c>
      <c r="C369" s="3">
        <f t="shared" si="22"/>
        <v>16.760000000000002</v>
      </c>
      <c r="D369" s="3">
        <v>4204.1099999999997</v>
      </c>
      <c r="E369" s="3">
        <f t="shared" si="23"/>
        <v>4204.1099999999997</v>
      </c>
      <c r="F369" s="3">
        <f>MAX($E$2:E369)</f>
        <v>4232.6000000000004</v>
      </c>
      <c r="G369" s="3">
        <f t="shared" si="20"/>
        <v>-0.67310872749611794</v>
      </c>
      <c r="I369" s="2">
        <v>44198</v>
      </c>
      <c r="J369" s="3">
        <f>IFERROR(VLOOKUP(I369,$A$1:$G$1610,3,FALSE),J368)</f>
        <v>22.75</v>
      </c>
      <c r="K369" s="3">
        <f>IFERROR(VLOOKUP(I369,$A$1:$G$1610,7,FALSE),K368)</f>
        <v>0</v>
      </c>
      <c r="L369" s="5">
        <f t="shared" si="21"/>
        <v>0</v>
      </c>
    </row>
    <row r="370" spans="1:12" x14ac:dyDescent="0.25">
      <c r="A370" s="2">
        <v>44347</v>
      </c>
      <c r="C370" s="3">
        <f t="shared" si="22"/>
        <v>16.760000000000002</v>
      </c>
      <c r="E370" s="3">
        <f t="shared" si="23"/>
        <v>4204.1099999999997</v>
      </c>
      <c r="F370" s="3">
        <f>MAX($E$2:E370)</f>
        <v>4232.6000000000004</v>
      </c>
      <c r="G370" s="3">
        <f t="shared" si="20"/>
        <v>-0.67310872749611794</v>
      </c>
      <c r="I370" s="2">
        <v>44199</v>
      </c>
      <c r="J370" s="3">
        <f>IFERROR(VLOOKUP(I370,$A$1:$G$1610,3,FALSE),J369)</f>
        <v>22.75</v>
      </c>
      <c r="K370" s="3">
        <f>IFERROR(VLOOKUP(I370,$A$1:$G$1610,7,FALSE),K369)</f>
        <v>0</v>
      </c>
      <c r="L370" s="5">
        <f t="shared" si="21"/>
        <v>0</v>
      </c>
    </row>
    <row r="371" spans="1:12" x14ac:dyDescent="0.25">
      <c r="A371" s="2">
        <v>44348</v>
      </c>
      <c r="B371" s="3">
        <v>17.899999999999999</v>
      </c>
      <c r="C371" s="3">
        <f t="shared" si="22"/>
        <v>17.899999999999999</v>
      </c>
      <c r="D371" s="3">
        <v>4202.04</v>
      </c>
      <c r="E371" s="3">
        <f t="shared" si="23"/>
        <v>4202.04</v>
      </c>
      <c r="F371" s="3">
        <f>MAX($E$2:E371)</f>
        <v>4232.6000000000004</v>
      </c>
      <c r="G371" s="3">
        <f t="shared" si="20"/>
        <v>-0.72201483721590509</v>
      </c>
      <c r="I371" s="2">
        <v>44200</v>
      </c>
      <c r="J371" s="3">
        <f>IFERROR(VLOOKUP(I371,$A$1:$G$1610,3,FALSE),J370)</f>
        <v>26.97</v>
      </c>
      <c r="K371" s="3">
        <f>IFERROR(VLOOKUP(I371,$A$1:$G$1610,7,FALSE),K370)</f>
        <v>-1.4754783590295193</v>
      </c>
      <c r="L371" s="5">
        <f t="shared" si="21"/>
        <v>0</v>
      </c>
    </row>
    <row r="372" spans="1:12" x14ac:dyDescent="0.25">
      <c r="A372" s="2">
        <v>44349</v>
      </c>
      <c r="B372" s="3">
        <v>17.48</v>
      </c>
      <c r="C372" s="3">
        <f t="shared" si="22"/>
        <v>17.48</v>
      </c>
      <c r="D372" s="3">
        <v>4208.12</v>
      </c>
      <c r="E372" s="3">
        <f t="shared" si="23"/>
        <v>4208.12</v>
      </c>
      <c r="F372" s="3">
        <f>MAX($E$2:E372)</f>
        <v>4232.6000000000004</v>
      </c>
      <c r="G372" s="3">
        <f t="shared" si="20"/>
        <v>-0.57836790625148782</v>
      </c>
      <c r="I372" s="2">
        <v>44201</v>
      </c>
      <c r="J372" s="3">
        <f>IFERROR(VLOOKUP(I372,$A$1:$G$1610,3,FALSE),J371)</f>
        <v>25.34</v>
      </c>
      <c r="K372" s="3">
        <f>IFERROR(VLOOKUP(I372,$A$1:$G$1610,7,FALSE),K371)</f>
        <v>-0.77767453748199677</v>
      </c>
      <c r="L372" s="5">
        <f t="shared" si="21"/>
        <v>0</v>
      </c>
    </row>
    <row r="373" spans="1:12" x14ac:dyDescent="0.25">
      <c r="A373" s="2">
        <v>44350</v>
      </c>
      <c r="B373" s="3">
        <v>18.04</v>
      </c>
      <c r="C373" s="3">
        <f t="shared" si="22"/>
        <v>18.04</v>
      </c>
      <c r="D373" s="3">
        <v>4192.8500000000004</v>
      </c>
      <c r="E373" s="3">
        <f t="shared" si="23"/>
        <v>4192.8500000000004</v>
      </c>
      <c r="F373" s="3">
        <f>MAX($E$2:E373)</f>
        <v>4232.6000000000004</v>
      </c>
      <c r="G373" s="3">
        <f t="shared" si="20"/>
        <v>-0.9391390634598118</v>
      </c>
      <c r="I373" s="2">
        <v>44202</v>
      </c>
      <c r="J373" s="3">
        <f>IFERROR(VLOOKUP(I373,$A$1:$G$1610,3,FALSE),J372)</f>
        <v>25.07</v>
      </c>
      <c r="K373" s="3">
        <f>IFERROR(VLOOKUP(I373,$A$1:$G$1610,7,FALSE),K372)</f>
        <v>-0.21112492578680087</v>
      </c>
      <c r="L373" s="5">
        <f t="shared" si="21"/>
        <v>0</v>
      </c>
    </row>
    <row r="374" spans="1:12" x14ac:dyDescent="0.25">
      <c r="A374" s="2">
        <v>44351</v>
      </c>
      <c r="B374" s="3">
        <v>16.420000000000002</v>
      </c>
      <c r="C374" s="3">
        <f t="shared" si="22"/>
        <v>16.420000000000002</v>
      </c>
      <c r="D374" s="3">
        <v>4229.8900000000003</v>
      </c>
      <c r="E374" s="3">
        <f t="shared" si="23"/>
        <v>4229.8900000000003</v>
      </c>
      <c r="F374" s="3">
        <f>MAX($E$2:E374)</f>
        <v>4232.6000000000004</v>
      </c>
      <c r="G374" s="3">
        <f t="shared" si="20"/>
        <v>-6.4026839294996835E-2</v>
      </c>
      <c r="I374" s="2">
        <v>44203</v>
      </c>
      <c r="J374" s="3">
        <f>IFERROR(VLOOKUP(I374,$A$1:$G$1610,3,FALSE),J373)</f>
        <v>22.37</v>
      </c>
      <c r="K374" s="3">
        <f>IFERROR(VLOOKUP(I374,$A$1:$G$1610,7,FALSE),K373)</f>
        <v>0</v>
      </c>
      <c r="L374" s="5">
        <f t="shared" si="21"/>
        <v>0</v>
      </c>
    </row>
    <row r="375" spans="1:12" x14ac:dyDescent="0.25">
      <c r="A375" s="2">
        <v>44354</v>
      </c>
      <c r="B375" s="3">
        <v>16.420000000000002</v>
      </c>
      <c r="C375" s="3">
        <f t="shared" si="22"/>
        <v>16.420000000000002</v>
      </c>
      <c r="D375" s="3">
        <v>4226.5200000000004</v>
      </c>
      <c r="E375" s="3">
        <f t="shared" si="23"/>
        <v>4226.5200000000004</v>
      </c>
      <c r="F375" s="3">
        <f>MAX($E$2:E375)</f>
        <v>4232.6000000000004</v>
      </c>
      <c r="G375" s="3">
        <f t="shared" si="20"/>
        <v>-0.1436469309644173</v>
      </c>
      <c r="I375" s="2">
        <v>44204</v>
      </c>
      <c r="J375" s="3">
        <f>IFERROR(VLOOKUP(I375,$A$1:$G$1610,3,FALSE),J374)</f>
        <v>21.56</v>
      </c>
      <c r="K375" s="3">
        <f>IFERROR(VLOOKUP(I375,$A$1:$G$1610,7,FALSE),K374)</f>
        <v>0</v>
      </c>
      <c r="L375" s="5">
        <f t="shared" si="21"/>
        <v>0</v>
      </c>
    </row>
    <row r="376" spans="1:12" x14ac:dyDescent="0.25">
      <c r="A376" s="2">
        <v>44355</v>
      </c>
      <c r="B376" s="3">
        <v>17.07</v>
      </c>
      <c r="C376" s="3">
        <f t="shared" si="22"/>
        <v>17.07</v>
      </c>
      <c r="D376" s="3">
        <v>4227.26</v>
      </c>
      <c r="E376" s="3">
        <f t="shared" si="23"/>
        <v>4227.26</v>
      </c>
      <c r="F376" s="3">
        <f>MAX($E$2:E376)</f>
        <v>4232.6000000000004</v>
      </c>
      <c r="G376" s="3">
        <f t="shared" si="20"/>
        <v>-0.12616358739309513</v>
      </c>
      <c r="I376" s="2">
        <v>44205</v>
      </c>
      <c r="J376" s="3">
        <f>IFERROR(VLOOKUP(I376,$A$1:$G$1610,3,FALSE),J375)</f>
        <v>21.56</v>
      </c>
      <c r="K376" s="3">
        <f>IFERROR(VLOOKUP(I376,$A$1:$G$1610,7,FALSE),K375)</f>
        <v>0</v>
      </c>
      <c r="L376" s="5">
        <f t="shared" si="21"/>
        <v>0</v>
      </c>
    </row>
    <row r="377" spans="1:12" x14ac:dyDescent="0.25">
      <c r="A377" s="2">
        <v>44356</v>
      </c>
      <c r="B377" s="3">
        <v>17.89</v>
      </c>
      <c r="C377" s="3">
        <f t="shared" si="22"/>
        <v>17.89</v>
      </c>
      <c r="D377" s="3">
        <v>4219.55</v>
      </c>
      <c r="E377" s="3">
        <f t="shared" si="23"/>
        <v>4219.55</v>
      </c>
      <c r="F377" s="3">
        <f>MAX($E$2:E377)</f>
        <v>4232.6000000000004</v>
      </c>
      <c r="G377" s="3">
        <f t="shared" si="20"/>
        <v>-0.30832112649435761</v>
      </c>
      <c r="I377" s="2">
        <v>44206</v>
      </c>
      <c r="J377" s="3">
        <f>IFERROR(VLOOKUP(I377,$A$1:$G$1610,3,FALSE),J376)</f>
        <v>21.56</v>
      </c>
      <c r="K377" s="3">
        <f>IFERROR(VLOOKUP(I377,$A$1:$G$1610,7,FALSE),K376)</f>
        <v>0</v>
      </c>
      <c r="L377" s="5">
        <f t="shared" si="21"/>
        <v>0</v>
      </c>
    </row>
    <row r="378" spans="1:12" x14ac:dyDescent="0.25">
      <c r="A378" s="2">
        <v>44357</v>
      </c>
      <c r="B378" s="3">
        <v>16.100000000000001</v>
      </c>
      <c r="C378" s="3">
        <f t="shared" si="22"/>
        <v>16.100000000000001</v>
      </c>
      <c r="D378" s="3">
        <v>4239.18</v>
      </c>
      <c r="E378" s="3">
        <f t="shared" si="23"/>
        <v>4239.18</v>
      </c>
      <c r="F378" s="3">
        <f>MAX($E$2:E378)</f>
        <v>4239.18</v>
      </c>
      <c r="G378" s="3">
        <f t="shared" si="20"/>
        <v>0</v>
      </c>
      <c r="I378" s="2">
        <v>44207</v>
      </c>
      <c r="J378" s="3">
        <f>IFERROR(VLOOKUP(I378,$A$1:$G$1610,3,FALSE),J377)</f>
        <v>24.08</v>
      </c>
      <c r="K378" s="3">
        <f>IFERROR(VLOOKUP(I378,$A$1:$G$1610,7,FALSE),K377)</f>
        <v>-0.65547967411651986</v>
      </c>
      <c r="L378" s="5">
        <f t="shared" si="21"/>
        <v>0</v>
      </c>
    </row>
    <row r="379" spans="1:12" x14ac:dyDescent="0.25">
      <c r="A379" s="2">
        <v>44358</v>
      </c>
      <c r="B379" s="3">
        <v>15.65</v>
      </c>
      <c r="C379" s="3">
        <f t="shared" si="22"/>
        <v>15.65</v>
      </c>
      <c r="D379" s="3">
        <v>4247.4399999999996</v>
      </c>
      <c r="E379" s="3">
        <f t="shared" si="23"/>
        <v>4247.4399999999996</v>
      </c>
      <c r="F379" s="3">
        <f>MAX($E$2:E379)</f>
        <v>4247.4399999999996</v>
      </c>
      <c r="G379" s="3">
        <f t="shared" si="20"/>
        <v>0</v>
      </c>
      <c r="I379" s="2">
        <v>44208</v>
      </c>
      <c r="J379" s="3">
        <f>IFERROR(VLOOKUP(I379,$A$1:$G$1610,3,FALSE),J378)</f>
        <v>23.33</v>
      </c>
      <c r="K379" s="3">
        <f>IFERROR(VLOOKUP(I379,$A$1:$G$1610,7,FALSE),K378)</f>
        <v>-0.61416902852002742</v>
      </c>
      <c r="L379" s="5">
        <f t="shared" si="21"/>
        <v>0</v>
      </c>
    </row>
    <row r="380" spans="1:12" x14ac:dyDescent="0.25">
      <c r="A380" s="2">
        <v>44361</v>
      </c>
      <c r="B380" s="3">
        <v>16.39</v>
      </c>
      <c r="C380" s="3">
        <f t="shared" si="22"/>
        <v>16.39</v>
      </c>
      <c r="D380" s="3">
        <v>4255.1499999999996</v>
      </c>
      <c r="E380" s="3">
        <f t="shared" si="23"/>
        <v>4255.1499999999996</v>
      </c>
      <c r="F380" s="3">
        <f>MAX($E$2:E380)</f>
        <v>4255.1499999999996</v>
      </c>
      <c r="G380" s="3">
        <f t="shared" si="20"/>
        <v>0</v>
      </c>
      <c r="I380" s="2">
        <v>44209</v>
      </c>
      <c r="J380" s="3">
        <f>IFERROR(VLOOKUP(I380,$A$1:$G$1610,3,FALSE),J379)</f>
        <v>22.21</v>
      </c>
      <c r="K380" s="3">
        <f>IFERROR(VLOOKUP(I380,$A$1:$G$1610,7,FALSE),K379)</f>
        <v>-0.38800631686833126</v>
      </c>
      <c r="L380" s="5">
        <f t="shared" si="21"/>
        <v>0</v>
      </c>
    </row>
    <row r="381" spans="1:12" x14ac:dyDescent="0.25">
      <c r="A381" s="2">
        <v>44362</v>
      </c>
      <c r="B381" s="3">
        <v>17.02</v>
      </c>
      <c r="C381" s="3">
        <f t="shared" si="22"/>
        <v>17.02</v>
      </c>
      <c r="D381" s="3">
        <v>4246.59</v>
      </c>
      <c r="E381" s="3">
        <f t="shared" si="23"/>
        <v>4246.59</v>
      </c>
      <c r="F381" s="3">
        <f>MAX($E$2:E381)</f>
        <v>4255.1499999999996</v>
      </c>
      <c r="G381" s="3">
        <f t="shared" si="20"/>
        <v>-0.20116799642784605</v>
      </c>
      <c r="I381" s="2">
        <v>44210</v>
      </c>
      <c r="J381" s="3">
        <f>IFERROR(VLOOKUP(I381,$A$1:$G$1610,3,FALSE),J380)</f>
        <v>23.25</v>
      </c>
      <c r="K381" s="3">
        <f>IFERROR(VLOOKUP(I381,$A$1:$G$1610,7,FALSE),K380)</f>
        <v>-0.76189380549483543</v>
      </c>
      <c r="L381" s="5">
        <f t="shared" si="21"/>
        <v>0</v>
      </c>
    </row>
    <row r="382" spans="1:12" x14ac:dyDescent="0.25">
      <c r="A382" s="2">
        <v>44363</v>
      </c>
      <c r="B382" s="3">
        <v>18.149999999999999</v>
      </c>
      <c r="C382" s="3">
        <f t="shared" si="22"/>
        <v>18.149999999999999</v>
      </c>
      <c r="D382" s="3">
        <v>4223.7</v>
      </c>
      <c r="E382" s="3">
        <f t="shared" si="23"/>
        <v>4223.7</v>
      </c>
      <c r="F382" s="3">
        <f>MAX($E$2:E382)</f>
        <v>4255.1499999999996</v>
      </c>
      <c r="G382" s="3">
        <f t="shared" si="20"/>
        <v>-0.73910437939907692</v>
      </c>
      <c r="I382" s="2">
        <v>44211</v>
      </c>
      <c r="J382" s="3">
        <f>IFERROR(VLOOKUP(I382,$A$1:$G$1610,3,FALSE),J381)</f>
        <v>24.34</v>
      </c>
      <c r="K382" s="3">
        <f>IFERROR(VLOOKUP(I382,$A$1:$G$1610,7,FALSE),K381)</f>
        <v>-1.4754175512722592</v>
      </c>
      <c r="L382" s="5">
        <f t="shared" si="21"/>
        <v>0</v>
      </c>
    </row>
    <row r="383" spans="1:12" x14ac:dyDescent="0.25">
      <c r="A383" s="2">
        <v>44364</v>
      </c>
      <c r="B383" s="3">
        <v>17.75</v>
      </c>
      <c r="C383" s="3">
        <f t="shared" si="22"/>
        <v>17.75</v>
      </c>
      <c r="D383" s="3">
        <v>4221.8599999999997</v>
      </c>
      <c r="E383" s="3">
        <f t="shared" si="23"/>
        <v>4221.8599999999997</v>
      </c>
      <c r="F383" s="3">
        <f>MAX($E$2:E383)</f>
        <v>4255.1499999999996</v>
      </c>
      <c r="G383" s="3">
        <f t="shared" si="20"/>
        <v>-0.78234609825740486</v>
      </c>
      <c r="I383" s="2">
        <v>44212</v>
      </c>
      <c r="J383" s="3">
        <f>IFERROR(VLOOKUP(I383,$A$1:$G$1610,3,FALSE),J382)</f>
        <v>24.34</v>
      </c>
      <c r="K383" s="3">
        <f>IFERROR(VLOOKUP(I383,$A$1:$G$1610,7,FALSE),K382)</f>
        <v>-1.4754175512722592</v>
      </c>
      <c r="L383" s="5">
        <f t="shared" si="21"/>
        <v>0</v>
      </c>
    </row>
    <row r="384" spans="1:12" x14ac:dyDescent="0.25">
      <c r="A384" s="2">
        <v>44365</v>
      </c>
      <c r="B384" s="3">
        <v>20.7</v>
      </c>
      <c r="C384" s="3">
        <f t="shared" si="22"/>
        <v>20.7</v>
      </c>
      <c r="D384" s="3">
        <v>4166.45</v>
      </c>
      <c r="E384" s="3">
        <f t="shared" si="23"/>
        <v>4166.45</v>
      </c>
      <c r="F384" s="3">
        <f>MAX($E$2:E384)</f>
        <v>4255.1499999999996</v>
      </c>
      <c r="G384" s="3">
        <f t="shared" si="20"/>
        <v>-2.0845328601811883</v>
      </c>
      <c r="I384" s="2">
        <v>44213</v>
      </c>
      <c r="J384" s="3">
        <f>IFERROR(VLOOKUP(I384,$A$1:$G$1610,3,FALSE),J383)</f>
        <v>24.34</v>
      </c>
      <c r="K384" s="3">
        <f>IFERROR(VLOOKUP(I384,$A$1:$G$1610,7,FALSE),K383)</f>
        <v>-1.4754175512722592</v>
      </c>
      <c r="L384" s="5">
        <f t="shared" si="21"/>
        <v>0</v>
      </c>
    </row>
    <row r="385" spans="1:12" x14ac:dyDescent="0.25">
      <c r="A385" s="2">
        <v>44368</v>
      </c>
      <c r="B385" s="3">
        <v>17.89</v>
      </c>
      <c r="C385" s="3">
        <f t="shared" si="22"/>
        <v>17.89</v>
      </c>
      <c r="D385" s="3">
        <v>4224.79</v>
      </c>
      <c r="E385" s="3">
        <f t="shared" si="23"/>
        <v>4224.79</v>
      </c>
      <c r="F385" s="3">
        <f>MAX($E$2:E385)</f>
        <v>4255.1499999999996</v>
      </c>
      <c r="G385" s="3">
        <f t="shared" si="20"/>
        <v>-0.71348836116234859</v>
      </c>
      <c r="I385" s="2">
        <v>44214</v>
      </c>
      <c r="J385" s="3">
        <f>IFERROR(VLOOKUP(I385,$A$1:$G$1610,3,FALSE),J384)</f>
        <v>24.34</v>
      </c>
      <c r="K385" s="3">
        <f>IFERROR(VLOOKUP(I385,$A$1:$G$1610,7,FALSE),K384)</f>
        <v>-1.4754175512722592</v>
      </c>
      <c r="L385" s="5">
        <f t="shared" si="21"/>
        <v>0</v>
      </c>
    </row>
    <row r="386" spans="1:12" x14ac:dyDescent="0.25">
      <c r="A386" s="2">
        <v>44369</v>
      </c>
      <c r="B386" s="3">
        <v>16.66</v>
      </c>
      <c r="C386" s="3">
        <f t="shared" si="22"/>
        <v>16.66</v>
      </c>
      <c r="D386" s="3">
        <v>4246.4399999999996</v>
      </c>
      <c r="E386" s="3">
        <f t="shared" si="23"/>
        <v>4246.4399999999996</v>
      </c>
      <c r="F386" s="3">
        <f>MAX($E$2:E386)</f>
        <v>4255.1499999999996</v>
      </c>
      <c r="G386" s="3">
        <f t="shared" ref="G386:G449" si="24">(E386-F386)/F386*100</f>
        <v>-0.20469313655217883</v>
      </c>
      <c r="I386" s="2">
        <v>44215</v>
      </c>
      <c r="J386" s="3">
        <f>IFERROR(VLOOKUP(I386,$A$1:$G$1610,3,FALSE),J385)</f>
        <v>23.24</v>
      </c>
      <c r="K386" s="3">
        <f>IFERROR(VLOOKUP(I386,$A$1:$G$1610,7,FALSE),K385)</f>
        <v>-0.67378185887446751</v>
      </c>
      <c r="L386" s="5">
        <f t="shared" ref="L386:L449" si="25">IF(OR(J386&gt;=30,K386&lt;-10),1,0)</f>
        <v>0</v>
      </c>
    </row>
    <row r="387" spans="1:12" x14ac:dyDescent="0.25">
      <c r="A387" s="2">
        <v>44370</v>
      </c>
      <c r="B387" s="3">
        <v>16.32</v>
      </c>
      <c r="C387" s="3">
        <f t="shared" ref="C387:C450" si="26">IF(B387="",B386,B387)</f>
        <v>16.32</v>
      </c>
      <c r="D387" s="3">
        <v>4241.84</v>
      </c>
      <c r="E387" s="3">
        <f t="shared" si="23"/>
        <v>4241.84</v>
      </c>
      <c r="F387" s="3">
        <f>MAX($E$2:E387)</f>
        <v>4255.1499999999996</v>
      </c>
      <c r="G387" s="3">
        <f t="shared" si="24"/>
        <v>-0.31279743369797758</v>
      </c>
      <c r="I387" s="2">
        <v>44216</v>
      </c>
      <c r="J387" s="3">
        <f>IFERROR(VLOOKUP(I387,$A$1:$G$1610,3,FALSE),J386)</f>
        <v>21.58</v>
      </c>
      <c r="K387" s="3">
        <f>IFERROR(VLOOKUP(I387,$A$1:$G$1610,7,FALSE),K386)</f>
        <v>0</v>
      </c>
      <c r="L387" s="5">
        <f t="shared" si="25"/>
        <v>0</v>
      </c>
    </row>
    <row r="388" spans="1:12" x14ac:dyDescent="0.25">
      <c r="A388" s="2">
        <v>44371</v>
      </c>
      <c r="B388" s="3">
        <v>15.97</v>
      </c>
      <c r="C388" s="3">
        <f t="shared" si="26"/>
        <v>15.97</v>
      </c>
      <c r="D388" s="3">
        <v>4266.49</v>
      </c>
      <c r="E388" s="3">
        <f t="shared" si="23"/>
        <v>4266.49</v>
      </c>
      <c r="F388" s="3">
        <f>MAX($E$2:E388)</f>
        <v>4266.49</v>
      </c>
      <c r="G388" s="3">
        <f t="shared" si="24"/>
        <v>0</v>
      </c>
      <c r="I388" s="2">
        <v>44217</v>
      </c>
      <c r="J388" s="3">
        <f>IFERROR(VLOOKUP(I388,$A$1:$G$1610,3,FALSE),J387)</f>
        <v>21.32</v>
      </c>
      <c r="K388" s="3">
        <f>IFERROR(VLOOKUP(I388,$A$1:$G$1610,7,FALSE),K387)</f>
        <v>0</v>
      </c>
      <c r="L388" s="5">
        <f t="shared" si="25"/>
        <v>0</v>
      </c>
    </row>
    <row r="389" spans="1:12" x14ac:dyDescent="0.25">
      <c r="A389" s="2">
        <v>44372</v>
      </c>
      <c r="B389" s="3">
        <v>15.62</v>
      </c>
      <c r="C389" s="3">
        <f t="shared" si="26"/>
        <v>15.62</v>
      </c>
      <c r="D389" s="3">
        <v>4280.7</v>
      </c>
      <c r="E389" s="3">
        <f t="shared" ref="E389:E452" si="27">IF(D389="",D388,D389)</f>
        <v>4280.7</v>
      </c>
      <c r="F389" s="3">
        <f>MAX($E$2:E389)</f>
        <v>4280.7</v>
      </c>
      <c r="G389" s="3">
        <f t="shared" si="24"/>
        <v>0</v>
      </c>
      <c r="I389" s="2">
        <v>44218</v>
      </c>
      <c r="J389" s="3">
        <f>IFERROR(VLOOKUP(I389,$A$1:$G$1610,3,FALSE),J388)</f>
        <v>21.91</v>
      </c>
      <c r="K389" s="3">
        <f>IFERROR(VLOOKUP(I389,$A$1:$G$1610,7,FALSE),K388)</f>
        <v>-0.30105863636010671</v>
      </c>
      <c r="L389" s="5">
        <f t="shared" si="25"/>
        <v>0</v>
      </c>
    </row>
    <row r="390" spans="1:12" x14ac:dyDescent="0.25">
      <c r="A390" s="2">
        <v>44375</v>
      </c>
      <c r="B390" s="3">
        <v>15.76</v>
      </c>
      <c r="C390" s="3">
        <f t="shared" si="26"/>
        <v>15.76</v>
      </c>
      <c r="D390" s="3">
        <v>4290.6099999999997</v>
      </c>
      <c r="E390" s="3">
        <f t="shared" si="27"/>
        <v>4290.6099999999997</v>
      </c>
      <c r="F390" s="3">
        <f>MAX($E$2:E390)</f>
        <v>4290.6099999999997</v>
      </c>
      <c r="G390" s="3">
        <f t="shared" si="24"/>
        <v>0</v>
      </c>
      <c r="I390" s="2">
        <v>44219</v>
      </c>
      <c r="J390" s="3">
        <f>IFERROR(VLOOKUP(I390,$A$1:$G$1610,3,FALSE),J389)</f>
        <v>21.91</v>
      </c>
      <c r="K390" s="3">
        <f>IFERROR(VLOOKUP(I390,$A$1:$G$1610,7,FALSE),K389)</f>
        <v>-0.30105863636010671</v>
      </c>
      <c r="L390" s="5">
        <f t="shared" si="25"/>
        <v>0</v>
      </c>
    </row>
    <row r="391" spans="1:12" x14ac:dyDescent="0.25">
      <c r="A391" s="2">
        <v>44376</v>
      </c>
      <c r="B391" s="3">
        <v>16.02</v>
      </c>
      <c r="C391" s="3">
        <f t="shared" si="26"/>
        <v>16.02</v>
      </c>
      <c r="D391" s="3">
        <v>4291.8</v>
      </c>
      <c r="E391" s="3">
        <f t="shared" si="27"/>
        <v>4291.8</v>
      </c>
      <c r="F391" s="3">
        <f>MAX($E$2:E391)</f>
        <v>4291.8</v>
      </c>
      <c r="G391" s="3">
        <f t="shared" si="24"/>
        <v>0</v>
      </c>
      <c r="I391" s="2">
        <v>44220</v>
      </c>
      <c r="J391" s="3">
        <f>IFERROR(VLOOKUP(I391,$A$1:$G$1610,3,FALSE),J390)</f>
        <v>21.91</v>
      </c>
      <c r="K391" s="3">
        <f>IFERROR(VLOOKUP(I391,$A$1:$G$1610,7,FALSE),K390)</f>
        <v>-0.30105863636010671</v>
      </c>
      <c r="L391" s="5">
        <f t="shared" si="25"/>
        <v>0</v>
      </c>
    </row>
    <row r="392" spans="1:12" x14ac:dyDescent="0.25">
      <c r="A392" s="2">
        <v>44377</v>
      </c>
      <c r="B392" s="3">
        <v>15.83</v>
      </c>
      <c r="C392" s="3">
        <f t="shared" si="26"/>
        <v>15.83</v>
      </c>
      <c r="D392" s="3">
        <v>4297.5</v>
      </c>
      <c r="E392" s="3">
        <f t="shared" si="27"/>
        <v>4297.5</v>
      </c>
      <c r="F392" s="3">
        <f>MAX($E$2:E392)</f>
        <v>4297.5</v>
      </c>
      <c r="G392" s="3">
        <f t="shared" si="24"/>
        <v>0</v>
      </c>
      <c r="I392" s="2">
        <v>44221</v>
      </c>
      <c r="J392" s="3">
        <f>IFERROR(VLOOKUP(I392,$A$1:$G$1610,3,FALSE),J391)</f>
        <v>23.19</v>
      </c>
      <c r="K392" s="3">
        <f>IFERROR(VLOOKUP(I392,$A$1:$G$1610,7,FALSE),K391)</f>
        <v>0</v>
      </c>
      <c r="L392" s="5">
        <f t="shared" si="25"/>
        <v>0</v>
      </c>
    </row>
    <row r="393" spans="1:12" x14ac:dyDescent="0.25">
      <c r="A393" s="2">
        <v>44378</v>
      </c>
      <c r="B393" s="3">
        <v>15.48</v>
      </c>
      <c r="C393" s="3">
        <f t="shared" si="26"/>
        <v>15.48</v>
      </c>
      <c r="D393" s="3">
        <v>4319.9399999999996</v>
      </c>
      <c r="E393" s="3">
        <f t="shared" si="27"/>
        <v>4319.9399999999996</v>
      </c>
      <c r="F393" s="3">
        <f>MAX($E$2:E393)</f>
        <v>4319.9399999999996</v>
      </c>
      <c r="G393" s="3">
        <f t="shared" si="24"/>
        <v>0</v>
      </c>
      <c r="I393" s="2">
        <v>44222</v>
      </c>
      <c r="J393" s="3">
        <f>IFERROR(VLOOKUP(I393,$A$1:$G$1610,3,FALSE),J392)</f>
        <v>23.02</v>
      </c>
      <c r="K393" s="3">
        <f>IFERROR(VLOOKUP(I393,$A$1:$G$1610,7,FALSE),K392)</f>
        <v>-0.14888363213812034</v>
      </c>
      <c r="L393" s="5">
        <f t="shared" si="25"/>
        <v>0</v>
      </c>
    </row>
    <row r="394" spans="1:12" x14ac:dyDescent="0.25">
      <c r="A394" s="2">
        <v>44379</v>
      </c>
      <c r="B394" s="3">
        <v>15.07</v>
      </c>
      <c r="C394" s="3">
        <f t="shared" si="26"/>
        <v>15.07</v>
      </c>
      <c r="D394" s="3">
        <v>4352.34</v>
      </c>
      <c r="E394" s="3">
        <f t="shared" si="27"/>
        <v>4352.34</v>
      </c>
      <c r="F394" s="3">
        <f>MAX($E$2:E394)</f>
        <v>4352.34</v>
      </c>
      <c r="G394" s="3">
        <f t="shared" si="24"/>
        <v>0</v>
      </c>
      <c r="I394" s="2">
        <v>44223</v>
      </c>
      <c r="J394" s="3">
        <f>IFERROR(VLOOKUP(I394,$A$1:$G$1610,3,FALSE),J393)</f>
        <v>37.21</v>
      </c>
      <c r="K394" s="3">
        <f>IFERROR(VLOOKUP(I394,$A$1:$G$1610,7,FALSE),K393)</f>
        <v>-2.7128465305444922</v>
      </c>
      <c r="L394" s="5">
        <f t="shared" si="25"/>
        <v>1</v>
      </c>
    </row>
    <row r="395" spans="1:12" x14ac:dyDescent="0.25">
      <c r="A395" s="2">
        <v>44382</v>
      </c>
      <c r="C395" s="3">
        <f t="shared" si="26"/>
        <v>15.07</v>
      </c>
      <c r="E395" s="3">
        <f t="shared" si="27"/>
        <v>4352.34</v>
      </c>
      <c r="F395" s="3">
        <f>MAX($E$2:E395)</f>
        <v>4352.34</v>
      </c>
      <c r="G395" s="3">
        <f t="shared" si="24"/>
        <v>0</v>
      </c>
      <c r="I395" s="2">
        <v>44224</v>
      </c>
      <c r="J395" s="3">
        <f>IFERROR(VLOOKUP(I395,$A$1:$G$1610,3,FALSE),J394)</f>
        <v>30.21</v>
      </c>
      <c r="K395" s="3">
        <f>IFERROR(VLOOKUP(I395,$A$1:$G$1610,7,FALSE),K394)</f>
        <v>-1.7632594621513948</v>
      </c>
      <c r="L395" s="5">
        <f t="shared" si="25"/>
        <v>1</v>
      </c>
    </row>
    <row r="396" spans="1:12" x14ac:dyDescent="0.25">
      <c r="A396" s="2">
        <v>44383</v>
      </c>
      <c r="B396" s="3">
        <v>16.440000000000001</v>
      </c>
      <c r="C396" s="3">
        <f t="shared" si="26"/>
        <v>16.440000000000001</v>
      </c>
      <c r="D396" s="3">
        <v>4343.54</v>
      </c>
      <c r="E396" s="3">
        <f t="shared" si="27"/>
        <v>4343.54</v>
      </c>
      <c r="F396" s="3">
        <f>MAX($E$2:E396)</f>
        <v>4352.34</v>
      </c>
      <c r="G396" s="3">
        <f t="shared" si="24"/>
        <v>-0.20219008625245688</v>
      </c>
      <c r="I396" s="2">
        <v>44225</v>
      </c>
      <c r="J396" s="3">
        <f>IFERROR(VLOOKUP(I396,$A$1:$G$1610,3,FALSE),J395)</f>
        <v>33.090000000000003</v>
      </c>
      <c r="K396" s="3">
        <f>IFERROR(VLOOKUP(I396,$A$1:$G$1610,7,FALSE),K395)</f>
        <v>-3.6603585657370603</v>
      </c>
      <c r="L396" s="5">
        <f t="shared" si="25"/>
        <v>1</v>
      </c>
    </row>
    <row r="397" spans="1:12" x14ac:dyDescent="0.25">
      <c r="A397" s="2">
        <v>44384</v>
      </c>
      <c r="B397" s="3">
        <v>16.2</v>
      </c>
      <c r="C397" s="3">
        <f t="shared" si="26"/>
        <v>16.2</v>
      </c>
      <c r="D397" s="3">
        <v>4358.13</v>
      </c>
      <c r="E397" s="3">
        <f t="shared" si="27"/>
        <v>4358.13</v>
      </c>
      <c r="F397" s="3">
        <f>MAX($E$2:E397)</f>
        <v>4358.13</v>
      </c>
      <c r="G397" s="3">
        <f t="shared" si="24"/>
        <v>0</v>
      </c>
      <c r="I397" s="2">
        <v>44226</v>
      </c>
      <c r="J397" s="3">
        <f>IFERROR(VLOOKUP(I397,$A$1:$G$1610,3,FALSE),J396)</f>
        <v>33.090000000000003</v>
      </c>
      <c r="K397" s="3">
        <f>IFERROR(VLOOKUP(I397,$A$1:$G$1610,7,FALSE),K396)</f>
        <v>-3.6603585657370603</v>
      </c>
      <c r="L397" s="5">
        <f t="shared" si="25"/>
        <v>1</v>
      </c>
    </row>
    <row r="398" spans="1:12" x14ac:dyDescent="0.25">
      <c r="A398" s="2">
        <v>44385</v>
      </c>
      <c r="B398" s="3">
        <v>19</v>
      </c>
      <c r="C398" s="3">
        <f t="shared" si="26"/>
        <v>19</v>
      </c>
      <c r="D398" s="3">
        <v>4320.82</v>
      </c>
      <c r="E398" s="3">
        <f t="shared" si="27"/>
        <v>4320.82</v>
      </c>
      <c r="F398" s="3">
        <f>MAX($E$2:E398)</f>
        <v>4358.13</v>
      </c>
      <c r="G398" s="3">
        <f t="shared" si="24"/>
        <v>-0.85610112594164001</v>
      </c>
      <c r="I398" s="2">
        <v>44227</v>
      </c>
      <c r="J398" s="3">
        <f>IFERROR(VLOOKUP(I398,$A$1:$G$1610,3,FALSE),J397)</f>
        <v>33.090000000000003</v>
      </c>
      <c r="K398" s="3">
        <f>IFERROR(VLOOKUP(I398,$A$1:$G$1610,7,FALSE),K397)</f>
        <v>-3.6603585657370603</v>
      </c>
      <c r="L398" s="5">
        <f t="shared" si="25"/>
        <v>1</v>
      </c>
    </row>
    <row r="399" spans="1:12" x14ac:dyDescent="0.25">
      <c r="A399" s="2">
        <v>44386</v>
      </c>
      <c r="B399" s="3">
        <v>16.18</v>
      </c>
      <c r="C399" s="3">
        <f t="shared" si="26"/>
        <v>16.18</v>
      </c>
      <c r="D399" s="3">
        <v>4369.55</v>
      </c>
      <c r="E399" s="3">
        <f t="shared" si="27"/>
        <v>4369.55</v>
      </c>
      <c r="F399" s="3">
        <f>MAX($E$2:E399)</f>
        <v>4369.55</v>
      </c>
      <c r="G399" s="3">
        <f t="shared" si="24"/>
        <v>0</v>
      </c>
      <c r="I399" s="2">
        <v>44228</v>
      </c>
      <c r="J399" s="3">
        <f>IFERROR(VLOOKUP(I399,$A$1:$G$1610,3,FALSE),J398)</f>
        <v>30.24</v>
      </c>
      <c r="K399" s="3">
        <f>IFERROR(VLOOKUP(I399,$A$1:$G$1610,7,FALSE),K398)</f>
        <v>-2.1139400730411686</v>
      </c>
      <c r="L399" s="5">
        <f t="shared" si="25"/>
        <v>1</v>
      </c>
    </row>
    <row r="400" spans="1:12" x14ac:dyDescent="0.25">
      <c r="A400" s="2">
        <v>44389</v>
      </c>
      <c r="B400" s="3">
        <v>16.170000000000002</v>
      </c>
      <c r="C400" s="3">
        <f t="shared" si="26"/>
        <v>16.170000000000002</v>
      </c>
      <c r="D400" s="3">
        <v>4384.63</v>
      </c>
      <c r="E400" s="3">
        <f t="shared" si="27"/>
        <v>4384.63</v>
      </c>
      <c r="F400" s="3">
        <f>MAX($E$2:E400)</f>
        <v>4384.63</v>
      </c>
      <c r="G400" s="3">
        <f t="shared" si="24"/>
        <v>0</v>
      </c>
      <c r="I400" s="2">
        <v>44229</v>
      </c>
      <c r="J400" s="3">
        <f>IFERROR(VLOOKUP(I400,$A$1:$G$1610,3,FALSE),J399)</f>
        <v>25.56</v>
      </c>
      <c r="K400" s="3">
        <f>IFERROR(VLOOKUP(I400,$A$1:$G$1610,7,FALSE),K399)</f>
        <v>-0.75349643094289975</v>
      </c>
      <c r="L400" s="5">
        <f t="shared" si="25"/>
        <v>0</v>
      </c>
    </row>
    <row r="401" spans="1:12" x14ac:dyDescent="0.25">
      <c r="A401" s="2">
        <v>44390</v>
      </c>
      <c r="B401" s="3">
        <v>17.12</v>
      </c>
      <c r="C401" s="3">
        <f t="shared" si="26"/>
        <v>17.12</v>
      </c>
      <c r="D401" s="3">
        <v>4369.21</v>
      </c>
      <c r="E401" s="3">
        <f t="shared" si="27"/>
        <v>4369.21</v>
      </c>
      <c r="F401" s="3">
        <f>MAX($E$2:E401)</f>
        <v>4384.63</v>
      </c>
      <c r="G401" s="3">
        <f t="shared" si="24"/>
        <v>-0.35168303824952329</v>
      </c>
      <c r="I401" s="2">
        <v>44230</v>
      </c>
      <c r="J401" s="3">
        <f>IFERROR(VLOOKUP(I401,$A$1:$G$1610,3,FALSE),J400)</f>
        <v>22.91</v>
      </c>
      <c r="K401" s="3">
        <f>IFERROR(VLOOKUP(I401,$A$1:$G$1610,7,FALSE),K400)</f>
        <v>-0.65337607901726569</v>
      </c>
      <c r="L401" s="5">
        <f t="shared" si="25"/>
        <v>0</v>
      </c>
    </row>
    <row r="402" spans="1:12" x14ac:dyDescent="0.25">
      <c r="A402" s="2">
        <v>44391</v>
      </c>
      <c r="B402" s="3">
        <v>16.329999999999998</v>
      </c>
      <c r="C402" s="3">
        <f t="shared" si="26"/>
        <v>16.329999999999998</v>
      </c>
      <c r="D402" s="3">
        <v>4374.3</v>
      </c>
      <c r="E402" s="3">
        <f t="shared" si="27"/>
        <v>4374.3</v>
      </c>
      <c r="F402" s="3">
        <f>MAX($E$2:E402)</f>
        <v>4384.63</v>
      </c>
      <c r="G402" s="3">
        <f t="shared" si="24"/>
        <v>-0.23559570590904882</v>
      </c>
      <c r="I402" s="2">
        <v>44231</v>
      </c>
      <c r="J402" s="3">
        <f>IFERROR(VLOOKUP(I402,$A$1:$G$1610,3,FALSE),J401)</f>
        <v>21.77</v>
      </c>
      <c r="K402" s="3">
        <f>IFERROR(VLOOKUP(I402,$A$1:$G$1610,7,FALSE),K401)</f>
        <v>0</v>
      </c>
      <c r="L402" s="5">
        <f t="shared" si="25"/>
        <v>0</v>
      </c>
    </row>
    <row r="403" spans="1:12" x14ac:dyDescent="0.25">
      <c r="A403" s="2">
        <v>44392</v>
      </c>
      <c r="B403" s="3">
        <v>17.010000000000002</v>
      </c>
      <c r="C403" s="3">
        <f t="shared" si="26"/>
        <v>17.010000000000002</v>
      </c>
      <c r="D403" s="3">
        <v>4360.03</v>
      </c>
      <c r="E403" s="3">
        <f t="shared" si="27"/>
        <v>4360.03</v>
      </c>
      <c r="F403" s="3">
        <f>MAX($E$2:E403)</f>
        <v>4384.63</v>
      </c>
      <c r="G403" s="3">
        <f t="shared" si="24"/>
        <v>-0.56105076140975096</v>
      </c>
      <c r="I403" s="2">
        <v>44232</v>
      </c>
      <c r="J403" s="3">
        <f>IFERROR(VLOOKUP(I403,$A$1:$G$1610,3,FALSE),J402)</f>
        <v>20.87</v>
      </c>
      <c r="K403" s="3">
        <f>IFERROR(VLOOKUP(I403,$A$1:$G$1610,7,FALSE),K402)</f>
        <v>0</v>
      </c>
      <c r="L403" s="5">
        <f t="shared" si="25"/>
        <v>0</v>
      </c>
    </row>
    <row r="404" spans="1:12" x14ac:dyDescent="0.25">
      <c r="A404" s="2">
        <v>44393</v>
      </c>
      <c r="B404" s="3">
        <v>18.45</v>
      </c>
      <c r="C404" s="3">
        <f t="shared" si="26"/>
        <v>18.45</v>
      </c>
      <c r="D404" s="3">
        <v>4327.16</v>
      </c>
      <c r="E404" s="3">
        <f t="shared" si="27"/>
        <v>4327.16</v>
      </c>
      <c r="F404" s="3">
        <f>MAX($E$2:E404)</f>
        <v>4384.63</v>
      </c>
      <c r="G404" s="3">
        <f t="shared" si="24"/>
        <v>-1.3107149291958557</v>
      </c>
      <c r="I404" s="2">
        <v>44233</v>
      </c>
      <c r="J404" s="3">
        <f>IFERROR(VLOOKUP(I404,$A$1:$G$1610,3,FALSE),J403)</f>
        <v>20.87</v>
      </c>
      <c r="K404" s="3">
        <f>IFERROR(VLOOKUP(I404,$A$1:$G$1610,7,FALSE),K403)</f>
        <v>0</v>
      </c>
      <c r="L404" s="5">
        <f t="shared" si="25"/>
        <v>0</v>
      </c>
    </row>
    <row r="405" spans="1:12" x14ac:dyDescent="0.25">
      <c r="A405" s="2">
        <v>44396</v>
      </c>
      <c r="B405" s="3">
        <v>22.5</v>
      </c>
      <c r="C405" s="3">
        <f t="shared" si="26"/>
        <v>22.5</v>
      </c>
      <c r="D405" s="3">
        <v>4258.49</v>
      </c>
      <c r="E405" s="3">
        <f t="shared" si="27"/>
        <v>4258.49</v>
      </c>
      <c r="F405" s="3">
        <f>MAX($E$2:E405)</f>
        <v>4384.63</v>
      </c>
      <c r="G405" s="3">
        <f t="shared" si="24"/>
        <v>-2.8768676034237854</v>
      </c>
      <c r="I405" s="2">
        <v>44234</v>
      </c>
      <c r="J405" s="3">
        <f>IFERROR(VLOOKUP(I405,$A$1:$G$1610,3,FALSE),J404)</f>
        <v>20.87</v>
      </c>
      <c r="K405" s="3">
        <f>IFERROR(VLOOKUP(I405,$A$1:$G$1610,7,FALSE),K404)</f>
        <v>0</v>
      </c>
      <c r="L405" s="5">
        <f t="shared" si="25"/>
        <v>0</v>
      </c>
    </row>
    <row r="406" spans="1:12" x14ac:dyDescent="0.25">
      <c r="A406" s="2">
        <v>44397</v>
      </c>
      <c r="B406" s="3">
        <v>19.73</v>
      </c>
      <c r="C406" s="3">
        <f t="shared" si="26"/>
        <v>19.73</v>
      </c>
      <c r="D406" s="3">
        <v>4323.0600000000004</v>
      </c>
      <c r="E406" s="3">
        <f t="shared" si="27"/>
        <v>4323.0600000000004</v>
      </c>
      <c r="F406" s="3">
        <f>MAX($E$2:E406)</f>
        <v>4384.63</v>
      </c>
      <c r="G406" s="3">
        <f t="shared" si="24"/>
        <v>-1.4042233894308005</v>
      </c>
      <c r="I406" s="2">
        <v>44235</v>
      </c>
      <c r="J406" s="3">
        <f>IFERROR(VLOOKUP(I406,$A$1:$G$1610,3,FALSE),J405)</f>
        <v>21.24</v>
      </c>
      <c r="K406" s="3">
        <f>IFERROR(VLOOKUP(I406,$A$1:$G$1610,7,FALSE),K405)</f>
        <v>0</v>
      </c>
      <c r="L406" s="5">
        <f t="shared" si="25"/>
        <v>0</v>
      </c>
    </row>
    <row r="407" spans="1:12" x14ac:dyDescent="0.25">
      <c r="A407" s="2">
        <v>44398</v>
      </c>
      <c r="B407" s="3">
        <v>17.91</v>
      </c>
      <c r="C407" s="3">
        <f t="shared" si="26"/>
        <v>17.91</v>
      </c>
      <c r="D407" s="3">
        <v>4358.6899999999996</v>
      </c>
      <c r="E407" s="3">
        <f t="shared" si="27"/>
        <v>4358.6899999999996</v>
      </c>
      <c r="F407" s="3">
        <f>MAX($E$2:E407)</f>
        <v>4384.63</v>
      </c>
      <c r="G407" s="3">
        <f t="shared" si="24"/>
        <v>-0.59161206304752068</v>
      </c>
      <c r="I407" s="2">
        <v>44236</v>
      </c>
      <c r="J407" s="3">
        <f>IFERROR(VLOOKUP(I407,$A$1:$G$1610,3,FALSE),J406)</f>
        <v>21.63</v>
      </c>
      <c r="K407" s="3">
        <f>IFERROR(VLOOKUP(I407,$A$1:$G$1610,7,FALSE),K406)</f>
        <v>-0.11134975827397985</v>
      </c>
      <c r="L407" s="5">
        <f t="shared" si="25"/>
        <v>0</v>
      </c>
    </row>
    <row r="408" spans="1:12" x14ac:dyDescent="0.25">
      <c r="A408" s="2">
        <v>44399</v>
      </c>
      <c r="B408" s="3">
        <v>17.690000000000001</v>
      </c>
      <c r="C408" s="3">
        <f t="shared" si="26"/>
        <v>17.690000000000001</v>
      </c>
      <c r="D408" s="3">
        <v>4367.4799999999996</v>
      </c>
      <c r="E408" s="3">
        <f t="shared" si="27"/>
        <v>4367.4799999999996</v>
      </c>
      <c r="F408" s="3">
        <f>MAX($E$2:E408)</f>
        <v>4384.63</v>
      </c>
      <c r="G408" s="3">
        <f t="shared" si="24"/>
        <v>-0.39113904708038183</v>
      </c>
      <c r="I408" s="2">
        <v>44237</v>
      </c>
      <c r="J408" s="3">
        <f>IFERROR(VLOOKUP(I408,$A$1:$G$1610,3,FALSE),J407)</f>
        <v>21.99</v>
      </c>
      <c r="K408" s="3">
        <f>IFERROR(VLOOKUP(I408,$A$1:$G$1610,7,FALSE),K407)</f>
        <v>-0.14582732104229595</v>
      </c>
      <c r="L408" s="5">
        <f t="shared" si="25"/>
        <v>0</v>
      </c>
    </row>
    <row r="409" spans="1:12" x14ac:dyDescent="0.25">
      <c r="A409" s="2">
        <v>44400</v>
      </c>
      <c r="B409" s="3">
        <v>17.2</v>
      </c>
      <c r="C409" s="3">
        <f t="shared" si="26"/>
        <v>17.2</v>
      </c>
      <c r="D409" s="3">
        <v>4411.79</v>
      </c>
      <c r="E409" s="3">
        <f t="shared" si="27"/>
        <v>4411.79</v>
      </c>
      <c r="F409" s="3">
        <f>MAX($E$2:E409)</f>
        <v>4411.79</v>
      </c>
      <c r="G409" s="3">
        <f t="shared" si="24"/>
        <v>0</v>
      </c>
      <c r="I409" s="2">
        <v>44238</v>
      </c>
      <c r="J409" s="3">
        <f>IFERROR(VLOOKUP(I409,$A$1:$G$1610,3,FALSE),J408)</f>
        <v>21.25</v>
      </c>
      <c r="K409" s="3">
        <f>IFERROR(VLOOKUP(I409,$A$1:$G$1610,7,FALSE),K408)</f>
        <v>0</v>
      </c>
      <c r="L409" s="5">
        <f t="shared" si="25"/>
        <v>0</v>
      </c>
    </row>
    <row r="410" spans="1:12" x14ac:dyDescent="0.25">
      <c r="A410" s="2">
        <v>44403</v>
      </c>
      <c r="B410" s="3">
        <v>17.579999999999998</v>
      </c>
      <c r="C410" s="3">
        <f t="shared" si="26"/>
        <v>17.579999999999998</v>
      </c>
      <c r="D410" s="3">
        <v>4422.3</v>
      </c>
      <c r="E410" s="3">
        <f t="shared" si="27"/>
        <v>4422.3</v>
      </c>
      <c r="F410" s="3">
        <f>MAX($E$2:E410)</f>
        <v>4422.3</v>
      </c>
      <c r="G410" s="3">
        <f t="shared" si="24"/>
        <v>0</v>
      </c>
      <c r="I410" s="2">
        <v>44239</v>
      </c>
      <c r="J410" s="3">
        <f>IFERROR(VLOOKUP(I410,$A$1:$G$1610,3,FALSE),J409)</f>
        <v>19.97</v>
      </c>
      <c r="K410" s="3">
        <f>IFERROR(VLOOKUP(I410,$A$1:$G$1610,7,FALSE),K409)</f>
        <v>0</v>
      </c>
      <c r="L410" s="5">
        <f t="shared" si="25"/>
        <v>0</v>
      </c>
    </row>
    <row r="411" spans="1:12" x14ac:dyDescent="0.25">
      <c r="A411" s="2">
        <v>44404</v>
      </c>
      <c r="B411" s="3">
        <v>19.36</v>
      </c>
      <c r="C411" s="3">
        <f t="shared" si="26"/>
        <v>19.36</v>
      </c>
      <c r="D411" s="3">
        <v>4401.46</v>
      </c>
      <c r="E411" s="3">
        <f t="shared" si="27"/>
        <v>4401.46</v>
      </c>
      <c r="F411" s="3">
        <f>MAX($E$2:E411)</f>
        <v>4422.3</v>
      </c>
      <c r="G411" s="3">
        <f t="shared" si="24"/>
        <v>-0.47124799312575227</v>
      </c>
      <c r="I411" s="2">
        <v>44240</v>
      </c>
      <c r="J411" s="3">
        <f>IFERROR(VLOOKUP(I411,$A$1:$G$1610,3,FALSE),J410)</f>
        <v>19.97</v>
      </c>
      <c r="K411" s="3">
        <f>IFERROR(VLOOKUP(I411,$A$1:$G$1610,7,FALSE),K410)</f>
        <v>0</v>
      </c>
      <c r="L411" s="5">
        <f t="shared" si="25"/>
        <v>0</v>
      </c>
    </row>
    <row r="412" spans="1:12" x14ac:dyDescent="0.25">
      <c r="A412" s="2">
        <v>44405</v>
      </c>
      <c r="B412" s="3">
        <v>18.309999999999999</v>
      </c>
      <c r="C412" s="3">
        <f t="shared" si="26"/>
        <v>18.309999999999999</v>
      </c>
      <c r="D412" s="3">
        <v>4400.6400000000003</v>
      </c>
      <c r="E412" s="3">
        <f t="shared" si="27"/>
        <v>4400.6400000000003</v>
      </c>
      <c r="F412" s="3">
        <f>MAX($E$2:E412)</f>
        <v>4422.3</v>
      </c>
      <c r="G412" s="3">
        <f t="shared" si="24"/>
        <v>-0.48979038057119262</v>
      </c>
      <c r="I412" s="2">
        <v>44241</v>
      </c>
      <c r="J412" s="3">
        <f>IFERROR(VLOOKUP(I412,$A$1:$G$1610,3,FALSE),J411)</f>
        <v>19.97</v>
      </c>
      <c r="K412" s="3">
        <f>IFERROR(VLOOKUP(I412,$A$1:$G$1610,7,FALSE),K411)</f>
        <v>0</v>
      </c>
      <c r="L412" s="5">
        <f t="shared" si="25"/>
        <v>0</v>
      </c>
    </row>
    <row r="413" spans="1:12" x14ac:dyDescent="0.25">
      <c r="A413" s="2">
        <v>44406</v>
      </c>
      <c r="B413" s="3">
        <v>17.7</v>
      </c>
      <c r="C413" s="3">
        <f t="shared" si="26"/>
        <v>17.7</v>
      </c>
      <c r="D413" s="3">
        <v>4419.1499999999996</v>
      </c>
      <c r="E413" s="3">
        <f t="shared" si="27"/>
        <v>4419.1499999999996</v>
      </c>
      <c r="F413" s="3">
        <f>MAX($E$2:E413)</f>
        <v>4422.3</v>
      </c>
      <c r="G413" s="3">
        <f t="shared" si="24"/>
        <v>-7.1229902991668259E-2</v>
      </c>
      <c r="I413" s="2">
        <v>44242</v>
      </c>
      <c r="J413" s="3">
        <f>IFERROR(VLOOKUP(I413,$A$1:$G$1610,3,FALSE),J412)</f>
        <v>19.97</v>
      </c>
      <c r="K413" s="3">
        <f>IFERROR(VLOOKUP(I413,$A$1:$G$1610,7,FALSE),K412)</f>
        <v>0</v>
      </c>
      <c r="L413" s="5">
        <f t="shared" si="25"/>
        <v>0</v>
      </c>
    </row>
    <row r="414" spans="1:12" x14ac:dyDescent="0.25">
      <c r="A414" s="2">
        <v>44407</v>
      </c>
      <c r="B414" s="3">
        <v>18.239999999999998</v>
      </c>
      <c r="C414" s="3">
        <f t="shared" si="26"/>
        <v>18.239999999999998</v>
      </c>
      <c r="D414" s="3">
        <v>4395.26</v>
      </c>
      <c r="E414" s="3">
        <f t="shared" si="27"/>
        <v>4395.26</v>
      </c>
      <c r="F414" s="3">
        <f>MAX($E$2:E414)</f>
        <v>4422.3</v>
      </c>
      <c r="G414" s="3">
        <f t="shared" si="24"/>
        <v>-0.61144653234742019</v>
      </c>
      <c r="I414" s="2">
        <v>44243</v>
      </c>
      <c r="J414" s="3">
        <f>IFERROR(VLOOKUP(I414,$A$1:$G$1610,3,FALSE),J413)</f>
        <v>21.46</v>
      </c>
      <c r="K414" s="3">
        <f>IFERROR(VLOOKUP(I414,$A$1:$G$1610,7,FALSE),K413)</f>
        <v>-5.6927491149548565E-2</v>
      </c>
      <c r="L414" s="5">
        <f t="shared" si="25"/>
        <v>0</v>
      </c>
    </row>
    <row r="415" spans="1:12" x14ac:dyDescent="0.25">
      <c r="A415" s="2">
        <v>44410</v>
      </c>
      <c r="B415" s="3">
        <v>19.46</v>
      </c>
      <c r="C415" s="3">
        <f t="shared" si="26"/>
        <v>19.46</v>
      </c>
      <c r="D415" s="3">
        <v>4387.16</v>
      </c>
      <c r="E415" s="3">
        <f t="shared" si="27"/>
        <v>4387.16</v>
      </c>
      <c r="F415" s="3">
        <f>MAX($E$2:E415)</f>
        <v>4422.3</v>
      </c>
      <c r="G415" s="3">
        <f t="shared" si="24"/>
        <v>-0.79460914004025796</v>
      </c>
      <c r="I415" s="2">
        <v>44244</v>
      </c>
      <c r="J415" s="3">
        <f>IFERROR(VLOOKUP(I415,$A$1:$G$1610,3,FALSE),J414)</f>
        <v>21.5</v>
      </c>
      <c r="K415" s="3">
        <f>IFERROR(VLOOKUP(I415,$A$1:$G$1610,7,FALSE),K414)</f>
        <v>-8.894920492117829E-2</v>
      </c>
      <c r="L415" s="5">
        <f t="shared" si="25"/>
        <v>0</v>
      </c>
    </row>
    <row r="416" spans="1:12" x14ac:dyDescent="0.25">
      <c r="A416" s="2">
        <v>44411</v>
      </c>
      <c r="B416" s="3">
        <v>18.04</v>
      </c>
      <c r="C416" s="3">
        <f t="shared" si="26"/>
        <v>18.04</v>
      </c>
      <c r="D416" s="3">
        <v>4423.1499999999996</v>
      </c>
      <c r="E416" s="3">
        <f t="shared" si="27"/>
        <v>4423.1499999999996</v>
      </c>
      <c r="F416" s="3">
        <f>MAX($E$2:E416)</f>
        <v>4423.1499999999996</v>
      </c>
      <c r="G416" s="3">
        <f t="shared" si="24"/>
        <v>0</v>
      </c>
      <c r="I416" s="2">
        <v>44245</v>
      </c>
      <c r="J416" s="3">
        <f>IFERROR(VLOOKUP(I416,$A$1:$G$1610,3,FALSE),J415)</f>
        <v>22.49</v>
      </c>
      <c r="K416" s="3">
        <f>IFERROR(VLOOKUP(I416,$A$1:$G$1610,7,FALSE),K415)</f>
        <v>-0.53013726133022587</v>
      </c>
      <c r="L416" s="5">
        <f t="shared" si="25"/>
        <v>0</v>
      </c>
    </row>
    <row r="417" spans="1:12" x14ac:dyDescent="0.25">
      <c r="A417" s="2">
        <v>44412</v>
      </c>
      <c r="B417" s="3">
        <v>17.97</v>
      </c>
      <c r="C417" s="3">
        <f t="shared" si="26"/>
        <v>17.97</v>
      </c>
      <c r="D417" s="3">
        <v>4402.66</v>
      </c>
      <c r="E417" s="3">
        <f t="shared" si="27"/>
        <v>4402.66</v>
      </c>
      <c r="F417" s="3">
        <f>MAX($E$2:E417)</f>
        <v>4423.1499999999996</v>
      </c>
      <c r="G417" s="3">
        <f t="shared" si="24"/>
        <v>-0.4632445203079204</v>
      </c>
      <c r="I417" s="2">
        <v>44246</v>
      </c>
      <c r="J417" s="3">
        <f>IFERROR(VLOOKUP(I417,$A$1:$G$1610,3,FALSE),J416)</f>
        <v>22.05</v>
      </c>
      <c r="K417" s="3">
        <f>IFERROR(VLOOKUP(I417,$A$1:$G$1610,7,FALSE),K416)</f>
        <v>-0.7146433263952926</v>
      </c>
      <c r="L417" s="5">
        <f t="shared" si="25"/>
        <v>0</v>
      </c>
    </row>
    <row r="418" spans="1:12" x14ac:dyDescent="0.25">
      <c r="A418" s="2">
        <v>44413</v>
      </c>
      <c r="B418" s="3">
        <v>17.28</v>
      </c>
      <c r="C418" s="3">
        <f t="shared" si="26"/>
        <v>17.28</v>
      </c>
      <c r="D418" s="3">
        <v>4429.1000000000004</v>
      </c>
      <c r="E418" s="3">
        <f t="shared" si="27"/>
        <v>4429.1000000000004</v>
      </c>
      <c r="F418" s="3">
        <f>MAX($E$2:E418)</f>
        <v>4429.1000000000004</v>
      </c>
      <c r="G418" s="3">
        <f t="shared" si="24"/>
        <v>0</v>
      </c>
      <c r="I418" s="2">
        <v>44247</v>
      </c>
      <c r="J418" s="3">
        <f>IFERROR(VLOOKUP(I418,$A$1:$G$1610,3,FALSE),J417)</f>
        <v>22.05</v>
      </c>
      <c r="K418" s="3">
        <f>IFERROR(VLOOKUP(I418,$A$1:$G$1610,7,FALSE),K417)</f>
        <v>-0.7146433263952926</v>
      </c>
      <c r="L418" s="5">
        <f t="shared" si="25"/>
        <v>0</v>
      </c>
    </row>
    <row r="419" spans="1:12" x14ac:dyDescent="0.25">
      <c r="A419" s="2">
        <v>44414</v>
      </c>
      <c r="B419" s="3">
        <v>16.149999999999999</v>
      </c>
      <c r="C419" s="3">
        <f t="shared" si="26"/>
        <v>16.149999999999999</v>
      </c>
      <c r="D419" s="3">
        <v>4436.5200000000004</v>
      </c>
      <c r="E419" s="3">
        <f t="shared" si="27"/>
        <v>4436.5200000000004</v>
      </c>
      <c r="F419" s="3">
        <f>MAX($E$2:E419)</f>
        <v>4436.5200000000004</v>
      </c>
      <c r="G419" s="3">
        <f t="shared" si="24"/>
        <v>0</v>
      </c>
      <c r="I419" s="2">
        <v>44248</v>
      </c>
      <c r="J419" s="3">
        <f>IFERROR(VLOOKUP(I419,$A$1:$G$1610,3,FALSE),J418)</f>
        <v>22.05</v>
      </c>
      <c r="K419" s="3">
        <f>IFERROR(VLOOKUP(I419,$A$1:$G$1610,7,FALSE),K418)</f>
        <v>-0.7146433263952926</v>
      </c>
      <c r="L419" s="5">
        <f t="shared" si="25"/>
        <v>0</v>
      </c>
    </row>
    <row r="420" spans="1:12" x14ac:dyDescent="0.25">
      <c r="A420" s="2">
        <v>44417</v>
      </c>
      <c r="B420" s="3">
        <v>16.72</v>
      </c>
      <c r="C420" s="3">
        <f t="shared" si="26"/>
        <v>16.72</v>
      </c>
      <c r="D420" s="3">
        <v>4432.3500000000004</v>
      </c>
      <c r="E420" s="3">
        <f t="shared" si="27"/>
        <v>4432.3500000000004</v>
      </c>
      <c r="F420" s="3">
        <f>MAX($E$2:E420)</f>
        <v>4436.5200000000004</v>
      </c>
      <c r="G420" s="3">
        <f t="shared" si="24"/>
        <v>-9.3992588785806727E-2</v>
      </c>
      <c r="I420" s="2">
        <v>44249</v>
      </c>
      <c r="J420" s="3">
        <f>IFERROR(VLOOKUP(I420,$A$1:$G$1610,3,FALSE),J419)</f>
        <v>23.45</v>
      </c>
      <c r="K420" s="3">
        <f>IFERROR(VLOOKUP(I420,$A$1:$G$1610,7,FALSE),K419)</f>
        <v>-1.4824020351578067</v>
      </c>
      <c r="L420" s="5">
        <f t="shared" si="25"/>
        <v>0</v>
      </c>
    </row>
    <row r="421" spans="1:12" x14ac:dyDescent="0.25">
      <c r="A421" s="2">
        <v>44418</v>
      </c>
      <c r="B421" s="3">
        <v>16.79</v>
      </c>
      <c r="C421" s="3">
        <f t="shared" si="26"/>
        <v>16.79</v>
      </c>
      <c r="D421" s="3">
        <v>4436.75</v>
      </c>
      <c r="E421" s="3">
        <f t="shared" si="27"/>
        <v>4436.75</v>
      </c>
      <c r="F421" s="3">
        <f>MAX($E$2:E421)</f>
        <v>4436.75</v>
      </c>
      <c r="G421" s="3">
        <f t="shared" si="24"/>
        <v>0</v>
      </c>
      <c r="I421" s="2">
        <v>44250</v>
      </c>
      <c r="J421" s="3">
        <f>IFERROR(VLOOKUP(I421,$A$1:$G$1610,3,FALSE),J420)</f>
        <v>23.11</v>
      </c>
      <c r="K421" s="3">
        <f>IFERROR(VLOOKUP(I421,$A$1:$G$1610,7,FALSE),K420)</f>
        <v>-1.3586355700246271</v>
      </c>
      <c r="L421" s="5">
        <f t="shared" si="25"/>
        <v>0</v>
      </c>
    </row>
    <row r="422" spans="1:12" x14ac:dyDescent="0.25">
      <c r="A422" s="2">
        <v>44419</v>
      </c>
      <c r="B422" s="3">
        <v>16.059999999999999</v>
      </c>
      <c r="C422" s="3">
        <f t="shared" si="26"/>
        <v>16.059999999999999</v>
      </c>
      <c r="D422" s="3">
        <v>4447.7</v>
      </c>
      <c r="E422" s="3">
        <f t="shared" si="27"/>
        <v>4447.7</v>
      </c>
      <c r="F422" s="3">
        <f>MAX($E$2:E422)</f>
        <v>4447.7</v>
      </c>
      <c r="G422" s="3">
        <f t="shared" si="24"/>
        <v>0</v>
      </c>
      <c r="I422" s="2">
        <v>44251</v>
      </c>
      <c r="J422" s="3">
        <f>IFERROR(VLOOKUP(I422,$A$1:$G$1610,3,FALSE),J421)</f>
        <v>21.34</v>
      </c>
      <c r="K422" s="3">
        <f>IFERROR(VLOOKUP(I422,$A$1:$G$1610,7,FALSE),K421)</f>
        <v>-0.23889215035973829</v>
      </c>
      <c r="L422" s="5">
        <f t="shared" si="25"/>
        <v>0</v>
      </c>
    </row>
    <row r="423" spans="1:12" x14ac:dyDescent="0.25">
      <c r="A423" s="2">
        <v>44420</v>
      </c>
      <c r="B423" s="3">
        <v>15.59</v>
      </c>
      <c r="C423" s="3">
        <f t="shared" si="26"/>
        <v>15.59</v>
      </c>
      <c r="D423" s="3">
        <v>4460.83</v>
      </c>
      <c r="E423" s="3">
        <f t="shared" si="27"/>
        <v>4460.83</v>
      </c>
      <c r="F423" s="3">
        <f>MAX($E$2:E423)</f>
        <v>4460.83</v>
      </c>
      <c r="G423" s="3">
        <f t="shared" si="24"/>
        <v>0</v>
      </c>
      <c r="I423" s="2">
        <v>44252</v>
      </c>
      <c r="J423" s="3">
        <f>IFERROR(VLOOKUP(I423,$A$1:$G$1610,3,FALSE),J422)</f>
        <v>28.89</v>
      </c>
      <c r="K423" s="3">
        <f>IFERROR(VLOOKUP(I423,$A$1:$G$1610,7,FALSE),K422)</f>
        <v>-2.6809290363243083</v>
      </c>
      <c r="L423" s="5">
        <f t="shared" si="25"/>
        <v>0</v>
      </c>
    </row>
    <row r="424" spans="1:12" x14ac:dyDescent="0.25">
      <c r="A424" s="2">
        <v>44421</v>
      </c>
      <c r="B424" s="3">
        <v>15.45</v>
      </c>
      <c r="C424" s="3">
        <f t="shared" si="26"/>
        <v>15.45</v>
      </c>
      <c r="D424" s="3">
        <v>4468</v>
      </c>
      <c r="E424" s="3">
        <f t="shared" si="27"/>
        <v>4468</v>
      </c>
      <c r="F424" s="3">
        <f>MAX($E$2:E424)</f>
        <v>4468</v>
      </c>
      <c r="G424" s="3">
        <f t="shared" si="24"/>
        <v>0</v>
      </c>
      <c r="I424" s="2">
        <v>44253</v>
      </c>
      <c r="J424" s="3">
        <f>IFERROR(VLOOKUP(I424,$A$1:$G$1610,3,FALSE),J423)</f>
        <v>27.95</v>
      </c>
      <c r="K424" s="3">
        <f>IFERROR(VLOOKUP(I424,$A$1:$G$1610,7,FALSE),K423)</f>
        <v>-3.1432107613289477</v>
      </c>
      <c r="L424" s="5">
        <f t="shared" si="25"/>
        <v>0</v>
      </c>
    </row>
    <row r="425" spans="1:12" x14ac:dyDescent="0.25">
      <c r="A425" s="2">
        <v>44424</v>
      </c>
      <c r="B425" s="3">
        <v>16.12</v>
      </c>
      <c r="C425" s="3">
        <f t="shared" si="26"/>
        <v>16.12</v>
      </c>
      <c r="D425" s="3">
        <v>4479.71</v>
      </c>
      <c r="E425" s="3">
        <f t="shared" si="27"/>
        <v>4479.71</v>
      </c>
      <c r="F425" s="3">
        <f>MAX($E$2:E425)</f>
        <v>4479.71</v>
      </c>
      <c r="G425" s="3">
        <f t="shared" si="24"/>
        <v>0</v>
      </c>
      <c r="I425" s="2">
        <v>44254</v>
      </c>
      <c r="J425" s="3">
        <f>IFERROR(VLOOKUP(I425,$A$1:$G$1610,3,FALSE),J424)</f>
        <v>27.95</v>
      </c>
      <c r="K425" s="3">
        <f>IFERROR(VLOOKUP(I425,$A$1:$G$1610,7,FALSE),K424)</f>
        <v>-3.1432107613289477</v>
      </c>
      <c r="L425" s="5">
        <f t="shared" si="25"/>
        <v>0</v>
      </c>
    </row>
    <row r="426" spans="1:12" x14ac:dyDescent="0.25">
      <c r="A426" s="2">
        <v>44425</v>
      </c>
      <c r="B426" s="3">
        <v>17.91</v>
      </c>
      <c r="C426" s="3">
        <f t="shared" si="26"/>
        <v>17.91</v>
      </c>
      <c r="D426" s="3">
        <v>4448.08</v>
      </c>
      <c r="E426" s="3">
        <f t="shared" si="27"/>
        <v>4448.08</v>
      </c>
      <c r="F426" s="3">
        <f>MAX($E$2:E426)</f>
        <v>4479.71</v>
      </c>
      <c r="G426" s="3">
        <f t="shared" si="24"/>
        <v>-0.70607249129966243</v>
      </c>
      <c r="I426" s="2">
        <v>44255</v>
      </c>
      <c r="J426" s="3">
        <f>IFERROR(VLOOKUP(I426,$A$1:$G$1610,3,FALSE),J425)</f>
        <v>27.95</v>
      </c>
      <c r="K426" s="3">
        <f>IFERROR(VLOOKUP(I426,$A$1:$G$1610,7,FALSE),K425)</f>
        <v>-3.1432107613289477</v>
      </c>
      <c r="L426" s="5">
        <f t="shared" si="25"/>
        <v>0</v>
      </c>
    </row>
    <row r="427" spans="1:12" x14ac:dyDescent="0.25">
      <c r="A427" s="2">
        <v>44426</v>
      </c>
      <c r="B427" s="3">
        <v>21.57</v>
      </c>
      <c r="C427" s="3">
        <f t="shared" si="26"/>
        <v>21.57</v>
      </c>
      <c r="D427" s="3">
        <v>4400.2700000000004</v>
      </c>
      <c r="E427" s="3">
        <f t="shared" si="27"/>
        <v>4400.2700000000004</v>
      </c>
      <c r="F427" s="3">
        <f>MAX($E$2:E427)</f>
        <v>4479.71</v>
      </c>
      <c r="G427" s="3">
        <f t="shared" si="24"/>
        <v>-1.7733290771054284</v>
      </c>
      <c r="I427" s="2">
        <v>44256</v>
      </c>
      <c r="J427" s="3">
        <f>IFERROR(VLOOKUP(I427,$A$1:$G$1610,3,FALSE),J426)</f>
        <v>23.35</v>
      </c>
      <c r="K427" s="3">
        <f>IFERROR(VLOOKUP(I427,$A$1:$G$1610,7,FALSE),K426)</f>
        <v>-0.83891807269944985</v>
      </c>
      <c r="L427" s="5">
        <f t="shared" si="25"/>
        <v>0</v>
      </c>
    </row>
    <row r="428" spans="1:12" x14ac:dyDescent="0.25">
      <c r="A428" s="2">
        <v>44427</v>
      </c>
      <c r="B428" s="3">
        <v>21.67</v>
      </c>
      <c r="C428" s="3">
        <f t="shared" si="26"/>
        <v>21.67</v>
      </c>
      <c r="D428" s="3">
        <v>4405.8</v>
      </c>
      <c r="E428" s="3">
        <f t="shared" si="27"/>
        <v>4405.8</v>
      </c>
      <c r="F428" s="3">
        <f>MAX($E$2:E428)</f>
        <v>4479.71</v>
      </c>
      <c r="G428" s="3">
        <f t="shared" si="24"/>
        <v>-1.6498835862142829</v>
      </c>
      <c r="I428" s="2">
        <v>44257</v>
      </c>
      <c r="J428" s="3">
        <f>IFERROR(VLOOKUP(I428,$A$1:$G$1610,3,FALSE),J427)</f>
        <v>24.1</v>
      </c>
      <c r="K428" s="3">
        <f>IFERROR(VLOOKUP(I428,$A$1:$G$1610,7,FALSE),K427)</f>
        <v>-1.640223338746527</v>
      </c>
      <c r="L428" s="5">
        <f t="shared" si="25"/>
        <v>0</v>
      </c>
    </row>
    <row r="429" spans="1:12" x14ac:dyDescent="0.25">
      <c r="A429" s="2">
        <v>44428</v>
      </c>
      <c r="B429" s="3">
        <v>18.559999999999999</v>
      </c>
      <c r="C429" s="3">
        <f t="shared" si="26"/>
        <v>18.559999999999999</v>
      </c>
      <c r="D429" s="3">
        <v>4441.67</v>
      </c>
      <c r="E429" s="3">
        <f t="shared" si="27"/>
        <v>4441.67</v>
      </c>
      <c r="F429" s="3">
        <f>MAX($E$2:E429)</f>
        <v>4479.71</v>
      </c>
      <c r="G429" s="3">
        <f t="shared" si="24"/>
        <v>-0.84916211094021621</v>
      </c>
      <c r="I429" s="2">
        <v>44258</v>
      </c>
      <c r="J429" s="3">
        <f>IFERROR(VLOOKUP(I429,$A$1:$G$1610,3,FALSE),J428)</f>
        <v>26.67</v>
      </c>
      <c r="K429" s="3">
        <f>IFERROR(VLOOKUP(I429,$A$1:$G$1610,7,FALSE),K428)</f>
        <v>-2.9254122795648132</v>
      </c>
      <c r="L429" s="5">
        <f t="shared" si="25"/>
        <v>0</v>
      </c>
    </row>
    <row r="430" spans="1:12" x14ac:dyDescent="0.25">
      <c r="A430" s="2">
        <v>44431</v>
      </c>
      <c r="B430" s="3">
        <v>17.149999999999999</v>
      </c>
      <c r="C430" s="3">
        <f t="shared" si="26"/>
        <v>17.149999999999999</v>
      </c>
      <c r="D430" s="3">
        <v>4479.53</v>
      </c>
      <c r="E430" s="3">
        <f t="shared" si="27"/>
        <v>4479.53</v>
      </c>
      <c r="F430" s="3">
        <f>MAX($E$2:E430)</f>
        <v>4479.71</v>
      </c>
      <c r="G430" s="3">
        <f t="shared" si="24"/>
        <v>-4.0181172442031081E-3</v>
      </c>
      <c r="I430" s="2">
        <v>44259</v>
      </c>
      <c r="J430" s="3">
        <f>IFERROR(VLOOKUP(I430,$A$1:$G$1610,3,FALSE),J429)</f>
        <v>28.57</v>
      </c>
      <c r="K430" s="3">
        <f>IFERROR(VLOOKUP(I430,$A$1:$G$1610,7,FALSE),K429)</f>
        <v>-4.2278827801963521</v>
      </c>
      <c r="L430" s="5">
        <f t="shared" si="25"/>
        <v>0</v>
      </c>
    </row>
    <row r="431" spans="1:12" x14ac:dyDescent="0.25">
      <c r="A431" s="2">
        <v>44432</v>
      </c>
      <c r="B431" s="3">
        <v>17.22</v>
      </c>
      <c r="C431" s="3">
        <f t="shared" si="26"/>
        <v>17.22</v>
      </c>
      <c r="D431" s="3">
        <v>4486.2299999999996</v>
      </c>
      <c r="E431" s="3">
        <f t="shared" si="27"/>
        <v>4486.2299999999996</v>
      </c>
      <c r="F431" s="3">
        <f>MAX($E$2:E431)</f>
        <v>4486.2299999999996</v>
      </c>
      <c r="G431" s="3">
        <f t="shared" si="24"/>
        <v>0</v>
      </c>
      <c r="I431" s="2">
        <v>44260</v>
      </c>
      <c r="J431" s="3">
        <f>IFERROR(VLOOKUP(I431,$A$1:$G$1610,3,FALSE),J430)</f>
        <v>24.66</v>
      </c>
      <c r="K431" s="3">
        <f>IFERROR(VLOOKUP(I431,$A$1:$G$1610,7,FALSE),K430)</f>
        <v>-2.3607118986080691</v>
      </c>
      <c r="L431" s="5">
        <f t="shared" si="25"/>
        <v>0</v>
      </c>
    </row>
    <row r="432" spans="1:12" x14ac:dyDescent="0.25">
      <c r="A432" s="2">
        <v>44433</v>
      </c>
      <c r="B432" s="3">
        <v>16.79</v>
      </c>
      <c r="C432" s="3">
        <f t="shared" si="26"/>
        <v>16.79</v>
      </c>
      <c r="D432" s="3">
        <v>4496.1899999999996</v>
      </c>
      <c r="E432" s="3">
        <f t="shared" si="27"/>
        <v>4496.1899999999996</v>
      </c>
      <c r="F432" s="3">
        <f>MAX($E$2:E432)</f>
        <v>4496.1899999999996</v>
      </c>
      <c r="G432" s="3">
        <f t="shared" si="24"/>
        <v>0</v>
      </c>
      <c r="I432" s="2">
        <v>44261</v>
      </c>
      <c r="J432" s="3">
        <f>IFERROR(VLOOKUP(I432,$A$1:$G$1610,3,FALSE),J431)</f>
        <v>24.66</v>
      </c>
      <c r="K432" s="3">
        <f>IFERROR(VLOOKUP(I432,$A$1:$G$1610,7,FALSE),K431)</f>
        <v>-2.3607118986080691</v>
      </c>
      <c r="L432" s="5">
        <f t="shared" si="25"/>
        <v>0</v>
      </c>
    </row>
    <row r="433" spans="1:12" x14ac:dyDescent="0.25">
      <c r="A433" s="2">
        <v>44434</v>
      </c>
      <c r="B433" s="3">
        <v>18.84</v>
      </c>
      <c r="C433" s="3">
        <f t="shared" si="26"/>
        <v>18.84</v>
      </c>
      <c r="D433" s="3">
        <v>4470</v>
      </c>
      <c r="E433" s="3">
        <f t="shared" si="27"/>
        <v>4470</v>
      </c>
      <c r="F433" s="3">
        <f>MAX($E$2:E433)</f>
        <v>4496.1899999999996</v>
      </c>
      <c r="G433" s="3">
        <f t="shared" si="24"/>
        <v>-0.58249317755698937</v>
      </c>
      <c r="I433" s="2">
        <v>44262</v>
      </c>
      <c r="J433" s="3">
        <f>IFERROR(VLOOKUP(I433,$A$1:$G$1610,3,FALSE),J432)</f>
        <v>24.66</v>
      </c>
      <c r="K433" s="3">
        <f>IFERROR(VLOOKUP(I433,$A$1:$G$1610,7,FALSE),K432)</f>
        <v>-2.3607118986080691</v>
      </c>
      <c r="L433" s="5">
        <f t="shared" si="25"/>
        <v>0</v>
      </c>
    </row>
    <row r="434" spans="1:12" x14ac:dyDescent="0.25">
      <c r="A434" s="2">
        <v>44435</v>
      </c>
      <c r="B434" s="3">
        <v>16.39</v>
      </c>
      <c r="C434" s="3">
        <f t="shared" si="26"/>
        <v>16.39</v>
      </c>
      <c r="D434" s="3">
        <v>4509.37</v>
      </c>
      <c r="E434" s="3">
        <f t="shared" si="27"/>
        <v>4509.37</v>
      </c>
      <c r="F434" s="3">
        <f>MAX($E$2:E434)</f>
        <v>4509.37</v>
      </c>
      <c r="G434" s="3">
        <f t="shared" si="24"/>
        <v>0</v>
      </c>
      <c r="I434" s="2">
        <v>44263</v>
      </c>
      <c r="J434" s="3">
        <f>IFERROR(VLOOKUP(I434,$A$1:$G$1610,3,FALSE),J433)</f>
        <v>25.47</v>
      </c>
      <c r="K434" s="3">
        <f>IFERROR(VLOOKUP(I434,$A$1:$G$1610,7,FALSE),K433)</f>
        <v>-2.8839873641300899</v>
      </c>
      <c r="L434" s="5">
        <f t="shared" si="25"/>
        <v>0</v>
      </c>
    </row>
    <row r="435" spans="1:12" x14ac:dyDescent="0.25">
      <c r="A435" s="2">
        <v>44438</v>
      </c>
      <c r="B435" s="3">
        <v>16.190000000000001</v>
      </c>
      <c r="C435" s="3">
        <f t="shared" si="26"/>
        <v>16.190000000000001</v>
      </c>
      <c r="D435" s="3">
        <v>4528.79</v>
      </c>
      <c r="E435" s="3">
        <f t="shared" si="27"/>
        <v>4528.79</v>
      </c>
      <c r="F435" s="3">
        <f>MAX($E$2:E435)</f>
        <v>4528.79</v>
      </c>
      <c r="G435" s="3">
        <f t="shared" si="24"/>
        <v>0</v>
      </c>
      <c r="I435" s="2">
        <v>44264</v>
      </c>
      <c r="J435" s="3">
        <f>IFERROR(VLOOKUP(I435,$A$1:$G$1610,3,FALSE),J434)</f>
        <v>24.03</v>
      </c>
      <c r="K435" s="3">
        <f>IFERROR(VLOOKUP(I435,$A$1:$G$1610,7,FALSE),K434)</f>
        <v>-1.5093409372196478</v>
      </c>
      <c r="L435" s="5">
        <f t="shared" si="25"/>
        <v>0</v>
      </c>
    </row>
    <row r="436" spans="1:12" x14ac:dyDescent="0.25">
      <c r="A436" s="2">
        <v>44439</v>
      </c>
      <c r="B436" s="3">
        <v>16.48</v>
      </c>
      <c r="C436" s="3">
        <f t="shared" si="26"/>
        <v>16.48</v>
      </c>
      <c r="D436" s="3">
        <v>4522.68</v>
      </c>
      <c r="E436" s="3">
        <f t="shared" si="27"/>
        <v>4522.68</v>
      </c>
      <c r="F436" s="3">
        <f>MAX($E$2:E436)</f>
        <v>4528.79</v>
      </c>
      <c r="G436" s="3">
        <f t="shared" si="24"/>
        <v>-0.13491462399448137</v>
      </c>
      <c r="I436" s="2">
        <v>44265</v>
      </c>
      <c r="J436" s="3">
        <f>IFERROR(VLOOKUP(I436,$A$1:$G$1610,3,FALSE),J435)</f>
        <v>22.56</v>
      </c>
      <c r="K436" s="3">
        <f>IFERROR(VLOOKUP(I436,$A$1:$G$1610,7,FALSE),K435)</f>
        <v>-0.91541438893166882</v>
      </c>
      <c r="L436" s="5">
        <f t="shared" si="25"/>
        <v>0</v>
      </c>
    </row>
    <row r="437" spans="1:12" x14ac:dyDescent="0.25">
      <c r="A437" s="2">
        <v>44440</v>
      </c>
      <c r="B437" s="3">
        <v>16.11</v>
      </c>
      <c r="C437" s="3">
        <f t="shared" si="26"/>
        <v>16.11</v>
      </c>
      <c r="D437" s="3">
        <v>4524.09</v>
      </c>
      <c r="E437" s="3">
        <f t="shared" si="27"/>
        <v>4524.09</v>
      </c>
      <c r="F437" s="3">
        <f>MAX($E$2:E437)</f>
        <v>4528.79</v>
      </c>
      <c r="G437" s="3">
        <f t="shared" si="24"/>
        <v>-0.10378047999575644</v>
      </c>
      <c r="I437" s="2">
        <v>44266</v>
      </c>
      <c r="J437" s="3">
        <f>IFERROR(VLOOKUP(I437,$A$1:$G$1610,3,FALSE),J436)</f>
        <v>21.91</v>
      </c>
      <c r="K437" s="3">
        <f>IFERROR(VLOOKUP(I437,$A$1:$G$1610,7,FALSE),K436)</f>
        <v>0</v>
      </c>
      <c r="L437" s="5">
        <f t="shared" si="25"/>
        <v>0</v>
      </c>
    </row>
    <row r="438" spans="1:12" x14ac:dyDescent="0.25">
      <c r="A438" s="2">
        <v>44441</v>
      </c>
      <c r="B438" s="3">
        <v>16.41</v>
      </c>
      <c r="C438" s="3">
        <f t="shared" si="26"/>
        <v>16.41</v>
      </c>
      <c r="D438" s="3">
        <v>4536.95</v>
      </c>
      <c r="E438" s="3">
        <f t="shared" si="27"/>
        <v>4536.95</v>
      </c>
      <c r="F438" s="3">
        <f>MAX($E$2:E438)</f>
        <v>4536.95</v>
      </c>
      <c r="G438" s="3">
        <f t="shared" si="24"/>
        <v>0</v>
      </c>
      <c r="I438" s="2">
        <v>44267</v>
      </c>
      <c r="J438" s="3">
        <f>IFERROR(VLOOKUP(I438,$A$1:$G$1610,3,FALSE),J437)</f>
        <v>20.69</v>
      </c>
      <c r="K438" s="3">
        <f>IFERROR(VLOOKUP(I438,$A$1:$G$1610,7,FALSE),K437)</f>
        <v>0</v>
      </c>
      <c r="L438" s="5">
        <f t="shared" si="25"/>
        <v>0</v>
      </c>
    </row>
    <row r="439" spans="1:12" x14ac:dyDescent="0.25">
      <c r="A439" s="2">
        <v>44442</v>
      </c>
      <c r="B439" s="3">
        <v>16.41</v>
      </c>
      <c r="C439" s="3">
        <f t="shared" si="26"/>
        <v>16.41</v>
      </c>
      <c r="D439" s="3">
        <v>4535.43</v>
      </c>
      <c r="E439" s="3">
        <f t="shared" si="27"/>
        <v>4535.43</v>
      </c>
      <c r="F439" s="3">
        <f>MAX($E$2:E439)</f>
        <v>4536.95</v>
      </c>
      <c r="G439" s="3">
        <f t="shared" si="24"/>
        <v>-3.350268352085712E-2</v>
      </c>
      <c r="I439" s="2">
        <v>44268</v>
      </c>
      <c r="J439" s="3">
        <f>IFERROR(VLOOKUP(I439,$A$1:$G$1610,3,FALSE),J438)</f>
        <v>20.69</v>
      </c>
      <c r="K439" s="3">
        <f>IFERROR(VLOOKUP(I439,$A$1:$G$1610,7,FALSE),K438)</f>
        <v>0</v>
      </c>
      <c r="L439" s="5">
        <f t="shared" si="25"/>
        <v>0</v>
      </c>
    </row>
    <row r="440" spans="1:12" x14ac:dyDescent="0.25">
      <c r="A440" s="2">
        <v>44445</v>
      </c>
      <c r="C440" s="3">
        <f t="shared" si="26"/>
        <v>16.41</v>
      </c>
      <c r="E440" s="3">
        <f t="shared" si="27"/>
        <v>4535.43</v>
      </c>
      <c r="F440" s="3">
        <f>MAX($E$2:E440)</f>
        <v>4536.95</v>
      </c>
      <c r="G440" s="3">
        <f t="shared" si="24"/>
        <v>-3.350268352085712E-2</v>
      </c>
      <c r="I440" s="2">
        <v>44269</v>
      </c>
      <c r="J440" s="3">
        <f>IFERROR(VLOOKUP(I440,$A$1:$G$1610,3,FALSE),J439)</f>
        <v>20.69</v>
      </c>
      <c r="K440" s="3">
        <f>IFERROR(VLOOKUP(I440,$A$1:$G$1610,7,FALSE),K439)</f>
        <v>0</v>
      </c>
      <c r="L440" s="5">
        <f t="shared" si="25"/>
        <v>0</v>
      </c>
    </row>
    <row r="441" spans="1:12" x14ac:dyDescent="0.25">
      <c r="A441" s="2">
        <v>44446</v>
      </c>
      <c r="B441" s="3">
        <v>18.14</v>
      </c>
      <c r="C441" s="3">
        <f t="shared" si="26"/>
        <v>18.14</v>
      </c>
      <c r="D441" s="3">
        <v>4520.03</v>
      </c>
      <c r="E441" s="3">
        <f t="shared" si="27"/>
        <v>4520.03</v>
      </c>
      <c r="F441" s="3">
        <f>MAX($E$2:E441)</f>
        <v>4536.95</v>
      </c>
      <c r="G441" s="3">
        <f t="shared" si="24"/>
        <v>-0.37293776656123767</v>
      </c>
      <c r="I441" s="2">
        <v>44270</v>
      </c>
      <c r="J441" s="3">
        <f>IFERROR(VLOOKUP(I441,$A$1:$G$1610,3,FALSE),J440)</f>
        <v>20.03</v>
      </c>
      <c r="K441" s="3">
        <f>IFERROR(VLOOKUP(I441,$A$1:$G$1610,7,FALSE),K440)</f>
        <v>0</v>
      </c>
      <c r="L441" s="5">
        <f t="shared" si="25"/>
        <v>0</v>
      </c>
    </row>
    <row r="442" spans="1:12" x14ac:dyDescent="0.25">
      <c r="A442" s="2">
        <v>44447</v>
      </c>
      <c r="B442" s="3">
        <v>17.96</v>
      </c>
      <c r="C442" s="3">
        <f t="shared" si="26"/>
        <v>17.96</v>
      </c>
      <c r="D442" s="3">
        <v>4514.07</v>
      </c>
      <c r="E442" s="3">
        <f t="shared" si="27"/>
        <v>4514.07</v>
      </c>
      <c r="F442" s="3">
        <f>MAX($E$2:E442)</f>
        <v>4536.95</v>
      </c>
      <c r="G442" s="3">
        <f t="shared" si="24"/>
        <v>-0.50430355194569287</v>
      </c>
      <c r="I442" s="2">
        <v>44271</v>
      </c>
      <c r="J442" s="3">
        <f>IFERROR(VLOOKUP(I442,$A$1:$G$1610,3,FALSE),J441)</f>
        <v>19.79</v>
      </c>
      <c r="K442" s="3">
        <f>IFERROR(VLOOKUP(I442,$A$1:$G$1610,7,FALSE),K441)</f>
        <v>-0.15696886322292647</v>
      </c>
      <c r="L442" s="5">
        <f t="shared" si="25"/>
        <v>0</v>
      </c>
    </row>
    <row r="443" spans="1:12" x14ac:dyDescent="0.25">
      <c r="A443" s="2">
        <v>44448</v>
      </c>
      <c r="B443" s="3">
        <v>18.8</v>
      </c>
      <c r="C443" s="3">
        <f t="shared" si="26"/>
        <v>18.8</v>
      </c>
      <c r="D443" s="3">
        <v>4493.28</v>
      </c>
      <c r="E443" s="3">
        <f t="shared" si="27"/>
        <v>4493.28</v>
      </c>
      <c r="F443" s="3">
        <f>MAX($E$2:E443)</f>
        <v>4536.95</v>
      </c>
      <c r="G443" s="3">
        <f t="shared" si="24"/>
        <v>-0.9625409140501896</v>
      </c>
      <c r="I443" s="2">
        <v>44272</v>
      </c>
      <c r="J443" s="3">
        <f>IFERROR(VLOOKUP(I443,$A$1:$G$1610,3,FALSE),J442)</f>
        <v>19.23</v>
      </c>
      <c r="K443" s="3">
        <f>IFERROR(VLOOKUP(I443,$A$1:$G$1610,7,FALSE),K442)</f>
        <v>0</v>
      </c>
      <c r="L443" s="5">
        <f t="shared" si="25"/>
        <v>0</v>
      </c>
    </row>
    <row r="444" spans="1:12" x14ac:dyDescent="0.25">
      <c r="A444" s="2">
        <v>44449</v>
      </c>
      <c r="B444" s="3">
        <v>20.95</v>
      </c>
      <c r="C444" s="3">
        <f t="shared" si="26"/>
        <v>20.95</v>
      </c>
      <c r="D444" s="3">
        <v>4458.58</v>
      </c>
      <c r="E444" s="3">
        <f t="shared" si="27"/>
        <v>4458.58</v>
      </c>
      <c r="F444" s="3">
        <f>MAX($E$2:E444)</f>
        <v>4536.95</v>
      </c>
      <c r="G444" s="3">
        <f t="shared" si="24"/>
        <v>-1.727371912848938</v>
      </c>
      <c r="I444" s="2">
        <v>44273</v>
      </c>
      <c r="J444" s="3">
        <f>IFERROR(VLOOKUP(I444,$A$1:$G$1610,3,FALSE),J443)</f>
        <v>21.58</v>
      </c>
      <c r="K444" s="3">
        <f>IFERROR(VLOOKUP(I444,$A$1:$G$1610,7,FALSE),K443)</f>
        <v>-1.4760500437832742</v>
      </c>
      <c r="L444" s="5">
        <f t="shared" si="25"/>
        <v>0</v>
      </c>
    </row>
    <row r="445" spans="1:12" x14ac:dyDescent="0.25">
      <c r="A445" s="2">
        <v>44452</v>
      </c>
      <c r="B445" s="3">
        <v>19.37</v>
      </c>
      <c r="C445" s="3">
        <f t="shared" si="26"/>
        <v>19.37</v>
      </c>
      <c r="D445" s="3">
        <v>4468.7299999999996</v>
      </c>
      <c r="E445" s="3">
        <f t="shared" si="27"/>
        <v>4468.7299999999996</v>
      </c>
      <c r="F445" s="3">
        <f>MAX($E$2:E445)</f>
        <v>4536.95</v>
      </c>
      <c r="G445" s="3">
        <f t="shared" si="24"/>
        <v>-1.5036533353905213</v>
      </c>
      <c r="I445" s="2">
        <v>44274</v>
      </c>
      <c r="J445" s="3">
        <f>IFERROR(VLOOKUP(I445,$A$1:$G$1610,3,FALSE),J444)</f>
        <v>20.95</v>
      </c>
      <c r="K445" s="3">
        <f>IFERROR(VLOOKUP(I445,$A$1:$G$1610,7,FALSE),K444)</f>
        <v>-1.5354342596599999</v>
      </c>
      <c r="L445" s="5">
        <f t="shared" si="25"/>
        <v>0</v>
      </c>
    </row>
    <row r="446" spans="1:12" x14ac:dyDescent="0.25">
      <c r="A446" s="2">
        <v>44453</v>
      </c>
      <c r="B446" s="3">
        <v>19.46</v>
      </c>
      <c r="C446" s="3">
        <f t="shared" si="26"/>
        <v>19.46</v>
      </c>
      <c r="D446" s="3">
        <v>4443.05</v>
      </c>
      <c r="E446" s="3">
        <f t="shared" si="27"/>
        <v>4443.05</v>
      </c>
      <c r="F446" s="3">
        <f>MAX($E$2:E446)</f>
        <v>4536.95</v>
      </c>
      <c r="G446" s="3">
        <f t="shared" si="24"/>
        <v>-2.0696723569799014</v>
      </c>
      <c r="I446" s="2">
        <v>44275</v>
      </c>
      <c r="J446" s="3">
        <f>IFERROR(VLOOKUP(I446,$A$1:$G$1610,3,FALSE),J445)</f>
        <v>20.95</v>
      </c>
      <c r="K446" s="3">
        <f>IFERROR(VLOOKUP(I446,$A$1:$G$1610,7,FALSE),K445)</f>
        <v>-1.5354342596599999</v>
      </c>
      <c r="L446" s="5">
        <f t="shared" si="25"/>
        <v>0</v>
      </c>
    </row>
    <row r="447" spans="1:12" x14ac:dyDescent="0.25">
      <c r="A447" s="2">
        <v>44454</v>
      </c>
      <c r="B447" s="3">
        <v>18.18</v>
      </c>
      <c r="C447" s="3">
        <f t="shared" si="26"/>
        <v>18.18</v>
      </c>
      <c r="D447" s="3">
        <v>4480.7</v>
      </c>
      <c r="E447" s="3">
        <f t="shared" si="27"/>
        <v>4480.7</v>
      </c>
      <c r="F447" s="3">
        <f>MAX($E$2:E447)</f>
        <v>4536.95</v>
      </c>
      <c r="G447" s="3">
        <f t="shared" si="24"/>
        <v>-1.2398197026636839</v>
      </c>
      <c r="I447" s="2">
        <v>44276</v>
      </c>
      <c r="J447" s="3">
        <f>IFERROR(VLOOKUP(I447,$A$1:$G$1610,3,FALSE),J446)</f>
        <v>20.95</v>
      </c>
      <c r="K447" s="3">
        <f>IFERROR(VLOOKUP(I447,$A$1:$G$1610,7,FALSE),K446)</f>
        <v>-1.5354342596599999</v>
      </c>
      <c r="L447" s="5">
        <f t="shared" si="25"/>
        <v>0</v>
      </c>
    </row>
    <row r="448" spans="1:12" x14ac:dyDescent="0.25">
      <c r="A448" s="2">
        <v>44455</v>
      </c>
      <c r="B448" s="3">
        <v>18.690000000000001</v>
      </c>
      <c r="C448" s="3">
        <f t="shared" si="26"/>
        <v>18.690000000000001</v>
      </c>
      <c r="D448" s="3">
        <v>4473.75</v>
      </c>
      <c r="E448" s="3">
        <f t="shared" si="27"/>
        <v>4473.75</v>
      </c>
      <c r="F448" s="3">
        <f>MAX($E$2:E448)</f>
        <v>4536.95</v>
      </c>
      <c r="G448" s="3">
        <f t="shared" si="24"/>
        <v>-1.3930063148150149</v>
      </c>
      <c r="I448" s="2">
        <v>44277</v>
      </c>
      <c r="J448" s="3">
        <f>IFERROR(VLOOKUP(I448,$A$1:$G$1610,3,FALSE),J447)</f>
        <v>18.88</v>
      </c>
      <c r="K448" s="3">
        <f>IFERROR(VLOOKUP(I448,$A$1:$G$1610,7,FALSE),K447)</f>
        <v>-0.8437087959095283</v>
      </c>
      <c r="L448" s="5">
        <f t="shared" si="25"/>
        <v>0</v>
      </c>
    </row>
    <row r="449" spans="1:12" x14ac:dyDescent="0.25">
      <c r="A449" s="2">
        <v>44456</v>
      </c>
      <c r="B449" s="3">
        <v>20.81</v>
      </c>
      <c r="C449" s="3">
        <f t="shared" si="26"/>
        <v>20.81</v>
      </c>
      <c r="D449" s="3">
        <v>4432.99</v>
      </c>
      <c r="E449" s="3">
        <f t="shared" si="27"/>
        <v>4432.99</v>
      </c>
      <c r="F449" s="3">
        <f>MAX($E$2:E449)</f>
        <v>4536.95</v>
      </c>
      <c r="G449" s="3">
        <f t="shared" si="24"/>
        <v>-2.2914072229140729</v>
      </c>
      <c r="I449" s="2">
        <v>44278</v>
      </c>
      <c r="J449" s="3">
        <f>IFERROR(VLOOKUP(I449,$A$1:$G$1610,3,FALSE),J448)</f>
        <v>20.3</v>
      </c>
      <c r="K449" s="3">
        <f>IFERROR(VLOOKUP(I449,$A$1:$G$1610,7,FALSE),K448)</f>
        <v>-1.600354292270991</v>
      </c>
      <c r="L449" s="5">
        <f t="shared" si="25"/>
        <v>0</v>
      </c>
    </row>
    <row r="450" spans="1:12" x14ac:dyDescent="0.25">
      <c r="A450" s="2">
        <v>44459</v>
      </c>
      <c r="B450" s="3">
        <v>25.71</v>
      </c>
      <c r="C450" s="3">
        <f t="shared" si="26"/>
        <v>25.71</v>
      </c>
      <c r="D450" s="3">
        <v>4357.7299999999996</v>
      </c>
      <c r="E450" s="3">
        <f t="shared" si="27"/>
        <v>4357.7299999999996</v>
      </c>
      <c r="F450" s="3">
        <f>MAX($E$2:E450)</f>
        <v>4536.95</v>
      </c>
      <c r="G450" s="3">
        <f t="shared" ref="G450:G513" si="28">(E450-F450)/F450*100</f>
        <v>-3.9502308819801906</v>
      </c>
      <c r="I450" s="2">
        <v>44279</v>
      </c>
      <c r="J450" s="3">
        <f>IFERROR(VLOOKUP(I450,$A$1:$G$1610,3,FALSE),J449)</f>
        <v>21.2</v>
      </c>
      <c r="K450" s="3">
        <f>IFERROR(VLOOKUP(I450,$A$1:$G$1610,7,FALSE),K449)</f>
        <v>-2.1383350276287585</v>
      </c>
      <c r="L450" s="5">
        <f t="shared" ref="L450:L513" si="29">IF(OR(J450&gt;=30,K450&lt;-10),1,0)</f>
        <v>0</v>
      </c>
    </row>
    <row r="451" spans="1:12" x14ac:dyDescent="0.25">
      <c r="A451" s="2">
        <v>44460</v>
      </c>
      <c r="B451" s="3">
        <v>24.36</v>
      </c>
      <c r="C451" s="3">
        <f t="shared" ref="C451:C514" si="30">IF(B451="",B450,B451)</f>
        <v>24.36</v>
      </c>
      <c r="D451" s="3">
        <v>4354.1899999999996</v>
      </c>
      <c r="E451" s="3">
        <f t="shared" si="27"/>
        <v>4354.1899999999996</v>
      </c>
      <c r="F451" s="3">
        <f>MAX($E$2:E451)</f>
        <v>4536.95</v>
      </c>
      <c r="G451" s="3">
        <f t="shared" si="28"/>
        <v>-4.0282568686011579</v>
      </c>
      <c r="I451" s="2">
        <v>44280</v>
      </c>
      <c r="J451" s="3">
        <f>IFERROR(VLOOKUP(I451,$A$1:$G$1610,3,FALSE),J450)</f>
        <v>19.809999999999999</v>
      </c>
      <c r="K451" s="3">
        <f>IFERROR(VLOOKUP(I451,$A$1:$G$1610,7,FALSE),K450)</f>
        <v>-1.6255170956085851</v>
      </c>
      <c r="L451" s="5">
        <f t="shared" si="29"/>
        <v>0</v>
      </c>
    </row>
    <row r="452" spans="1:12" x14ac:dyDescent="0.25">
      <c r="A452" s="2">
        <v>44461</v>
      </c>
      <c r="B452" s="3">
        <v>20.87</v>
      </c>
      <c r="C452" s="3">
        <f t="shared" si="30"/>
        <v>20.87</v>
      </c>
      <c r="D452" s="3">
        <v>4395.6400000000003</v>
      </c>
      <c r="E452" s="3">
        <f t="shared" si="27"/>
        <v>4395.6400000000003</v>
      </c>
      <c r="F452" s="3">
        <f>MAX($E$2:E452)</f>
        <v>4536.95</v>
      </c>
      <c r="G452" s="3">
        <f t="shared" si="28"/>
        <v>-3.1146475054827474</v>
      </c>
      <c r="I452" s="2">
        <v>44281</v>
      </c>
      <c r="J452" s="3">
        <f>IFERROR(VLOOKUP(I452,$A$1:$G$1610,3,FALSE),J451)</f>
        <v>18.86</v>
      </c>
      <c r="K452" s="3">
        <f>IFERROR(VLOOKUP(I452,$A$1:$G$1610,7,FALSE),K451)</f>
        <v>0</v>
      </c>
      <c r="L452" s="5">
        <f t="shared" si="29"/>
        <v>0</v>
      </c>
    </row>
    <row r="453" spans="1:12" x14ac:dyDescent="0.25">
      <c r="A453" s="2">
        <v>44462</v>
      </c>
      <c r="B453" s="3">
        <v>18.63</v>
      </c>
      <c r="C453" s="3">
        <f t="shared" si="30"/>
        <v>18.63</v>
      </c>
      <c r="D453" s="3">
        <v>4448.9799999999996</v>
      </c>
      <c r="E453" s="3">
        <f t="shared" ref="E453:E516" si="31">IF(D453="",D452,D453)</f>
        <v>4448.9799999999996</v>
      </c>
      <c r="F453" s="3">
        <f>MAX($E$2:E453)</f>
        <v>4536.95</v>
      </c>
      <c r="G453" s="3">
        <f t="shared" si="28"/>
        <v>-1.9389678087702149</v>
      </c>
      <c r="I453" s="2">
        <v>44282</v>
      </c>
      <c r="J453" s="3">
        <f>IFERROR(VLOOKUP(I453,$A$1:$G$1610,3,FALSE),J452)</f>
        <v>18.86</v>
      </c>
      <c r="K453" s="3">
        <f>IFERROR(VLOOKUP(I453,$A$1:$G$1610,7,FALSE),K452)</f>
        <v>0</v>
      </c>
      <c r="L453" s="5">
        <f t="shared" si="29"/>
        <v>0</v>
      </c>
    </row>
    <row r="454" spans="1:12" x14ac:dyDescent="0.25">
      <c r="A454" s="2">
        <v>44463</v>
      </c>
      <c r="B454" s="3">
        <v>17.75</v>
      </c>
      <c r="C454" s="3">
        <f t="shared" si="30"/>
        <v>17.75</v>
      </c>
      <c r="D454" s="3">
        <v>4455.4799999999996</v>
      </c>
      <c r="E454" s="3">
        <f t="shared" si="31"/>
        <v>4455.4799999999996</v>
      </c>
      <c r="F454" s="3">
        <f>MAX($E$2:E454)</f>
        <v>4536.95</v>
      </c>
      <c r="G454" s="3">
        <f t="shared" si="28"/>
        <v>-1.7956997542401889</v>
      </c>
      <c r="I454" s="2">
        <v>44283</v>
      </c>
      <c r="J454" s="3">
        <f>IFERROR(VLOOKUP(I454,$A$1:$G$1610,3,FALSE),J453)</f>
        <v>18.86</v>
      </c>
      <c r="K454" s="3">
        <f>IFERROR(VLOOKUP(I454,$A$1:$G$1610,7,FALSE),K453)</f>
        <v>0</v>
      </c>
      <c r="L454" s="5">
        <f t="shared" si="29"/>
        <v>0</v>
      </c>
    </row>
    <row r="455" spans="1:12" x14ac:dyDescent="0.25">
      <c r="A455" s="2">
        <v>44466</v>
      </c>
      <c r="B455" s="3">
        <v>18.760000000000002</v>
      </c>
      <c r="C455" s="3">
        <f t="shared" si="30"/>
        <v>18.760000000000002</v>
      </c>
      <c r="D455" s="3">
        <v>4443.1099999999997</v>
      </c>
      <c r="E455" s="3">
        <f t="shared" si="31"/>
        <v>4443.1099999999997</v>
      </c>
      <c r="F455" s="3">
        <f>MAX($E$2:E455)</f>
        <v>4536.95</v>
      </c>
      <c r="G455" s="3">
        <f t="shared" si="28"/>
        <v>-2.0683498826304048</v>
      </c>
      <c r="I455" s="2">
        <v>44284</v>
      </c>
      <c r="J455" s="3">
        <f>IFERROR(VLOOKUP(I455,$A$1:$G$1610,3,FALSE),J454)</f>
        <v>20.74</v>
      </c>
      <c r="K455" s="3">
        <f>IFERROR(VLOOKUP(I455,$A$1:$G$1610,7,FALSE),K454)</f>
        <v>-8.6802497899123365E-2</v>
      </c>
      <c r="L455" s="5">
        <f t="shared" si="29"/>
        <v>0</v>
      </c>
    </row>
    <row r="456" spans="1:12" x14ac:dyDescent="0.25">
      <c r="A456" s="2">
        <v>44467</v>
      </c>
      <c r="B456" s="3">
        <v>23.25</v>
      </c>
      <c r="C456" s="3">
        <f t="shared" si="30"/>
        <v>23.25</v>
      </c>
      <c r="D456" s="3">
        <v>4352.63</v>
      </c>
      <c r="E456" s="3">
        <f t="shared" si="31"/>
        <v>4352.63</v>
      </c>
      <c r="F456" s="3">
        <f>MAX($E$2:E456)</f>
        <v>4536.95</v>
      </c>
      <c r="G456" s="3">
        <f t="shared" si="28"/>
        <v>-4.0626412016883533</v>
      </c>
      <c r="I456" s="2">
        <v>44285</v>
      </c>
      <c r="J456" s="3">
        <f>IFERROR(VLOOKUP(I456,$A$1:$G$1610,3,FALSE),J455)</f>
        <v>19.61</v>
      </c>
      <c r="K456" s="3">
        <f>IFERROR(VLOOKUP(I456,$A$1:$G$1610,7,FALSE),K455)</f>
        <v>-0.40231070765421362</v>
      </c>
      <c r="L456" s="5">
        <f t="shared" si="29"/>
        <v>0</v>
      </c>
    </row>
    <row r="457" spans="1:12" x14ac:dyDescent="0.25">
      <c r="A457" s="2">
        <v>44468</v>
      </c>
      <c r="B457" s="3">
        <v>22.56</v>
      </c>
      <c r="C457" s="3">
        <f t="shared" si="30"/>
        <v>22.56</v>
      </c>
      <c r="D457" s="3">
        <v>4359.46</v>
      </c>
      <c r="E457" s="3">
        <f t="shared" si="31"/>
        <v>4359.46</v>
      </c>
      <c r="F457" s="3">
        <f>MAX($E$2:E457)</f>
        <v>4536.95</v>
      </c>
      <c r="G457" s="3">
        <f t="shared" si="28"/>
        <v>-3.9120995382360348</v>
      </c>
      <c r="I457" s="2">
        <v>44286</v>
      </c>
      <c r="J457" s="3">
        <f>IFERROR(VLOOKUP(I457,$A$1:$G$1610,3,FALSE),J456)</f>
        <v>19.399999999999999</v>
      </c>
      <c r="K457" s="3">
        <f>IFERROR(VLOOKUP(I457,$A$1:$G$1610,7,FALSE),K456)</f>
        <v>-4.1514238125672176E-2</v>
      </c>
      <c r="L457" s="5">
        <f t="shared" si="29"/>
        <v>0</v>
      </c>
    </row>
    <row r="458" spans="1:12" x14ac:dyDescent="0.25">
      <c r="A458" s="2">
        <v>44469</v>
      </c>
      <c r="B458" s="3">
        <v>23.14</v>
      </c>
      <c r="C458" s="3">
        <f t="shared" si="30"/>
        <v>23.14</v>
      </c>
      <c r="D458" s="3">
        <v>4307.54</v>
      </c>
      <c r="E458" s="3">
        <f t="shared" si="31"/>
        <v>4307.54</v>
      </c>
      <c r="F458" s="3">
        <f>MAX($E$2:E458)</f>
        <v>4536.95</v>
      </c>
      <c r="G458" s="3">
        <f t="shared" si="28"/>
        <v>-5.0564806753435647</v>
      </c>
      <c r="I458" s="2">
        <v>44287</v>
      </c>
      <c r="J458" s="3">
        <f>IFERROR(VLOOKUP(I458,$A$1:$G$1610,3,FALSE),J457)</f>
        <v>17.329999999999998</v>
      </c>
      <c r="K458" s="3">
        <f>IFERROR(VLOOKUP(I458,$A$1:$G$1610,7,FALSE),K457)</f>
        <v>0</v>
      </c>
      <c r="L458" s="5">
        <f t="shared" si="29"/>
        <v>0</v>
      </c>
    </row>
    <row r="459" spans="1:12" x14ac:dyDescent="0.25">
      <c r="A459" s="2">
        <v>44470</v>
      </c>
      <c r="B459" s="3">
        <v>21.15</v>
      </c>
      <c r="C459" s="3">
        <f t="shared" si="30"/>
        <v>21.15</v>
      </c>
      <c r="D459" s="3">
        <v>4357.04</v>
      </c>
      <c r="E459" s="3">
        <f t="shared" si="31"/>
        <v>4357.04</v>
      </c>
      <c r="F459" s="3">
        <f>MAX($E$2:E459)</f>
        <v>4536.95</v>
      </c>
      <c r="G459" s="3">
        <f t="shared" si="28"/>
        <v>-3.9654393369995233</v>
      </c>
      <c r="I459" s="2">
        <v>44288</v>
      </c>
      <c r="J459" s="3">
        <f>IFERROR(VLOOKUP(I459,$A$1:$G$1610,3,FALSE),J458)</f>
        <v>17.329999999999998</v>
      </c>
      <c r="K459" s="3">
        <f>IFERROR(VLOOKUP(I459,$A$1:$G$1610,7,FALSE),K458)</f>
        <v>0</v>
      </c>
      <c r="L459" s="5">
        <f t="shared" si="29"/>
        <v>0</v>
      </c>
    </row>
    <row r="460" spans="1:12" x14ac:dyDescent="0.25">
      <c r="A460" s="2">
        <v>44473</v>
      </c>
      <c r="B460" s="3">
        <v>22.96</v>
      </c>
      <c r="C460" s="3">
        <f t="shared" si="30"/>
        <v>22.96</v>
      </c>
      <c r="D460" s="3">
        <v>4300.46</v>
      </c>
      <c r="E460" s="3">
        <f t="shared" si="31"/>
        <v>4300.46</v>
      </c>
      <c r="F460" s="3">
        <f>MAX($E$2:E460)</f>
        <v>4536.95</v>
      </c>
      <c r="G460" s="3">
        <f t="shared" si="28"/>
        <v>-5.2125326485854986</v>
      </c>
      <c r="I460" s="2">
        <v>44289</v>
      </c>
      <c r="J460" s="3">
        <f>IFERROR(VLOOKUP(I460,$A$1:$G$1610,3,FALSE),J459)</f>
        <v>17.329999999999998</v>
      </c>
      <c r="K460" s="3">
        <f>IFERROR(VLOOKUP(I460,$A$1:$G$1610,7,FALSE),K459)</f>
        <v>0</v>
      </c>
      <c r="L460" s="5">
        <f t="shared" si="29"/>
        <v>0</v>
      </c>
    </row>
    <row r="461" spans="1:12" x14ac:dyDescent="0.25">
      <c r="A461" s="2">
        <v>44474</v>
      </c>
      <c r="B461" s="3">
        <v>21.3</v>
      </c>
      <c r="C461" s="3">
        <f t="shared" si="30"/>
        <v>21.3</v>
      </c>
      <c r="D461" s="3">
        <v>4345.72</v>
      </c>
      <c r="E461" s="3">
        <f t="shared" si="31"/>
        <v>4345.72</v>
      </c>
      <c r="F461" s="3">
        <f>MAX($E$2:E461)</f>
        <v>4536.95</v>
      </c>
      <c r="G461" s="3">
        <f t="shared" si="28"/>
        <v>-4.2149461642733463</v>
      </c>
      <c r="I461" s="2">
        <v>44290</v>
      </c>
      <c r="J461" s="3">
        <f>IFERROR(VLOOKUP(I461,$A$1:$G$1610,3,FALSE),J460)</f>
        <v>17.329999999999998</v>
      </c>
      <c r="K461" s="3">
        <f>IFERROR(VLOOKUP(I461,$A$1:$G$1610,7,FALSE),K460)</f>
        <v>0</v>
      </c>
      <c r="L461" s="5">
        <f t="shared" si="29"/>
        <v>0</v>
      </c>
    </row>
    <row r="462" spans="1:12" x14ac:dyDescent="0.25">
      <c r="A462" s="2">
        <v>44475</v>
      </c>
      <c r="B462" s="3">
        <v>21</v>
      </c>
      <c r="C462" s="3">
        <f t="shared" si="30"/>
        <v>21</v>
      </c>
      <c r="D462" s="3">
        <v>4363.55</v>
      </c>
      <c r="E462" s="3">
        <f t="shared" si="31"/>
        <v>4363.55</v>
      </c>
      <c r="F462" s="3">
        <f>MAX($E$2:E462)</f>
        <v>4536.95</v>
      </c>
      <c r="G462" s="3">
        <f t="shared" si="28"/>
        <v>-3.8219508700779081</v>
      </c>
      <c r="I462" s="2">
        <v>44291</v>
      </c>
      <c r="J462" s="3">
        <f>IFERROR(VLOOKUP(I462,$A$1:$G$1610,3,FALSE),J461)</f>
        <v>17.91</v>
      </c>
      <c r="K462" s="3">
        <f>IFERROR(VLOOKUP(I462,$A$1:$G$1610,7,FALSE),K461)</f>
        <v>0</v>
      </c>
      <c r="L462" s="5">
        <f t="shared" si="29"/>
        <v>0</v>
      </c>
    </row>
    <row r="463" spans="1:12" x14ac:dyDescent="0.25">
      <c r="A463" s="2">
        <v>44476</v>
      </c>
      <c r="B463" s="3">
        <v>19.54</v>
      </c>
      <c r="C463" s="3">
        <f t="shared" si="30"/>
        <v>19.54</v>
      </c>
      <c r="D463" s="3">
        <v>4399.76</v>
      </c>
      <c r="E463" s="3">
        <f t="shared" si="31"/>
        <v>4399.76</v>
      </c>
      <c r="F463" s="3">
        <f>MAX($E$2:E463)</f>
        <v>4536.95</v>
      </c>
      <c r="G463" s="3">
        <f t="shared" si="28"/>
        <v>-3.0238376001498719</v>
      </c>
      <c r="I463" s="2">
        <v>44292</v>
      </c>
      <c r="J463" s="3">
        <f>IFERROR(VLOOKUP(I463,$A$1:$G$1610,3,FALSE),J462)</f>
        <v>18.12</v>
      </c>
      <c r="K463" s="3">
        <f>IFERROR(VLOOKUP(I463,$A$1:$G$1610,7,FALSE),K462)</f>
        <v>-9.7353791525555983E-2</v>
      </c>
      <c r="L463" s="5">
        <f t="shared" si="29"/>
        <v>0</v>
      </c>
    </row>
    <row r="464" spans="1:12" x14ac:dyDescent="0.25">
      <c r="A464" s="2">
        <v>44477</v>
      </c>
      <c r="B464" s="3">
        <v>18.77</v>
      </c>
      <c r="C464" s="3">
        <f t="shared" si="30"/>
        <v>18.77</v>
      </c>
      <c r="D464" s="3">
        <v>4391.34</v>
      </c>
      <c r="E464" s="3">
        <f t="shared" si="31"/>
        <v>4391.34</v>
      </c>
      <c r="F464" s="3">
        <f>MAX($E$2:E464)</f>
        <v>4536.95</v>
      </c>
      <c r="G464" s="3">
        <f t="shared" si="28"/>
        <v>-3.2094248338641531</v>
      </c>
      <c r="I464" s="2">
        <v>44293</v>
      </c>
      <c r="J464" s="3">
        <f>IFERROR(VLOOKUP(I464,$A$1:$G$1610,3,FALSE),J463)</f>
        <v>17.16</v>
      </c>
      <c r="K464" s="3">
        <f>IFERROR(VLOOKUP(I464,$A$1:$G$1610,7,FALSE),K463)</f>
        <v>0</v>
      </c>
      <c r="L464" s="5">
        <f t="shared" si="29"/>
        <v>0</v>
      </c>
    </row>
    <row r="465" spans="1:12" x14ac:dyDescent="0.25">
      <c r="A465" s="2">
        <v>44480</v>
      </c>
      <c r="B465" s="3">
        <v>20</v>
      </c>
      <c r="C465" s="3">
        <f t="shared" si="30"/>
        <v>20</v>
      </c>
      <c r="D465" s="3">
        <v>4361.1899999999996</v>
      </c>
      <c r="E465" s="3">
        <f t="shared" si="31"/>
        <v>4361.1899999999996</v>
      </c>
      <c r="F465" s="3">
        <f>MAX($E$2:E465)</f>
        <v>4536.95</v>
      </c>
      <c r="G465" s="3">
        <f t="shared" si="28"/>
        <v>-3.8739681944918996</v>
      </c>
      <c r="I465" s="2">
        <v>44294</v>
      </c>
      <c r="J465" s="3">
        <f>IFERROR(VLOOKUP(I465,$A$1:$G$1610,3,FALSE),J464)</f>
        <v>16.95</v>
      </c>
      <c r="K465" s="3">
        <f>IFERROR(VLOOKUP(I465,$A$1:$G$1610,7,FALSE),K464)</f>
        <v>0</v>
      </c>
      <c r="L465" s="5">
        <f t="shared" si="29"/>
        <v>0</v>
      </c>
    </row>
    <row r="466" spans="1:12" x14ac:dyDescent="0.25">
      <c r="A466" s="2">
        <v>44481</v>
      </c>
      <c r="B466" s="3">
        <v>19.850000000000001</v>
      </c>
      <c r="C466" s="3">
        <f t="shared" si="30"/>
        <v>19.850000000000001</v>
      </c>
      <c r="D466" s="3">
        <v>4350.6499999999996</v>
      </c>
      <c r="E466" s="3">
        <f t="shared" si="31"/>
        <v>4350.6499999999996</v>
      </c>
      <c r="F466" s="3">
        <f>MAX($E$2:E466)</f>
        <v>4536.95</v>
      </c>
      <c r="G466" s="3">
        <f t="shared" si="28"/>
        <v>-4.1062828552221253</v>
      </c>
      <c r="I466" s="2">
        <v>44295</v>
      </c>
      <c r="J466" s="3">
        <f>IFERROR(VLOOKUP(I466,$A$1:$G$1610,3,FALSE),J465)</f>
        <v>16.690000000000001</v>
      </c>
      <c r="K466" s="3">
        <f>IFERROR(VLOOKUP(I466,$A$1:$G$1610,7,FALSE),K465)</f>
        <v>0</v>
      </c>
      <c r="L466" s="5">
        <f t="shared" si="29"/>
        <v>0</v>
      </c>
    </row>
    <row r="467" spans="1:12" x14ac:dyDescent="0.25">
      <c r="A467" s="2">
        <v>44482</v>
      </c>
      <c r="B467" s="3">
        <v>18.64</v>
      </c>
      <c r="C467" s="3">
        <f t="shared" si="30"/>
        <v>18.64</v>
      </c>
      <c r="D467" s="3">
        <v>4363.8</v>
      </c>
      <c r="E467" s="3">
        <f t="shared" si="31"/>
        <v>4363.8</v>
      </c>
      <c r="F467" s="3">
        <f>MAX($E$2:E467)</f>
        <v>4536.95</v>
      </c>
      <c r="G467" s="3">
        <f t="shared" si="28"/>
        <v>-3.8164405602882914</v>
      </c>
      <c r="I467" s="2">
        <v>44296</v>
      </c>
      <c r="J467" s="3">
        <f>IFERROR(VLOOKUP(I467,$A$1:$G$1610,3,FALSE),J466)</f>
        <v>16.690000000000001</v>
      </c>
      <c r="K467" s="3">
        <f>IFERROR(VLOOKUP(I467,$A$1:$G$1610,7,FALSE),K466)</f>
        <v>0</v>
      </c>
      <c r="L467" s="5">
        <f t="shared" si="29"/>
        <v>0</v>
      </c>
    </row>
    <row r="468" spans="1:12" x14ac:dyDescent="0.25">
      <c r="A468" s="2">
        <v>44483</v>
      </c>
      <c r="B468" s="3">
        <v>16.86</v>
      </c>
      <c r="C468" s="3">
        <f t="shared" si="30"/>
        <v>16.86</v>
      </c>
      <c r="D468" s="3">
        <v>4438.26</v>
      </c>
      <c r="E468" s="3">
        <f t="shared" si="31"/>
        <v>4438.26</v>
      </c>
      <c r="F468" s="3">
        <f>MAX($E$2:E468)</f>
        <v>4536.95</v>
      </c>
      <c r="G468" s="3">
        <f t="shared" si="28"/>
        <v>-2.1752498925489503</v>
      </c>
      <c r="I468" s="2">
        <v>44297</v>
      </c>
      <c r="J468" s="3">
        <f>IFERROR(VLOOKUP(I468,$A$1:$G$1610,3,FALSE),J467)</f>
        <v>16.690000000000001</v>
      </c>
      <c r="K468" s="3">
        <f>IFERROR(VLOOKUP(I468,$A$1:$G$1610,7,FALSE),K467)</f>
        <v>0</v>
      </c>
      <c r="L468" s="5">
        <f t="shared" si="29"/>
        <v>0</v>
      </c>
    </row>
    <row r="469" spans="1:12" x14ac:dyDescent="0.25">
      <c r="A469" s="2">
        <v>44484</v>
      </c>
      <c r="B469" s="3">
        <v>16.3</v>
      </c>
      <c r="C469" s="3">
        <f t="shared" si="30"/>
        <v>16.3</v>
      </c>
      <c r="D469" s="3">
        <v>4471.37</v>
      </c>
      <c r="E469" s="3">
        <f t="shared" si="31"/>
        <v>4471.37</v>
      </c>
      <c r="F469" s="3">
        <f>MAX($E$2:E469)</f>
        <v>4536.95</v>
      </c>
      <c r="G469" s="3">
        <f t="shared" si="28"/>
        <v>-1.4454644640121652</v>
      </c>
      <c r="I469" s="2">
        <v>44298</v>
      </c>
      <c r="J469" s="3">
        <f>IFERROR(VLOOKUP(I469,$A$1:$G$1610,3,FALSE),J468)</f>
        <v>16.91</v>
      </c>
      <c r="K469" s="3">
        <f>IFERROR(VLOOKUP(I469,$A$1:$G$1610,7,FALSE),K468)</f>
        <v>-1.9618291028880065E-2</v>
      </c>
      <c r="L469" s="5">
        <f t="shared" si="29"/>
        <v>0</v>
      </c>
    </row>
    <row r="470" spans="1:12" x14ac:dyDescent="0.25">
      <c r="A470" s="2">
        <v>44487</v>
      </c>
      <c r="B470" s="3">
        <v>16.309999999999999</v>
      </c>
      <c r="C470" s="3">
        <f t="shared" si="30"/>
        <v>16.309999999999999</v>
      </c>
      <c r="D470" s="3">
        <v>4486.46</v>
      </c>
      <c r="E470" s="3">
        <f t="shared" si="31"/>
        <v>4486.46</v>
      </c>
      <c r="F470" s="3">
        <f>MAX($E$2:E470)</f>
        <v>4536.95</v>
      </c>
      <c r="G470" s="3">
        <f t="shared" si="28"/>
        <v>-1.1128621651109176</v>
      </c>
      <c r="I470" s="2">
        <v>44299</v>
      </c>
      <c r="J470" s="3">
        <f>IFERROR(VLOOKUP(I470,$A$1:$G$1610,3,FALSE),J469)</f>
        <v>16.649999999999999</v>
      </c>
      <c r="K470" s="3">
        <f>IFERROR(VLOOKUP(I470,$A$1:$G$1610,7,FALSE),K469)</f>
        <v>0</v>
      </c>
      <c r="L470" s="5">
        <f t="shared" si="29"/>
        <v>0</v>
      </c>
    </row>
    <row r="471" spans="1:12" x14ac:dyDescent="0.25">
      <c r="A471" s="2">
        <v>44488</v>
      </c>
      <c r="B471" s="3">
        <v>15.7</v>
      </c>
      <c r="C471" s="3">
        <f t="shared" si="30"/>
        <v>15.7</v>
      </c>
      <c r="D471" s="3">
        <v>4519.63</v>
      </c>
      <c r="E471" s="3">
        <f t="shared" si="31"/>
        <v>4519.63</v>
      </c>
      <c r="F471" s="3">
        <f>MAX($E$2:E471)</f>
        <v>4536.95</v>
      </c>
      <c r="G471" s="3">
        <f t="shared" si="28"/>
        <v>-0.38175426222461589</v>
      </c>
      <c r="I471" s="2">
        <v>44300</v>
      </c>
      <c r="J471" s="3">
        <f>IFERROR(VLOOKUP(I471,$A$1:$G$1610,3,FALSE),J470)</f>
        <v>16.989999999999998</v>
      </c>
      <c r="K471" s="3">
        <f>IFERROR(VLOOKUP(I471,$A$1:$G$1610,7,FALSE),K470)</f>
        <v>-0.40878020277237226</v>
      </c>
      <c r="L471" s="5">
        <f t="shared" si="29"/>
        <v>0</v>
      </c>
    </row>
    <row r="472" spans="1:12" x14ac:dyDescent="0.25">
      <c r="A472" s="2">
        <v>44489</v>
      </c>
      <c r="B472" s="3">
        <v>15.49</v>
      </c>
      <c r="C472" s="3">
        <f t="shared" si="30"/>
        <v>15.49</v>
      </c>
      <c r="D472" s="3">
        <v>4536.1899999999996</v>
      </c>
      <c r="E472" s="3">
        <f t="shared" si="31"/>
        <v>4536.1899999999996</v>
      </c>
      <c r="F472" s="3">
        <f>MAX($E$2:E472)</f>
        <v>4536.95</v>
      </c>
      <c r="G472" s="3">
        <f t="shared" si="28"/>
        <v>-1.6751341760438583E-2</v>
      </c>
      <c r="I472" s="2">
        <v>44301</v>
      </c>
      <c r="J472" s="3">
        <f>IFERROR(VLOOKUP(I472,$A$1:$G$1610,3,FALSE),J471)</f>
        <v>16.57</v>
      </c>
      <c r="K472" s="3">
        <f>IFERROR(VLOOKUP(I472,$A$1:$G$1610,7,FALSE),K471)</f>
        <v>0</v>
      </c>
      <c r="L472" s="5">
        <f t="shared" si="29"/>
        <v>0</v>
      </c>
    </row>
    <row r="473" spans="1:12" x14ac:dyDescent="0.25">
      <c r="A473" s="2">
        <v>44490</v>
      </c>
      <c r="B473" s="3">
        <v>15.01</v>
      </c>
      <c r="C473" s="3">
        <f t="shared" si="30"/>
        <v>15.01</v>
      </c>
      <c r="D473" s="3">
        <v>4549.78</v>
      </c>
      <c r="E473" s="3">
        <f t="shared" si="31"/>
        <v>4549.78</v>
      </c>
      <c r="F473" s="3">
        <f>MAX($E$2:E473)</f>
        <v>4549.78</v>
      </c>
      <c r="G473" s="3">
        <f t="shared" si="28"/>
        <v>0</v>
      </c>
      <c r="I473" s="2">
        <v>44302</v>
      </c>
      <c r="J473" s="3">
        <f>IFERROR(VLOOKUP(I473,$A$1:$G$1610,3,FALSE),J472)</f>
        <v>16.25</v>
      </c>
      <c r="K473" s="3">
        <f>IFERROR(VLOOKUP(I473,$A$1:$G$1610,7,FALSE),K472)</f>
        <v>0</v>
      </c>
      <c r="L473" s="5">
        <f t="shared" si="29"/>
        <v>0</v>
      </c>
    </row>
    <row r="474" spans="1:12" x14ac:dyDescent="0.25">
      <c r="A474" s="2">
        <v>44491</v>
      </c>
      <c r="B474" s="3">
        <v>15.43</v>
      </c>
      <c r="C474" s="3">
        <f t="shared" si="30"/>
        <v>15.43</v>
      </c>
      <c r="D474" s="3">
        <v>4544.8999999999996</v>
      </c>
      <c r="E474" s="3">
        <f t="shared" si="31"/>
        <v>4544.8999999999996</v>
      </c>
      <c r="F474" s="3">
        <f>MAX($E$2:E474)</f>
        <v>4549.78</v>
      </c>
      <c r="G474" s="3">
        <f t="shared" si="28"/>
        <v>-0.10725793335062594</v>
      </c>
      <c r="I474" s="2">
        <v>44303</v>
      </c>
      <c r="J474" s="3">
        <f>IFERROR(VLOOKUP(I474,$A$1:$G$1610,3,FALSE),J473)</f>
        <v>16.25</v>
      </c>
      <c r="K474" s="3">
        <f>IFERROR(VLOOKUP(I474,$A$1:$G$1610,7,FALSE),K473)</f>
        <v>0</v>
      </c>
      <c r="L474" s="5">
        <f t="shared" si="29"/>
        <v>0</v>
      </c>
    </row>
    <row r="475" spans="1:12" x14ac:dyDescent="0.25">
      <c r="A475" s="2">
        <v>44494</v>
      </c>
      <c r="B475" s="3">
        <v>15.24</v>
      </c>
      <c r="C475" s="3">
        <f t="shared" si="30"/>
        <v>15.24</v>
      </c>
      <c r="D475" s="3">
        <v>4566.4799999999996</v>
      </c>
      <c r="E475" s="3">
        <f t="shared" si="31"/>
        <v>4566.4799999999996</v>
      </c>
      <c r="F475" s="3">
        <f>MAX($E$2:E475)</f>
        <v>4566.4799999999996</v>
      </c>
      <c r="G475" s="3">
        <f t="shared" si="28"/>
        <v>0</v>
      </c>
      <c r="I475" s="2">
        <v>44304</v>
      </c>
      <c r="J475" s="3">
        <f>IFERROR(VLOOKUP(I475,$A$1:$G$1610,3,FALSE),J474)</f>
        <v>16.25</v>
      </c>
      <c r="K475" s="3">
        <f>IFERROR(VLOOKUP(I475,$A$1:$G$1610,7,FALSE),K474)</f>
        <v>0</v>
      </c>
      <c r="L475" s="5">
        <f t="shared" si="29"/>
        <v>0</v>
      </c>
    </row>
    <row r="476" spans="1:12" x14ac:dyDescent="0.25">
      <c r="A476" s="2">
        <v>44495</v>
      </c>
      <c r="B476" s="3">
        <v>15.98</v>
      </c>
      <c r="C476" s="3">
        <f t="shared" si="30"/>
        <v>15.98</v>
      </c>
      <c r="D476" s="3">
        <v>4574.79</v>
      </c>
      <c r="E476" s="3">
        <f t="shared" si="31"/>
        <v>4574.79</v>
      </c>
      <c r="F476" s="3">
        <f>MAX($E$2:E476)</f>
        <v>4574.79</v>
      </c>
      <c r="G476" s="3">
        <f t="shared" si="28"/>
        <v>0</v>
      </c>
      <c r="I476" s="2">
        <v>44305</v>
      </c>
      <c r="J476" s="3">
        <f>IFERROR(VLOOKUP(I476,$A$1:$G$1610,3,FALSE),J475)</f>
        <v>17.29</v>
      </c>
      <c r="K476" s="3">
        <f>IFERROR(VLOOKUP(I476,$A$1:$G$1610,7,FALSE),K475)</f>
        <v>-0.53064530387268416</v>
      </c>
      <c r="L476" s="5">
        <f t="shared" si="29"/>
        <v>0</v>
      </c>
    </row>
    <row r="477" spans="1:12" x14ac:dyDescent="0.25">
      <c r="A477" s="2">
        <v>44496</v>
      </c>
      <c r="B477" s="3">
        <v>16.98</v>
      </c>
      <c r="C477" s="3">
        <f t="shared" si="30"/>
        <v>16.98</v>
      </c>
      <c r="D477" s="3">
        <v>4551.68</v>
      </c>
      <c r="E477" s="3">
        <f t="shared" si="31"/>
        <v>4551.68</v>
      </c>
      <c r="F477" s="3">
        <f>MAX($E$2:E477)</f>
        <v>4574.79</v>
      </c>
      <c r="G477" s="3">
        <f t="shared" si="28"/>
        <v>-0.50515979968478708</v>
      </c>
      <c r="I477" s="2">
        <v>44306</v>
      </c>
      <c r="J477" s="3">
        <f>IFERROR(VLOOKUP(I477,$A$1:$G$1610,3,FALSE),J476)</f>
        <v>18.68</v>
      </c>
      <c r="K477" s="3">
        <f>IFERROR(VLOOKUP(I477,$A$1:$G$1610,7,FALSE),K476)</f>
        <v>-1.2072718237139592</v>
      </c>
      <c r="L477" s="5">
        <f t="shared" si="29"/>
        <v>0</v>
      </c>
    </row>
    <row r="478" spans="1:12" x14ac:dyDescent="0.25">
      <c r="A478" s="2">
        <v>44497</v>
      </c>
      <c r="B478" s="3">
        <v>16.53</v>
      </c>
      <c r="C478" s="3">
        <f t="shared" si="30"/>
        <v>16.53</v>
      </c>
      <c r="D478" s="3">
        <v>4596.42</v>
      </c>
      <c r="E478" s="3">
        <f t="shared" si="31"/>
        <v>4596.42</v>
      </c>
      <c r="F478" s="3">
        <f>MAX($E$2:E478)</f>
        <v>4596.42</v>
      </c>
      <c r="G478" s="3">
        <f t="shared" si="28"/>
        <v>0</v>
      </c>
      <c r="I478" s="2">
        <v>44307</v>
      </c>
      <c r="J478" s="3">
        <f>IFERROR(VLOOKUP(I478,$A$1:$G$1610,3,FALSE),J477)</f>
        <v>17.5</v>
      </c>
      <c r="K478" s="3">
        <f>IFERROR(VLOOKUP(I478,$A$1:$G$1610,7,FALSE),K477)</f>
        <v>-0.28790076144376098</v>
      </c>
      <c r="L478" s="5">
        <f t="shared" si="29"/>
        <v>0</v>
      </c>
    </row>
    <row r="479" spans="1:12" x14ac:dyDescent="0.25">
      <c r="A479" s="2">
        <v>44498</v>
      </c>
      <c r="B479" s="3">
        <v>16.260000000000002</v>
      </c>
      <c r="C479" s="3">
        <f t="shared" si="30"/>
        <v>16.260000000000002</v>
      </c>
      <c r="D479" s="3">
        <v>4605.38</v>
      </c>
      <c r="E479" s="3">
        <f t="shared" si="31"/>
        <v>4605.38</v>
      </c>
      <c r="F479" s="3">
        <f>MAX($E$2:E479)</f>
        <v>4605.38</v>
      </c>
      <c r="G479" s="3">
        <f t="shared" si="28"/>
        <v>0</v>
      </c>
      <c r="I479" s="2">
        <v>44308</v>
      </c>
      <c r="J479" s="3">
        <f>IFERROR(VLOOKUP(I479,$A$1:$G$1610,3,FALSE),J478)</f>
        <v>18.71</v>
      </c>
      <c r="K479" s="3">
        <f>IFERROR(VLOOKUP(I479,$A$1:$G$1610,7,FALSE),K478)</f>
        <v>-1.2063161365390431</v>
      </c>
      <c r="L479" s="5">
        <f t="shared" si="29"/>
        <v>0</v>
      </c>
    </row>
    <row r="480" spans="1:12" x14ac:dyDescent="0.25">
      <c r="A480" s="2">
        <v>44501</v>
      </c>
      <c r="B480" s="3">
        <v>16.41</v>
      </c>
      <c r="C480" s="3">
        <f t="shared" si="30"/>
        <v>16.41</v>
      </c>
      <c r="D480" s="3">
        <v>4613.67</v>
      </c>
      <c r="E480" s="3">
        <f t="shared" si="31"/>
        <v>4613.67</v>
      </c>
      <c r="F480" s="3">
        <f>MAX($E$2:E480)</f>
        <v>4613.67</v>
      </c>
      <c r="G480" s="3">
        <f t="shared" si="28"/>
        <v>0</v>
      </c>
      <c r="I480" s="2">
        <v>44309</v>
      </c>
      <c r="J480" s="3">
        <f>IFERROR(VLOOKUP(I480,$A$1:$G$1610,3,FALSE),J479)</f>
        <v>17.329999999999998</v>
      </c>
      <c r="K480" s="3">
        <f>IFERROR(VLOOKUP(I480,$A$1:$G$1610,7,FALSE),K479)</f>
        <v>-0.12662855067651141</v>
      </c>
      <c r="L480" s="5">
        <f t="shared" si="29"/>
        <v>0</v>
      </c>
    </row>
    <row r="481" spans="1:12" x14ac:dyDescent="0.25">
      <c r="A481" s="2">
        <v>44502</v>
      </c>
      <c r="B481" s="3">
        <v>16.03</v>
      </c>
      <c r="C481" s="3">
        <f t="shared" si="30"/>
        <v>16.03</v>
      </c>
      <c r="D481" s="3">
        <v>4630.6499999999996</v>
      </c>
      <c r="E481" s="3">
        <f t="shared" si="31"/>
        <v>4630.6499999999996</v>
      </c>
      <c r="F481" s="3">
        <f>MAX($E$2:E481)</f>
        <v>4630.6499999999996</v>
      </c>
      <c r="G481" s="3">
        <f t="shared" si="28"/>
        <v>0</v>
      </c>
      <c r="I481" s="2">
        <v>44310</v>
      </c>
      <c r="J481" s="3">
        <f>IFERROR(VLOOKUP(I481,$A$1:$G$1610,3,FALSE),J480)</f>
        <v>17.329999999999998</v>
      </c>
      <c r="K481" s="3">
        <f>IFERROR(VLOOKUP(I481,$A$1:$G$1610,7,FALSE),K480)</f>
        <v>-0.12662855067651141</v>
      </c>
      <c r="L481" s="5">
        <f t="shared" si="29"/>
        <v>0</v>
      </c>
    </row>
    <row r="482" spans="1:12" x14ac:dyDescent="0.25">
      <c r="A482" s="2">
        <v>44503</v>
      </c>
      <c r="B482" s="3">
        <v>15.1</v>
      </c>
      <c r="C482" s="3">
        <f t="shared" si="30"/>
        <v>15.1</v>
      </c>
      <c r="D482" s="3">
        <v>4660.57</v>
      </c>
      <c r="E482" s="3">
        <f t="shared" si="31"/>
        <v>4660.57</v>
      </c>
      <c r="F482" s="3">
        <f>MAX($E$2:E482)</f>
        <v>4660.57</v>
      </c>
      <c r="G482" s="3">
        <f t="shared" si="28"/>
        <v>0</v>
      </c>
      <c r="I482" s="2">
        <v>44311</v>
      </c>
      <c r="J482" s="3">
        <f>IFERROR(VLOOKUP(I482,$A$1:$G$1610,3,FALSE),J481)</f>
        <v>17.329999999999998</v>
      </c>
      <c r="K482" s="3">
        <f>IFERROR(VLOOKUP(I482,$A$1:$G$1610,7,FALSE),K481)</f>
        <v>-0.12662855067651141</v>
      </c>
      <c r="L482" s="5">
        <f t="shared" si="29"/>
        <v>0</v>
      </c>
    </row>
    <row r="483" spans="1:12" x14ac:dyDescent="0.25">
      <c r="A483" s="2">
        <v>44504</v>
      </c>
      <c r="B483" s="3">
        <v>15.44</v>
      </c>
      <c r="C483" s="3">
        <f t="shared" si="30"/>
        <v>15.44</v>
      </c>
      <c r="D483" s="3">
        <v>4680.0600000000004</v>
      </c>
      <c r="E483" s="3">
        <f t="shared" si="31"/>
        <v>4680.0600000000004</v>
      </c>
      <c r="F483" s="3">
        <f>MAX($E$2:E483)</f>
        <v>4680.0600000000004</v>
      </c>
      <c r="G483" s="3">
        <f t="shared" si="28"/>
        <v>0</v>
      </c>
      <c r="I483" s="2">
        <v>44312</v>
      </c>
      <c r="J483" s="3">
        <f>IFERROR(VLOOKUP(I483,$A$1:$G$1610,3,FALSE),J482)</f>
        <v>17.64</v>
      </c>
      <c r="K483" s="3">
        <f>IFERROR(VLOOKUP(I483,$A$1:$G$1610,7,FALSE),K482)</f>
        <v>0</v>
      </c>
      <c r="L483" s="5">
        <f t="shared" si="29"/>
        <v>0</v>
      </c>
    </row>
    <row r="484" spans="1:12" x14ac:dyDescent="0.25">
      <c r="A484" s="2">
        <v>44505</v>
      </c>
      <c r="B484" s="3">
        <v>16.48</v>
      </c>
      <c r="C484" s="3">
        <f t="shared" si="30"/>
        <v>16.48</v>
      </c>
      <c r="D484" s="3">
        <v>4697.53</v>
      </c>
      <c r="E484" s="3">
        <f t="shared" si="31"/>
        <v>4697.53</v>
      </c>
      <c r="F484" s="3">
        <f>MAX($E$2:E484)</f>
        <v>4697.53</v>
      </c>
      <c r="G484" s="3">
        <f t="shared" si="28"/>
        <v>0</v>
      </c>
      <c r="I484" s="2">
        <v>44313</v>
      </c>
      <c r="J484" s="3">
        <f>IFERROR(VLOOKUP(I484,$A$1:$G$1610,3,FALSE),J483)</f>
        <v>17.559999999999999</v>
      </c>
      <c r="K484" s="3">
        <f>IFERROR(VLOOKUP(I484,$A$1:$G$1610,7,FALSE),K483)</f>
        <v>-2.149192142552658E-2</v>
      </c>
      <c r="L484" s="5">
        <f t="shared" si="29"/>
        <v>0</v>
      </c>
    </row>
    <row r="485" spans="1:12" x14ac:dyDescent="0.25">
      <c r="A485" s="2">
        <v>44508</v>
      </c>
      <c r="B485" s="3">
        <v>17.22</v>
      </c>
      <c r="C485" s="3">
        <f t="shared" si="30"/>
        <v>17.22</v>
      </c>
      <c r="D485" s="3">
        <v>4701.7</v>
      </c>
      <c r="E485" s="3">
        <f t="shared" si="31"/>
        <v>4701.7</v>
      </c>
      <c r="F485" s="3">
        <f>MAX($E$2:E485)</f>
        <v>4701.7</v>
      </c>
      <c r="G485" s="3">
        <f t="shared" si="28"/>
        <v>0</v>
      </c>
      <c r="I485" s="2">
        <v>44314</v>
      </c>
      <c r="J485" s="3">
        <f>IFERROR(VLOOKUP(I485,$A$1:$G$1610,3,FALSE),J484)</f>
        <v>17.28</v>
      </c>
      <c r="K485" s="3">
        <f>IFERROR(VLOOKUP(I485,$A$1:$G$1610,7,FALSE),K484)</f>
        <v>-0.10602681236596444</v>
      </c>
      <c r="L485" s="5">
        <f t="shared" si="29"/>
        <v>0</v>
      </c>
    </row>
    <row r="486" spans="1:12" x14ac:dyDescent="0.25">
      <c r="A486" s="2">
        <v>44509</v>
      </c>
      <c r="B486" s="3">
        <v>17.78</v>
      </c>
      <c r="C486" s="3">
        <f t="shared" si="30"/>
        <v>17.78</v>
      </c>
      <c r="D486" s="3">
        <v>4685.25</v>
      </c>
      <c r="E486" s="3">
        <f t="shared" si="31"/>
        <v>4685.25</v>
      </c>
      <c r="F486" s="3">
        <f>MAX($E$2:E486)</f>
        <v>4701.7</v>
      </c>
      <c r="G486" s="3">
        <f t="shared" si="28"/>
        <v>-0.34987345002870918</v>
      </c>
      <c r="I486" s="2">
        <v>44315</v>
      </c>
      <c r="J486" s="3">
        <f>IFERROR(VLOOKUP(I486,$A$1:$G$1610,3,FALSE),J485)</f>
        <v>17.61</v>
      </c>
      <c r="K486" s="3">
        <f>IFERROR(VLOOKUP(I486,$A$1:$G$1610,7,FALSE),K485)</f>
        <v>0</v>
      </c>
      <c r="L486" s="5">
        <f t="shared" si="29"/>
        <v>0</v>
      </c>
    </row>
    <row r="487" spans="1:12" x14ac:dyDescent="0.25">
      <c r="A487" s="2">
        <v>44510</v>
      </c>
      <c r="B487" s="3">
        <v>18.73</v>
      </c>
      <c r="C487" s="3">
        <f t="shared" si="30"/>
        <v>18.73</v>
      </c>
      <c r="D487" s="3">
        <v>4646.71</v>
      </c>
      <c r="E487" s="3">
        <f t="shared" si="31"/>
        <v>4646.71</v>
      </c>
      <c r="F487" s="3">
        <f>MAX($E$2:E487)</f>
        <v>4701.7</v>
      </c>
      <c r="G487" s="3">
        <f t="shared" si="28"/>
        <v>-1.1695769615245504</v>
      </c>
      <c r="I487" s="2">
        <v>44316</v>
      </c>
      <c r="J487" s="3">
        <f>IFERROR(VLOOKUP(I487,$A$1:$G$1610,3,FALSE),J486)</f>
        <v>18.61</v>
      </c>
      <c r="K487" s="3">
        <f>IFERROR(VLOOKUP(I487,$A$1:$G$1610,7,FALSE),K486)</f>
        <v>-0.7194637501869936</v>
      </c>
      <c r="L487" s="5">
        <f t="shared" si="29"/>
        <v>0</v>
      </c>
    </row>
    <row r="488" spans="1:12" x14ac:dyDescent="0.25">
      <c r="A488" s="2">
        <v>44511</v>
      </c>
      <c r="B488" s="3">
        <v>17.66</v>
      </c>
      <c r="C488" s="3">
        <f t="shared" si="30"/>
        <v>17.66</v>
      </c>
      <c r="D488" s="3">
        <v>4649.2700000000004</v>
      </c>
      <c r="E488" s="3">
        <f t="shared" si="31"/>
        <v>4649.2700000000004</v>
      </c>
      <c r="F488" s="3">
        <f>MAX($E$2:E488)</f>
        <v>4701.7</v>
      </c>
      <c r="G488" s="3">
        <f t="shared" si="28"/>
        <v>-1.115128570517034</v>
      </c>
      <c r="I488" s="2">
        <v>44317</v>
      </c>
      <c r="J488" s="3">
        <f>IFERROR(VLOOKUP(I488,$A$1:$G$1610,3,FALSE),J487)</f>
        <v>18.61</v>
      </c>
      <c r="K488" s="3">
        <f>IFERROR(VLOOKUP(I488,$A$1:$G$1610,7,FALSE),K487)</f>
        <v>-0.7194637501869936</v>
      </c>
      <c r="L488" s="5">
        <f t="shared" si="29"/>
        <v>0</v>
      </c>
    </row>
    <row r="489" spans="1:12" x14ac:dyDescent="0.25">
      <c r="A489" s="2">
        <v>44512</v>
      </c>
      <c r="B489" s="3">
        <v>16.29</v>
      </c>
      <c r="C489" s="3">
        <f t="shared" si="30"/>
        <v>16.29</v>
      </c>
      <c r="D489" s="3">
        <v>4682.8500000000004</v>
      </c>
      <c r="E489" s="3">
        <f t="shared" si="31"/>
        <v>4682.8500000000004</v>
      </c>
      <c r="F489" s="3">
        <f>MAX($E$2:E489)</f>
        <v>4701.7</v>
      </c>
      <c r="G489" s="3">
        <f t="shared" si="28"/>
        <v>-0.40091881659824008</v>
      </c>
      <c r="I489" s="2">
        <v>44318</v>
      </c>
      <c r="J489" s="3">
        <f>IFERROR(VLOOKUP(I489,$A$1:$G$1610,3,FALSE),J488)</f>
        <v>18.61</v>
      </c>
      <c r="K489" s="3">
        <f>IFERROR(VLOOKUP(I489,$A$1:$G$1610,7,FALSE),K488)</f>
        <v>-0.7194637501869936</v>
      </c>
      <c r="L489" s="5">
        <f t="shared" si="29"/>
        <v>0</v>
      </c>
    </row>
    <row r="490" spans="1:12" x14ac:dyDescent="0.25">
      <c r="A490" s="2">
        <v>44515</v>
      </c>
      <c r="B490" s="3">
        <v>16.489999999999998</v>
      </c>
      <c r="C490" s="3">
        <f t="shared" si="30"/>
        <v>16.489999999999998</v>
      </c>
      <c r="D490" s="3">
        <v>4682.8</v>
      </c>
      <c r="E490" s="3">
        <f t="shared" si="31"/>
        <v>4682.8</v>
      </c>
      <c r="F490" s="3">
        <f>MAX($E$2:E490)</f>
        <v>4701.7</v>
      </c>
      <c r="G490" s="3">
        <f t="shared" si="28"/>
        <v>-0.40198226173510943</v>
      </c>
      <c r="I490" s="2">
        <v>44319</v>
      </c>
      <c r="J490" s="3">
        <f>IFERROR(VLOOKUP(I490,$A$1:$G$1610,3,FALSE),J489)</f>
        <v>18.309999999999999</v>
      </c>
      <c r="K490" s="3">
        <f>IFERROR(VLOOKUP(I490,$A$1:$G$1610,7,FALSE),K489)</f>
        <v>-0.44663739739331865</v>
      </c>
      <c r="L490" s="5">
        <f t="shared" si="29"/>
        <v>0</v>
      </c>
    </row>
    <row r="491" spans="1:12" x14ac:dyDescent="0.25">
      <c r="A491" s="2">
        <v>44516</v>
      </c>
      <c r="B491" s="3">
        <v>16.37</v>
      </c>
      <c r="C491" s="3">
        <f t="shared" si="30"/>
        <v>16.37</v>
      </c>
      <c r="D491" s="3">
        <v>4700.8999999999996</v>
      </c>
      <c r="E491" s="3">
        <f t="shared" si="31"/>
        <v>4700.8999999999996</v>
      </c>
      <c r="F491" s="3">
        <f>MAX($E$2:E491)</f>
        <v>4701.7</v>
      </c>
      <c r="G491" s="3">
        <f t="shared" si="28"/>
        <v>-1.7015122189850095E-2</v>
      </c>
      <c r="I491" s="2">
        <v>44320</v>
      </c>
      <c r="J491" s="3">
        <f>IFERROR(VLOOKUP(I491,$A$1:$G$1610,3,FALSE),J490)</f>
        <v>19.48</v>
      </c>
      <c r="K491" s="3">
        <f>IFERROR(VLOOKUP(I491,$A$1:$G$1610,7,FALSE),K490)</f>
        <v>-1.111488387665124</v>
      </c>
      <c r="L491" s="5">
        <f t="shared" si="29"/>
        <v>0</v>
      </c>
    </row>
    <row r="492" spans="1:12" x14ac:dyDescent="0.25">
      <c r="A492" s="2">
        <v>44517</v>
      </c>
      <c r="B492" s="3">
        <v>17.11</v>
      </c>
      <c r="C492" s="3">
        <f t="shared" si="30"/>
        <v>17.11</v>
      </c>
      <c r="D492" s="3">
        <v>4688.67</v>
      </c>
      <c r="E492" s="3">
        <f t="shared" si="31"/>
        <v>4688.67</v>
      </c>
      <c r="F492" s="3">
        <f>MAX($E$2:E492)</f>
        <v>4701.7</v>
      </c>
      <c r="G492" s="3">
        <f t="shared" si="28"/>
        <v>-0.27713380266711501</v>
      </c>
      <c r="I492" s="2">
        <v>44321</v>
      </c>
      <c r="J492" s="3">
        <f>IFERROR(VLOOKUP(I492,$A$1:$G$1610,3,FALSE),J491)</f>
        <v>19.149999999999999</v>
      </c>
      <c r="K492" s="3">
        <f>IFERROR(VLOOKUP(I492,$A$1:$G$1610,7,FALSE),K491)</f>
        <v>-1.0419164804688175</v>
      </c>
      <c r="L492" s="5">
        <f t="shared" si="29"/>
        <v>0</v>
      </c>
    </row>
    <row r="493" spans="1:12" x14ac:dyDescent="0.25">
      <c r="A493" s="2">
        <v>44518</v>
      </c>
      <c r="B493" s="3">
        <v>17.59</v>
      </c>
      <c r="C493" s="3">
        <f t="shared" si="30"/>
        <v>17.59</v>
      </c>
      <c r="D493" s="3">
        <v>4704.54</v>
      </c>
      <c r="E493" s="3">
        <f t="shared" si="31"/>
        <v>4704.54</v>
      </c>
      <c r="F493" s="3">
        <f>MAX($E$2:E493)</f>
        <v>4704.54</v>
      </c>
      <c r="G493" s="3">
        <f t="shared" si="28"/>
        <v>0</v>
      </c>
      <c r="I493" s="2">
        <v>44322</v>
      </c>
      <c r="J493" s="3">
        <f>IFERROR(VLOOKUP(I493,$A$1:$G$1610,3,FALSE),J492)</f>
        <v>18.39</v>
      </c>
      <c r="K493" s="3">
        <f>IFERROR(VLOOKUP(I493,$A$1:$G$1610,7,FALSE),K492)</f>
        <v>-0.23388508050634013</v>
      </c>
      <c r="L493" s="5">
        <f t="shared" si="29"/>
        <v>0</v>
      </c>
    </row>
    <row r="494" spans="1:12" x14ac:dyDescent="0.25">
      <c r="A494" s="2">
        <v>44519</v>
      </c>
      <c r="B494" s="3">
        <v>17.91</v>
      </c>
      <c r="C494" s="3">
        <f t="shared" si="30"/>
        <v>17.91</v>
      </c>
      <c r="D494" s="3">
        <v>4697.96</v>
      </c>
      <c r="E494" s="3">
        <f t="shared" si="31"/>
        <v>4697.96</v>
      </c>
      <c r="F494" s="3">
        <f>MAX($E$2:E494)</f>
        <v>4704.54</v>
      </c>
      <c r="G494" s="3">
        <f t="shared" si="28"/>
        <v>-0.13986489646171416</v>
      </c>
      <c r="I494" s="2">
        <v>44323</v>
      </c>
      <c r="J494" s="3">
        <f>IFERROR(VLOOKUP(I494,$A$1:$G$1610,3,FALSE),J493)</f>
        <v>16.690000000000001</v>
      </c>
      <c r="K494" s="3">
        <f>IFERROR(VLOOKUP(I494,$A$1:$G$1610,7,FALSE),K493)</f>
        <v>0</v>
      </c>
      <c r="L494" s="5">
        <f t="shared" si="29"/>
        <v>0</v>
      </c>
    </row>
    <row r="495" spans="1:12" x14ac:dyDescent="0.25">
      <c r="A495" s="2">
        <v>44522</v>
      </c>
      <c r="B495" s="3">
        <v>19.170000000000002</v>
      </c>
      <c r="C495" s="3">
        <f t="shared" si="30"/>
        <v>19.170000000000002</v>
      </c>
      <c r="D495" s="3">
        <v>4682.9399999999996</v>
      </c>
      <c r="E495" s="3">
        <f t="shared" si="31"/>
        <v>4682.9399999999996</v>
      </c>
      <c r="F495" s="3">
        <f>MAX($E$2:E495)</f>
        <v>4704.54</v>
      </c>
      <c r="G495" s="3">
        <f t="shared" si="28"/>
        <v>-0.45913096710837537</v>
      </c>
      <c r="I495" s="2">
        <v>44324</v>
      </c>
      <c r="J495" s="3">
        <f>IFERROR(VLOOKUP(I495,$A$1:$G$1610,3,FALSE),J494)</f>
        <v>16.690000000000001</v>
      </c>
      <c r="K495" s="3">
        <f>IFERROR(VLOOKUP(I495,$A$1:$G$1610,7,FALSE),K494)</f>
        <v>0</v>
      </c>
      <c r="L495" s="5">
        <f t="shared" si="29"/>
        <v>0</v>
      </c>
    </row>
    <row r="496" spans="1:12" x14ac:dyDescent="0.25">
      <c r="A496" s="2">
        <v>44523</v>
      </c>
      <c r="B496" s="3">
        <v>19.38</v>
      </c>
      <c r="C496" s="3">
        <f t="shared" si="30"/>
        <v>19.38</v>
      </c>
      <c r="D496" s="3">
        <v>4690.7</v>
      </c>
      <c r="E496" s="3">
        <f t="shared" si="31"/>
        <v>4690.7</v>
      </c>
      <c r="F496" s="3">
        <f>MAX($E$2:E496)</f>
        <v>4704.54</v>
      </c>
      <c r="G496" s="3">
        <f t="shared" si="28"/>
        <v>-0.29418391596203125</v>
      </c>
      <c r="I496" s="2">
        <v>44325</v>
      </c>
      <c r="J496" s="3">
        <f>IFERROR(VLOOKUP(I496,$A$1:$G$1610,3,FALSE),J495)</f>
        <v>16.690000000000001</v>
      </c>
      <c r="K496" s="3">
        <f>IFERROR(VLOOKUP(I496,$A$1:$G$1610,7,FALSE),K495)</f>
        <v>0</v>
      </c>
      <c r="L496" s="5">
        <f t="shared" si="29"/>
        <v>0</v>
      </c>
    </row>
    <row r="497" spans="1:12" x14ac:dyDescent="0.25">
      <c r="A497" s="2">
        <v>44524</v>
      </c>
      <c r="B497" s="3">
        <v>18.579999999999998</v>
      </c>
      <c r="C497" s="3">
        <f t="shared" si="30"/>
        <v>18.579999999999998</v>
      </c>
      <c r="D497" s="3">
        <v>4701.46</v>
      </c>
      <c r="E497" s="3">
        <f t="shared" si="31"/>
        <v>4701.46</v>
      </c>
      <c r="F497" s="3">
        <f>MAX($E$2:E497)</f>
        <v>4704.54</v>
      </c>
      <c r="G497" s="3">
        <f t="shared" si="28"/>
        <v>-6.5468674939524948E-2</v>
      </c>
      <c r="I497" s="2">
        <v>44326</v>
      </c>
      <c r="J497" s="3">
        <f>IFERROR(VLOOKUP(I497,$A$1:$G$1610,3,FALSE),J496)</f>
        <v>19.66</v>
      </c>
      <c r="K497" s="3">
        <f>IFERROR(VLOOKUP(I497,$A$1:$G$1610,7,FALSE),K496)</f>
        <v>-1.0435666020885523</v>
      </c>
      <c r="L497" s="5">
        <f t="shared" si="29"/>
        <v>0</v>
      </c>
    </row>
    <row r="498" spans="1:12" x14ac:dyDescent="0.25">
      <c r="A498" s="2">
        <v>44525</v>
      </c>
      <c r="C498" s="3">
        <f t="shared" si="30"/>
        <v>18.579999999999998</v>
      </c>
      <c r="E498" s="3">
        <f t="shared" si="31"/>
        <v>4701.46</v>
      </c>
      <c r="F498" s="3">
        <f>MAX($E$2:E498)</f>
        <v>4704.54</v>
      </c>
      <c r="G498" s="3">
        <f t="shared" si="28"/>
        <v>-6.5468674939524948E-2</v>
      </c>
      <c r="I498" s="2">
        <v>44327</v>
      </c>
      <c r="J498" s="3">
        <f>IFERROR(VLOOKUP(I498,$A$1:$G$1610,3,FALSE),J497)</f>
        <v>21.84</v>
      </c>
      <c r="K498" s="3">
        <f>IFERROR(VLOOKUP(I498,$A$1:$G$1610,7,FALSE),K497)</f>
        <v>-1.9019042668808768</v>
      </c>
      <c r="L498" s="5">
        <f t="shared" si="29"/>
        <v>0</v>
      </c>
    </row>
    <row r="499" spans="1:12" x14ac:dyDescent="0.25">
      <c r="A499" s="2">
        <v>44526</v>
      </c>
      <c r="B499" s="3">
        <v>28.62</v>
      </c>
      <c r="C499" s="3">
        <f t="shared" si="30"/>
        <v>28.62</v>
      </c>
      <c r="D499" s="3">
        <v>4594.62</v>
      </c>
      <c r="E499" s="3">
        <f t="shared" si="31"/>
        <v>4594.62</v>
      </c>
      <c r="F499" s="3">
        <f>MAX($E$2:E499)</f>
        <v>4704.54</v>
      </c>
      <c r="G499" s="3">
        <f t="shared" si="28"/>
        <v>-2.3364664770625838</v>
      </c>
      <c r="I499" s="2">
        <v>44328</v>
      </c>
      <c r="J499" s="3">
        <f>IFERROR(VLOOKUP(I499,$A$1:$G$1610,3,FALSE),J498)</f>
        <v>27.59</v>
      </c>
      <c r="K499" s="3">
        <f>IFERROR(VLOOKUP(I499,$A$1:$G$1610,7,FALSE),K498)</f>
        <v>-4.0060482918300906</v>
      </c>
      <c r="L499" s="5">
        <f t="shared" si="29"/>
        <v>0</v>
      </c>
    </row>
    <row r="500" spans="1:12" x14ac:dyDescent="0.25">
      <c r="A500" s="2">
        <v>44529</v>
      </c>
      <c r="B500" s="3">
        <v>22.96</v>
      </c>
      <c r="C500" s="3">
        <f t="shared" si="30"/>
        <v>22.96</v>
      </c>
      <c r="D500" s="3">
        <v>4655.2700000000004</v>
      </c>
      <c r="E500" s="3">
        <f t="shared" si="31"/>
        <v>4655.2700000000004</v>
      </c>
      <c r="F500" s="3">
        <f>MAX($E$2:E500)</f>
        <v>4704.54</v>
      </c>
      <c r="G500" s="3">
        <f t="shared" si="28"/>
        <v>-1.0472862383994934</v>
      </c>
      <c r="I500" s="2">
        <v>44329</v>
      </c>
      <c r="J500" s="3">
        <f>IFERROR(VLOOKUP(I500,$A$1:$G$1610,3,FALSE),J499)</f>
        <v>23.13</v>
      </c>
      <c r="K500" s="3">
        <f>IFERROR(VLOOKUP(I500,$A$1:$G$1610,7,FALSE),K499)</f>
        <v>-2.8374994093465093</v>
      </c>
      <c r="L500" s="5">
        <f t="shared" si="29"/>
        <v>0</v>
      </c>
    </row>
    <row r="501" spans="1:12" x14ac:dyDescent="0.25">
      <c r="A501" s="2">
        <v>44530</v>
      </c>
      <c r="B501" s="3">
        <v>27.19</v>
      </c>
      <c r="C501" s="3">
        <f t="shared" si="30"/>
        <v>27.19</v>
      </c>
      <c r="D501" s="3">
        <v>4567</v>
      </c>
      <c r="E501" s="3">
        <f t="shared" si="31"/>
        <v>4567</v>
      </c>
      <c r="F501" s="3">
        <f>MAX($E$2:E501)</f>
        <v>4704.54</v>
      </c>
      <c r="G501" s="3">
        <f t="shared" si="28"/>
        <v>-2.9235589451891144</v>
      </c>
      <c r="I501" s="2">
        <v>44330</v>
      </c>
      <c r="J501" s="3">
        <f>IFERROR(VLOOKUP(I501,$A$1:$G$1610,3,FALSE),J500)</f>
        <v>18.809999999999999</v>
      </c>
      <c r="K501" s="3">
        <f>IFERROR(VLOOKUP(I501,$A$1:$G$1610,7,FALSE),K500)</f>
        <v>-1.3880357227236213</v>
      </c>
      <c r="L501" s="5">
        <f t="shared" si="29"/>
        <v>0</v>
      </c>
    </row>
    <row r="502" spans="1:12" x14ac:dyDescent="0.25">
      <c r="A502" s="2">
        <v>44531</v>
      </c>
      <c r="B502" s="3">
        <v>31.12</v>
      </c>
      <c r="C502" s="3">
        <f t="shared" si="30"/>
        <v>31.12</v>
      </c>
      <c r="D502" s="3">
        <v>4513.04</v>
      </c>
      <c r="E502" s="3">
        <f t="shared" si="31"/>
        <v>4513.04</v>
      </c>
      <c r="F502" s="3">
        <f>MAX($E$2:E502)</f>
        <v>4704.54</v>
      </c>
      <c r="G502" s="3">
        <f t="shared" si="28"/>
        <v>-4.0705361204283523</v>
      </c>
      <c r="I502" s="2">
        <v>44331</v>
      </c>
      <c r="J502" s="3">
        <f>IFERROR(VLOOKUP(I502,$A$1:$G$1610,3,FALSE),J501)</f>
        <v>18.809999999999999</v>
      </c>
      <c r="K502" s="3">
        <f>IFERROR(VLOOKUP(I502,$A$1:$G$1610,7,FALSE),K501)</f>
        <v>-1.3880357227236213</v>
      </c>
      <c r="L502" s="5">
        <f t="shared" si="29"/>
        <v>0</v>
      </c>
    </row>
    <row r="503" spans="1:12" x14ac:dyDescent="0.25">
      <c r="A503" s="2">
        <v>44532</v>
      </c>
      <c r="B503" s="3">
        <v>27.95</v>
      </c>
      <c r="C503" s="3">
        <f t="shared" si="30"/>
        <v>27.95</v>
      </c>
      <c r="D503" s="3">
        <v>4577.1000000000004</v>
      </c>
      <c r="E503" s="3">
        <f t="shared" si="31"/>
        <v>4577.1000000000004</v>
      </c>
      <c r="F503" s="3">
        <f>MAX($E$2:E503)</f>
        <v>4704.54</v>
      </c>
      <c r="G503" s="3">
        <f t="shared" si="28"/>
        <v>-2.7088727059393607</v>
      </c>
      <c r="I503" s="2">
        <v>44332</v>
      </c>
      <c r="J503" s="3">
        <f>IFERROR(VLOOKUP(I503,$A$1:$G$1610,3,FALSE),J502)</f>
        <v>18.809999999999999</v>
      </c>
      <c r="K503" s="3">
        <f>IFERROR(VLOOKUP(I503,$A$1:$G$1610,7,FALSE),K502)</f>
        <v>-1.3880357227236213</v>
      </c>
      <c r="L503" s="5">
        <f t="shared" si="29"/>
        <v>0</v>
      </c>
    </row>
    <row r="504" spans="1:12" x14ac:dyDescent="0.25">
      <c r="A504" s="2">
        <v>44533</v>
      </c>
      <c r="B504" s="3">
        <v>30.67</v>
      </c>
      <c r="C504" s="3">
        <f t="shared" si="30"/>
        <v>30.67</v>
      </c>
      <c r="D504" s="3">
        <v>4538.43</v>
      </c>
      <c r="E504" s="3">
        <f t="shared" si="31"/>
        <v>4538.43</v>
      </c>
      <c r="F504" s="3">
        <f>MAX($E$2:E504)</f>
        <v>4704.54</v>
      </c>
      <c r="G504" s="3">
        <f t="shared" si="28"/>
        <v>-3.5308446734430925</v>
      </c>
      <c r="I504" s="2">
        <v>44333</v>
      </c>
      <c r="J504" s="3">
        <f>IFERROR(VLOOKUP(I504,$A$1:$G$1610,3,FALSE),J503)</f>
        <v>19.72</v>
      </c>
      <c r="K504" s="3">
        <f>IFERROR(VLOOKUP(I504,$A$1:$G$1610,7,FALSE),K503)</f>
        <v>-1.6375277607144638</v>
      </c>
      <c r="L504" s="5">
        <f t="shared" si="29"/>
        <v>0</v>
      </c>
    </row>
    <row r="505" spans="1:12" x14ac:dyDescent="0.25">
      <c r="A505" s="2">
        <v>44536</v>
      </c>
      <c r="B505" s="3">
        <v>27.18</v>
      </c>
      <c r="C505" s="3">
        <f t="shared" si="30"/>
        <v>27.18</v>
      </c>
      <c r="D505" s="3">
        <v>4591.67</v>
      </c>
      <c r="E505" s="3">
        <f t="shared" si="31"/>
        <v>4591.67</v>
      </c>
      <c r="F505" s="3">
        <f>MAX($E$2:E505)</f>
        <v>4704.54</v>
      </c>
      <c r="G505" s="3">
        <f t="shared" si="28"/>
        <v>-2.3991718637741393</v>
      </c>
      <c r="I505" s="2">
        <v>44334</v>
      </c>
      <c r="J505" s="3">
        <f>IFERROR(VLOOKUP(I505,$A$1:$G$1610,3,FALSE),J504)</f>
        <v>21.34</v>
      </c>
      <c r="K505" s="3">
        <f>IFERROR(VLOOKUP(I505,$A$1:$G$1610,7,FALSE),K504)</f>
        <v>-2.4753106837405006</v>
      </c>
      <c r="L505" s="5">
        <f t="shared" si="29"/>
        <v>0</v>
      </c>
    </row>
    <row r="506" spans="1:12" x14ac:dyDescent="0.25">
      <c r="A506" s="2">
        <v>44537</v>
      </c>
      <c r="B506" s="3">
        <v>21.89</v>
      </c>
      <c r="C506" s="3">
        <f t="shared" si="30"/>
        <v>21.89</v>
      </c>
      <c r="D506" s="3">
        <v>4686.75</v>
      </c>
      <c r="E506" s="3">
        <f t="shared" si="31"/>
        <v>4686.75</v>
      </c>
      <c r="F506" s="3">
        <f>MAX($E$2:E506)</f>
        <v>4704.54</v>
      </c>
      <c r="G506" s="3">
        <f t="shared" si="28"/>
        <v>-0.37814536596564091</v>
      </c>
      <c r="I506" s="2">
        <v>44335</v>
      </c>
      <c r="J506" s="3">
        <f>IFERROR(VLOOKUP(I506,$A$1:$G$1610,3,FALSE),J505)</f>
        <v>22.18</v>
      </c>
      <c r="K506" s="3">
        <f>IFERROR(VLOOKUP(I506,$A$1:$G$1610,7,FALSE),K505)</f>
        <v>-2.7623682842697175</v>
      </c>
      <c r="L506" s="5">
        <f t="shared" si="29"/>
        <v>0</v>
      </c>
    </row>
    <row r="507" spans="1:12" x14ac:dyDescent="0.25">
      <c r="A507" s="2">
        <v>44538</v>
      </c>
      <c r="B507" s="3">
        <v>19.899999999999999</v>
      </c>
      <c r="C507" s="3">
        <f t="shared" si="30"/>
        <v>19.899999999999999</v>
      </c>
      <c r="D507" s="3">
        <v>4701.21</v>
      </c>
      <c r="E507" s="3">
        <f t="shared" si="31"/>
        <v>4701.21</v>
      </c>
      <c r="F507" s="3">
        <f>MAX($E$2:E507)</f>
        <v>4704.54</v>
      </c>
      <c r="G507" s="3">
        <f t="shared" si="28"/>
        <v>-7.0782690762538472E-2</v>
      </c>
      <c r="I507" s="2">
        <v>44336</v>
      </c>
      <c r="J507" s="3">
        <f>IFERROR(VLOOKUP(I507,$A$1:$G$1610,3,FALSE),J506)</f>
        <v>20.67</v>
      </c>
      <c r="K507" s="3">
        <f>IFERROR(VLOOKUP(I507,$A$1:$G$1610,7,FALSE),K506)</f>
        <v>-1.7360487643528912</v>
      </c>
      <c r="L507" s="5">
        <f t="shared" si="29"/>
        <v>0</v>
      </c>
    </row>
    <row r="508" spans="1:12" x14ac:dyDescent="0.25">
      <c r="A508" s="2">
        <v>44539</v>
      </c>
      <c r="B508" s="3">
        <v>21.58</v>
      </c>
      <c r="C508" s="3">
        <f t="shared" si="30"/>
        <v>21.58</v>
      </c>
      <c r="D508" s="3">
        <v>4667.45</v>
      </c>
      <c r="E508" s="3">
        <f t="shared" si="31"/>
        <v>4667.45</v>
      </c>
      <c r="F508" s="3">
        <f>MAX($E$2:E508)</f>
        <v>4704.54</v>
      </c>
      <c r="G508" s="3">
        <f t="shared" si="28"/>
        <v>-0.78838738750228821</v>
      </c>
      <c r="I508" s="2">
        <v>44337</v>
      </c>
      <c r="J508" s="3">
        <f>IFERROR(VLOOKUP(I508,$A$1:$G$1610,3,FALSE),J507)</f>
        <v>20.149999999999999</v>
      </c>
      <c r="K508" s="3">
        <f>IFERROR(VLOOKUP(I508,$A$1:$G$1610,7,FALSE),K507)</f>
        <v>-1.8130699806265815</v>
      </c>
      <c r="L508" s="5">
        <f t="shared" si="29"/>
        <v>0</v>
      </c>
    </row>
    <row r="509" spans="1:12" x14ac:dyDescent="0.25">
      <c r="A509" s="2">
        <v>44540</v>
      </c>
      <c r="B509" s="3">
        <v>18.690000000000001</v>
      </c>
      <c r="C509" s="3">
        <f t="shared" si="30"/>
        <v>18.690000000000001</v>
      </c>
      <c r="D509" s="3">
        <v>4712.0200000000004</v>
      </c>
      <c r="E509" s="3">
        <f t="shared" si="31"/>
        <v>4712.0200000000004</v>
      </c>
      <c r="F509" s="3">
        <f>MAX($E$2:E509)</f>
        <v>4712.0200000000004</v>
      </c>
      <c r="G509" s="3">
        <f t="shared" si="28"/>
        <v>0</v>
      </c>
      <c r="I509" s="2">
        <v>44338</v>
      </c>
      <c r="J509" s="3">
        <f>IFERROR(VLOOKUP(I509,$A$1:$G$1610,3,FALSE),J508)</f>
        <v>20.149999999999999</v>
      </c>
      <c r="K509" s="3">
        <f>IFERROR(VLOOKUP(I509,$A$1:$G$1610,7,FALSE),K508)</f>
        <v>-1.8130699806265815</v>
      </c>
      <c r="L509" s="5">
        <f t="shared" si="29"/>
        <v>0</v>
      </c>
    </row>
    <row r="510" spans="1:12" x14ac:dyDescent="0.25">
      <c r="A510" s="2">
        <v>44543</v>
      </c>
      <c r="B510" s="3">
        <v>20.309999999999999</v>
      </c>
      <c r="C510" s="3">
        <f t="shared" si="30"/>
        <v>20.309999999999999</v>
      </c>
      <c r="D510" s="3">
        <v>4668.97</v>
      </c>
      <c r="E510" s="3">
        <f t="shared" si="31"/>
        <v>4668.97</v>
      </c>
      <c r="F510" s="3">
        <f>MAX($E$2:E510)</f>
        <v>4712.0200000000004</v>
      </c>
      <c r="G510" s="3">
        <f t="shared" si="28"/>
        <v>-0.91362090992822986</v>
      </c>
      <c r="I510" s="2">
        <v>44339</v>
      </c>
      <c r="J510" s="3">
        <f>IFERROR(VLOOKUP(I510,$A$1:$G$1610,3,FALSE),J509)</f>
        <v>20.149999999999999</v>
      </c>
      <c r="K510" s="3">
        <f>IFERROR(VLOOKUP(I510,$A$1:$G$1610,7,FALSE),K509)</f>
        <v>-1.8130699806265815</v>
      </c>
      <c r="L510" s="5">
        <f t="shared" si="29"/>
        <v>0</v>
      </c>
    </row>
    <row r="511" spans="1:12" x14ac:dyDescent="0.25">
      <c r="A511" s="2">
        <v>44544</v>
      </c>
      <c r="B511" s="3">
        <v>21.89</v>
      </c>
      <c r="C511" s="3">
        <f t="shared" si="30"/>
        <v>21.89</v>
      </c>
      <c r="D511" s="3">
        <v>4634.09</v>
      </c>
      <c r="E511" s="3">
        <f t="shared" si="31"/>
        <v>4634.09</v>
      </c>
      <c r="F511" s="3">
        <f>MAX($E$2:E511)</f>
        <v>4712.0200000000004</v>
      </c>
      <c r="G511" s="3">
        <f t="shared" si="28"/>
        <v>-1.6538554590175822</v>
      </c>
      <c r="I511" s="2">
        <v>44340</v>
      </c>
      <c r="J511" s="3">
        <f>IFERROR(VLOOKUP(I511,$A$1:$G$1610,3,FALSE),J510)</f>
        <v>18.399999999999999</v>
      </c>
      <c r="K511" s="3">
        <f>IFERROR(VLOOKUP(I511,$A$1:$G$1610,7,FALSE),K510)</f>
        <v>-0.83990927562255302</v>
      </c>
      <c r="L511" s="5">
        <f t="shared" si="29"/>
        <v>0</v>
      </c>
    </row>
    <row r="512" spans="1:12" x14ac:dyDescent="0.25">
      <c r="A512" s="2">
        <v>44545</v>
      </c>
      <c r="B512" s="3">
        <v>19.29</v>
      </c>
      <c r="C512" s="3">
        <f t="shared" si="30"/>
        <v>19.29</v>
      </c>
      <c r="D512" s="3">
        <v>4709.8500000000004</v>
      </c>
      <c r="E512" s="3">
        <f t="shared" si="31"/>
        <v>4709.8500000000004</v>
      </c>
      <c r="F512" s="3">
        <f>MAX($E$2:E512)</f>
        <v>4712.0200000000004</v>
      </c>
      <c r="G512" s="3">
        <f t="shared" si="28"/>
        <v>-4.6052436110204806E-2</v>
      </c>
      <c r="I512" s="2">
        <v>44341</v>
      </c>
      <c r="J512" s="3">
        <f>IFERROR(VLOOKUP(I512,$A$1:$G$1610,3,FALSE),J511)</f>
        <v>18.84</v>
      </c>
      <c r="K512" s="3">
        <f>IFERROR(VLOOKUP(I512,$A$1:$G$1610,7,FALSE),K511)</f>
        <v>-1.0506544440769328</v>
      </c>
      <c r="L512" s="5">
        <f t="shared" si="29"/>
        <v>0</v>
      </c>
    </row>
    <row r="513" spans="1:12" x14ac:dyDescent="0.25">
      <c r="A513" s="2">
        <v>44546</v>
      </c>
      <c r="B513" s="3">
        <v>20.57</v>
      </c>
      <c r="C513" s="3">
        <f t="shared" si="30"/>
        <v>20.57</v>
      </c>
      <c r="D513" s="3">
        <v>4668.67</v>
      </c>
      <c r="E513" s="3">
        <f t="shared" si="31"/>
        <v>4668.67</v>
      </c>
      <c r="F513" s="3">
        <f>MAX($E$2:E513)</f>
        <v>4712.0200000000004</v>
      </c>
      <c r="G513" s="3">
        <f t="shared" si="28"/>
        <v>-0.91998760616466735</v>
      </c>
      <c r="I513" s="2">
        <v>44342</v>
      </c>
      <c r="J513" s="3">
        <f>IFERROR(VLOOKUP(I513,$A$1:$G$1610,3,FALSE),J512)</f>
        <v>17.36</v>
      </c>
      <c r="K513" s="3">
        <f>IFERROR(VLOOKUP(I513,$A$1:$G$1610,7,FALSE),K512)</f>
        <v>-0.86495298398149079</v>
      </c>
      <c r="L513" s="5">
        <f t="shared" si="29"/>
        <v>0</v>
      </c>
    </row>
    <row r="514" spans="1:12" x14ac:dyDescent="0.25">
      <c r="A514" s="2">
        <v>44547</v>
      </c>
      <c r="B514" s="3">
        <v>21.57</v>
      </c>
      <c r="C514" s="3">
        <f t="shared" si="30"/>
        <v>21.57</v>
      </c>
      <c r="D514" s="3">
        <v>4620.6400000000003</v>
      </c>
      <c r="E514" s="3">
        <f t="shared" si="31"/>
        <v>4620.6400000000003</v>
      </c>
      <c r="F514" s="3">
        <f>MAX($E$2:E514)</f>
        <v>4712.0200000000004</v>
      </c>
      <c r="G514" s="3">
        <f t="shared" ref="G514:G577" si="32">(E514-F514)/F514*100</f>
        <v>-1.9392956736176863</v>
      </c>
      <c r="I514" s="2">
        <v>44343</v>
      </c>
      <c r="J514" s="3">
        <f>IFERROR(VLOOKUP(I514,$A$1:$G$1610,3,FALSE),J513)</f>
        <v>16.739999999999998</v>
      </c>
      <c r="K514" s="3">
        <f>IFERROR(VLOOKUP(I514,$A$1:$G$1610,7,FALSE),K513)</f>
        <v>-0.74942115957095523</v>
      </c>
      <c r="L514" s="5">
        <f t="shared" ref="L514:L577" si="33">IF(OR(J514&gt;=30,K514&lt;-10),1,0)</f>
        <v>0</v>
      </c>
    </row>
    <row r="515" spans="1:12" x14ac:dyDescent="0.25">
      <c r="A515" s="2">
        <v>44550</v>
      </c>
      <c r="B515" s="3">
        <v>22.87</v>
      </c>
      <c r="C515" s="3">
        <f t="shared" ref="C515:C578" si="34">IF(B515="",B514,B515)</f>
        <v>22.87</v>
      </c>
      <c r="D515" s="3">
        <v>4568.0200000000004</v>
      </c>
      <c r="E515" s="3">
        <f t="shared" si="31"/>
        <v>4568.0200000000004</v>
      </c>
      <c r="F515" s="3">
        <f>MAX($E$2:E515)</f>
        <v>4712.0200000000004</v>
      </c>
      <c r="G515" s="3">
        <f t="shared" si="32"/>
        <v>-3.0560141934881426</v>
      </c>
      <c r="I515" s="2">
        <v>44344</v>
      </c>
      <c r="J515" s="3">
        <f>IFERROR(VLOOKUP(I515,$A$1:$G$1610,3,FALSE),J514)</f>
        <v>16.760000000000002</v>
      </c>
      <c r="K515" s="3">
        <f>IFERROR(VLOOKUP(I515,$A$1:$G$1610,7,FALSE),K514)</f>
        <v>-0.67310872749611794</v>
      </c>
      <c r="L515" s="5">
        <f t="shared" si="33"/>
        <v>0</v>
      </c>
    </row>
    <row r="516" spans="1:12" x14ac:dyDescent="0.25">
      <c r="A516" s="2">
        <v>44551</v>
      </c>
      <c r="B516" s="3">
        <v>21.01</v>
      </c>
      <c r="C516" s="3">
        <f t="shared" si="34"/>
        <v>21.01</v>
      </c>
      <c r="D516" s="3">
        <v>4649.2299999999996</v>
      </c>
      <c r="E516" s="3">
        <f t="shared" si="31"/>
        <v>4649.2299999999996</v>
      </c>
      <c r="F516" s="3">
        <f>MAX($E$2:E516)</f>
        <v>4712.0200000000004</v>
      </c>
      <c r="G516" s="3">
        <f t="shared" si="32"/>
        <v>-1.3325495222855774</v>
      </c>
      <c r="I516" s="2">
        <v>44345</v>
      </c>
      <c r="J516" s="3">
        <f>IFERROR(VLOOKUP(I516,$A$1:$G$1610,3,FALSE),J515)</f>
        <v>16.760000000000002</v>
      </c>
      <c r="K516" s="3">
        <f>IFERROR(VLOOKUP(I516,$A$1:$G$1610,7,FALSE),K515)</f>
        <v>-0.67310872749611794</v>
      </c>
      <c r="L516" s="5">
        <f t="shared" si="33"/>
        <v>0</v>
      </c>
    </row>
    <row r="517" spans="1:12" x14ac:dyDescent="0.25">
      <c r="A517" s="2">
        <v>44552</v>
      </c>
      <c r="B517" s="3">
        <v>18.63</v>
      </c>
      <c r="C517" s="3">
        <f t="shared" si="34"/>
        <v>18.63</v>
      </c>
      <c r="D517" s="3">
        <v>4696.5600000000004</v>
      </c>
      <c r="E517" s="3">
        <f t="shared" ref="E517:E580" si="35">IF(D517="",D516,D517)</f>
        <v>4696.5600000000004</v>
      </c>
      <c r="F517" s="3">
        <f>MAX($E$2:E517)</f>
        <v>4712.0200000000004</v>
      </c>
      <c r="G517" s="3">
        <f t="shared" si="32"/>
        <v>-0.3280970793842139</v>
      </c>
      <c r="I517" s="2">
        <v>44346</v>
      </c>
      <c r="J517" s="3">
        <f>IFERROR(VLOOKUP(I517,$A$1:$G$1610,3,FALSE),J516)</f>
        <v>16.760000000000002</v>
      </c>
      <c r="K517" s="3">
        <f>IFERROR(VLOOKUP(I517,$A$1:$G$1610,7,FALSE),K516)</f>
        <v>-0.67310872749611794</v>
      </c>
      <c r="L517" s="5">
        <f t="shared" si="33"/>
        <v>0</v>
      </c>
    </row>
    <row r="518" spans="1:12" x14ac:dyDescent="0.25">
      <c r="A518" s="2">
        <v>44553</v>
      </c>
      <c r="B518" s="3">
        <v>17.96</v>
      </c>
      <c r="C518" s="3">
        <f t="shared" si="34"/>
        <v>17.96</v>
      </c>
      <c r="D518" s="3">
        <v>4725.79</v>
      </c>
      <c r="E518" s="3">
        <f t="shared" si="35"/>
        <v>4725.79</v>
      </c>
      <c r="F518" s="3">
        <f>MAX($E$2:E518)</f>
        <v>4725.79</v>
      </c>
      <c r="G518" s="3">
        <f t="shared" si="32"/>
        <v>0</v>
      </c>
      <c r="I518" s="2">
        <v>44347</v>
      </c>
      <c r="J518" s="3">
        <f>IFERROR(VLOOKUP(I518,$A$1:$G$1610,3,FALSE),J517)</f>
        <v>16.760000000000002</v>
      </c>
      <c r="K518" s="3">
        <f>IFERROR(VLOOKUP(I518,$A$1:$G$1610,7,FALSE),K517)</f>
        <v>-0.67310872749611794</v>
      </c>
      <c r="L518" s="5">
        <f t="shared" si="33"/>
        <v>0</v>
      </c>
    </row>
    <row r="519" spans="1:12" x14ac:dyDescent="0.25">
      <c r="A519" s="2">
        <v>44554</v>
      </c>
      <c r="C519" s="3">
        <f t="shared" si="34"/>
        <v>17.96</v>
      </c>
      <c r="E519" s="3">
        <f t="shared" si="35"/>
        <v>4725.79</v>
      </c>
      <c r="F519" s="3">
        <f>MAX($E$2:E519)</f>
        <v>4725.79</v>
      </c>
      <c r="G519" s="3">
        <f t="shared" si="32"/>
        <v>0</v>
      </c>
      <c r="I519" s="2">
        <v>44348</v>
      </c>
      <c r="J519" s="3">
        <f>IFERROR(VLOOKUP(I519,$A$1:$G$1610,3,FALSE),J518)</f>
        <v>17.899999999999999</v>
      </c>
      <c r="K519" s="3">
        <f>IFERROR(VLOOKUP(I519,$A$1:$G$1610,7,FALSE),K518)</f>
        <v>-0.72201483721590509</v>
      </c>
      <c r="L519" s="5">
        <f t="shared" si="33"/>
        <v>0</v>
      </c>
    </row>
    <row r="520" spans="1:12" x14ac:dyDescent="0.25">
      <c r="A520" s="2">
        <v>44557</v>
      </c>
      <c r="B520" s="3">
        <v>17.68</v>
      </c>
      <c r="C520" s="3">
        <f t="shared" si="34"/>
        <v>17.68</v>
      </c>
      <c r="D520" s="3">
        <v>4791.1899999999996</v>
      </c>
      <c r="E520" s="3">
        <f t="shared" si="35"/>
        <v>4791.1899999999996</v>
      </c>
      <c r="F520" s="3">
        <f>MAX($E$2:E520)</f>
        <v>4791.1899999999996</v>
      </c>
      <c r="G520" s="3">
        <f t="shared" si="32"/>
        <v>0</v>
      </c>
      <c r="I520" s="2">
        <v>44349</v>
      </c>
      <c r="J520" s="3">
        <f>IFERROR(VLOOKUP(I520,$A$1:$G$1610,3,FALSE),J519)</f>
        <v>17.48</v>
      </c>
      <c r="K520" s="3">
        <f>IFERROR(VLOOKUP(I520,$A$1:$G$1610,7,FALSE),K519)</f>
        <v>-0.57836790625148782</v>
      </c>
      <c r="L520" s="5">
        <f t="shared" si="33"/>
        <v>0</v>
      </c>
    </row>
    <row r="521" spans="1:12" x14ac:dyDescent="0.25">
      <c r="A521" s="2">
        <v>44558</v>
      </c>
      <c r="B521" s="3">
        <v>17.54</v>
      </c>
      <c r="C521" s="3">
        <f t="shared" si="34"/>
        <v>17.54</v>
      </c>
      <c r="D521" s="3">
        <v>4786.3500000000004</v>
      </c>
      <c r="E521" s="3">
        <f t="shared" si="35"/>
        <v>4786.3500000000004</v>
      </c>
      <c r="F521" s="3">
        <f>MAX($E$2:E521)</f>
        <v>4791.1899999999996</v>
      </c>
      <c r="G521" s="3">
        <f t="shared" si="32"/>
        <v>-0.10101874482120801</v>
      </c>
      <c r="I521" s="2">
        <v>44350</v>
      </c>
      <c r="J521" s="3">
        <f>IFERROR(VLOOKUP(I521,$A$1:$G$1610,3,FALSE),J520)</f>
        <v>18.04</v>
      </c>
      <c r="K521" s="3">
        <f>IFERROR(VLOOKUP(I521,$A$1:$G$1610,7,FALSE),K520)</f>
        <v>-0.9391390634598118</v>
      </c>
      <c r="L521" s="5">
        <f t="shared" si="33"/>
        <v>0</v>
      </c>
    </row>
    <row r="522" spans="1:12" x14ac:dyDescent="0.25">
      <c r="A522" s="2">
        <v>44559</v>
      </c>
      <c r="B522" s="3">
        <v>16.95</v>
      </c>
      <c r="C522" s="3">
        <f t="shared" si="34"/>
        <v>16.95</v>
      </c>
      <c r="D522" s="3">
        <v>4793.0600000000004</v>
      </c>
      <c r="E522" s="3">
        <f t="shared" si="35"/>
        <v>4793.0600000000004</v>
      </c>
      <c r="F522" s="3">
        <f>MAX($E$2:E522)</f>
        <v>4793.0600000000004</v>
      </c>
      <c r="G522" s="3">
        <f t="shared" si="32"/>
        <v>0</v>
      </c>
      <c r="I522" s="2">
        <v>44351</v>
      </c>
      <c r="J522" s="3">
        <f>IFERROR(VLOOKUP(I522,$A$1:$G$1610,3,FALSE),J521)</f>
        <v>16.420000000000002</v>
      </c>
      <c r="K522" s="3">
        <f>IFERROR(VLOOKUP(I522,$A$1:$G$1610,7,FALSE),K521)</f>
        <v>-6.4026839294996835E-2</v>
      </c>
      <c r="L522" s="5">
        <f t="shared" si="33"/>
        <v>0</v>
      </c>
    </row>
    <row r="523" spans="1:12" x14ac:dyDescent="0.25">
      <c r="A523" s="2">
        <v>44560</v>
      </c>
      <c r="B523" s="3">
        <v>17.329999999999998</v>
      </c>
      <c r="C523" s="3">
        <f t="shared" si="34"/>
        <v>17.329999999999998</v>
      </c>
      <c r="D523" s="3">
        <v>4778.7299999999996</v>
      </c>
      <c r="E523" s="3">
        <f t="shared" si="35"/>
        <v>4778.7299999999996</v>
      </c>
      <c r="F523" s="3">
        <f>MAX($E$2:E523)</f>
        <v>4793.0600000000004</v>
      </c>
      <c r="G523" s="3">
        <f t="shared" si="32"/>
        <v>-0.29897393314502291</v>
      </c>
      <c r="I523" s="2">
        <v>44352</v>
      </c>
      <c r="J523" s="3">
        <f>IFERROR(VLOOKUP(I523,$A$1:$G$1610,3,FALSE),J522)</f>
        <v>16.420000000000002</v>
      </c>
      <c r="K523" s="3">
        <f>IFERROR(VLOOKUP(I523,$A$1:$G$1610,7,FALSE),K522)</f>
        <v>-6.4026839294996835E-2</v>
      </c>
      <c r="L523" s="5">
        <f t="shared" si="33"/>
        <v>0</v>
      </c>
    </row>
    <row r="524" spans="1:12" x14ac:dyDescent="0.25">
      <c r="A524" s="2">
        <v>44561</v>
      </c>
      <c r="B524" s="3">
        <v>17.22</v>
      </c>
      <c r="C524" s="3">
        <f t="shared" si="34"/>
        <v>17.22</v>
      </c>
      <c r="D524" s="3">
        <v>4766.18</v>
      </c>
      <c r="E524" s="3">
        <f t="shared" si="35"/>
        <v>4766.18</v>
      </c>
      <c r="F524" s="3">
        <f>MAX($E$2:E524)</f>
        <v>4793.0600000000004</v>
      </c>
      <c r="G524" s="3">
        <f t="shared" si="32"/>
        <v>-0.56081083900472983</v>
      </c>
      <c r="I524" s="2">
        <v>44353</v>
      </c>
      <c r="J524" s="3">
        <f>IFERROR(VLOOKUP(I524,$A$1:$G$1610,3,FALSE),J523)</f>
        <v>16.420000000000002</v>
      </c>
      <c r="K524" s="3">
        <f>IFERROR(VLOOKUP(I524,$A$1:$G$1610,7,FALSE),K523)</f>
        <v>-6.4026839294996835E-2</v>
      </c>
      <c r="L524" s="5">
        <f t="shared" si="33"/>
        <v>0</v>
      </c>
    </row>
    <row r="525" spans="1:12" x14ac:dyDescent="0.25">
      <c r="A525" s="2">
        <v>44564</v>
      </c>
      <c r="B525" s="3">
        <v>16.600000000000001</v>
      </c>
      <c r="C525" s="3">
        <f t="shared" si="34"/>
        <v>16.600000000000001</v>
      </c>
      <c r="D525" s="3">
        <v>4796.5600000000004</v>
      </c>
      <c r="E525" s="3">
        <f t="shared" si="35"/>
        <v>4796.5600000000004</v>
      </c>
      <c r="F525" s="3">
        <f>MAX($E$2:E525)</f>
        <v>4796.5600000000004</v>
      </c>
      <c r="G525" s="3">
        <f t="shared" si="32"/>
        <v>0</v>
      </c>
      <c r="I525" s="2">
        <v>44354</v>
      </c>
      <c r="J525" s="3">
        <f>IFERROR(VLOOKUP(I525,$A$1:$G$1610,3,FALSE),J524)</f>
        <v>16.420000000000002</v>
      </c>
      <c r="K525" s="3">
        <f>IFERROR(VLOOKUP(I525,$A$1:$G$1610,7,FALSE),K524)</f>
        <v>-0.1436469309644173</v>
      </c>
      <c r="L525" s="5">
        <f t="shared" si="33"/>
        <v>0</v>
      </c>
    </row>
    <row r="526" spans="1:12" x14ac:dyDescent="0.25">
      <c r="A526" s="2">
        <v>44565</v>
      </c>
      <c r="B526" s="3">
        <v>16.91</v>
      </c>
      <c r="C526" s="3">
        <f t="shared" si="34"/>
        <v>16.91</v>
      </c>
      <c r="D526" s="3">
        <v>4793.54</v>
      </c>
      <c r="E526" s="3">
        <f t="shared" si="35"/>
        <v>4793.54</v>
      </c>
      <c r="F526" s="3">
        <f>MAX($E$2:E526)</f>
        <v>4796.5600000000004</v>
      </c>
      <c r="G526" s="3">
        <f t="shared" si="32"/>
        <v>-6.2961789282328082E-2</v>
      </c>
      <c r="I526" s="2">
        <v>44355</v>
      </c>
      <c r="J526" s="3">
        <f>IFERROR(VLOOKUP(I526,$A$1:$G$1610,3,FALSE),J525)</f>
        <v>17.07</v>
      </c>
      <c r="K526" s="3">
        <f>IFERROR(VLOOKUP(I526,$A$1:$G$1610,7,FALSE),K525)</f>
        <v>-0.12616358739309513</v>
      </c>
      <c r="L526" s="5">
        <f t="shared" si="33"/>
        <v>0</v>
      </c>
    </row>
    <row r="527" spans="1:12" x14ac:dyDescent="0.25">
      <c r="A527" s="2">
        <v>44566</v>
      </c>
      <c r="B527" s="3">
        <v>19.73</v>
      </c>
      <c r="C527" s="3">
        <f t="shared" si="34"/>
        <v>19.73</v>
      </c>
      <c r="D527" s="3">
        <v>4700.58</v>
      </c>
      <c r="E527" s="3">
        <f t="shared" si="35"/>
        <v>4700.58</v>
      </c>
      <c r="F527" s="3">
        <f>MAX($E$2:E527)</f>
        <v>4796.5600000000004</v>
      </c>
      <c r="G527" s="3">
        <f t="shared" si="32"/>
        <v>-2.001017395800333</v>
      </c>
      <c r="I527" s="2">
        <v>44356</v>
      </c>
      <c r="J527" s="3">
        <f>IFERROR(VLOOKUP(I527,$A$1:$G$1610,3,FALSE),J526)</f>
        <v>17.89</v>
      </c>
      <c r="K527" s="3">
        <f>IFERROR(VLOOKUP(I527,$A$1:$G$1610,7,FALSE),K526)</f>
        <v>-0.30832112649435761</v>
      </c>
      <c r="L527" s="5">
        <f t="shared" si="33"/>
        <v>0</v>
      </c>
    </row>
    <row r="528" spans="1:12" x14ac:dyDescent="0.25">
      <c r="A528" s="2">
        <v>44567</v>
      </c>
      <c r="B528" s="3">
        <v>19.61</v>
      </c>
      <c r="C528" s="3">
        <f t="shared" si="34"/>
        <v>19.61</v>
      </c>
      <c r="D528" s="3">
        <v>4696.05</v>
      </c>
      <c r="E528" s="3">
        <f t="shared" si="35"/>
        <v>4696.05</v>
      </c>
      <c r="F528" s="3">
        <f>MAX($E$2:E528)</f>
        <v>4796.5600000000004</v>
      </c>
      <c r="G528" s="3">
        <f t="shared" si="32"/>
        <v>-2.0954600797238063</v>
      </c>
      <c r="I528" s="2">
        <v>44357</v>
      </c>
      <c r="J528" s="3">
        <f>IFERROR(VLOOKUP(I528,$A$1:$G$1610,3,FALSE),J527)</f>
        <v>16.100000000000001</v>
      </c>
      <c r="K528" s="3">
        <f>IFERROR(VLOOKUP(I528,$A$1:$G$1610,7,FALSE),K527)</f>
        <v>0</v>
      </c>
      <c r="L528" s="5">
        <f t="shared" si="33"/>
        <v>0</v>
      </c>
    </row>
    <row r="529" spans="1:12" x14ac:dyDescent="0.25">
      <c r="A529" s="2">
        <v>44568</v>
      </c>
      <c r="B529" s="3">
        <v>18.760000000000002</v>
      </c>
      <c r="C529" s="3">
        <f t="shared" si="34"/>
        <v>18.760000000000002</v>
      </c>
      <c r="D529" s="3">
        <v>4677.03</v>
      </c>
      <c r="E529" s="3">
        <f t="shared" si="35"/>
        <v>4677.03</v>
      </c>
      <c r="F529" s="3">
        <f>MAX($E$2:E529)</f>
        <v>4796.5600000000004</v>
      </c>
      <c r="G529" s="3">
        <f t="shared" si="32"/>
        <v>-2.4919942625548441</v>
      </c>
      <c r="I529" s="2">
        <v>44358</v>
      </c>
      <c r="J529" s="3">
        <f>IFERROR(VLOOKUP(I529,$A$1:$G$1610,3,FALSE),J528)</f>
        <v>15.65</v>
      </c>
      <c r="K529" s="3">
        <f>IFERROR(VLOOKUP(I529,$A$1:$G$1610,7,FALSE),K528)</f>
        <v>0</v>
      </c>
      <c r="L529" s="5">
        <f t="shared" si="33"/>
        <v>0</v>
      </c>
    </row>
    <row r="530" spans="1:12" x14ac:dyDescent="0.25">
      <c r="A530" s="2">
        <v>44571</v>
      </c>
      <c r="B530" s="3">
        <v>19.399999999999999</v>
      </c>
      <c r="C530" s="3">
        <f t="shared" si="34"/>
        <v>19.399999999999999</v>
      </c>
      <c r="D530" s="3">
        <v>4670.29</v>
      </c>
      <c r="E530" s="3">
        <f t="shared" si="35"/>
        <v>4670.29</v>
      </c>
      <c r="F530" s="3">
        <f>MAX($E$2:E530)</f>
        <v>4796.5600000000004</v>
      </c>
      <c r="G530" s="3">
        <f t="shared" si="32"/>
        <v>-2.6325116333372338</v>
      </c>
      <c r="I530" s="2">
        <v>44359</v>
      </c>
      <c r="J530" s="3">
        <f>IFERROR(VLOOKUP(I530,$A$1:$G$1610,3,FALSE),J529)</f>
        <v>15.65</v>
      </c>
      <c r="K530" s="3">
        <f>IFERROR(VLOOKUP(I530,$A$1:$G$1610,7,FALSE),K529)</f>
        <v>0</v>
      </c>
      <c r="L530" s="5">
        <f t="shared" si="33"/>
        <v>0</v>
      </c>
    </row>
    <row r="531" spans="1:12" x14ac:dyDescent="0.25">
      <c r="A531" s="2">
        <v>44572</v>
      </c>
      <c r="B531" s="3">
        <v>18.41</v>
      </c>
      <c r="C531" s="3">
        <f t="shared" si="34"/>
        <v>18.41</v>
      </c>
      <c r="D531" s="3">
        <v>4713.07</v>
      </c>
      <c r="E531" s="3">
        <f t="shared" si="35"/>
        <v>4713.07</v>
      </c>
      <c r="F531" s="3">
        <f>MAX($E$2:E531)</f>
        <v>4796.5600000000004</v>
      </c>
      <c r="G531" s="3">
        <f t="shared" si="32"/>
        <v>-1.7406224460863762</v>
      </c>
      <c r="I531" s="2">
        <v>44360</v>
      </c>
      <c r="J531" s="3">
        <f>IFERROR(VLOOKUP(I531,$A$1:$G$1610,3,FALSE),J530)</f>
        <v>15.65</v>
      </c>
      <c r="K531" s="3">
        <f>IFERROR(VLOOKUP(I531,$A$1:$G$1610,7,FALSE),K530)</f>
        <v>0</v>
      </c>
      <c r="L531" s="5">
        <f t="shared" si="33"/>
        <v>0</v>
      </c>
    </row>
    <row r="532" spans="1:12" x14ac:dyDescent="0.25">
      <c r="A532" s="2">
        <v>44573</v>
      </c>
      <c r="B532" s="3">
        <v>17.62</v>
      </c>
      <c r="C532" s="3">
        <f t="shared" si="34"/>
        <v>17.62</v>
      </c>
      <c r="D532" s="3">
        <v>4726.3500000000004</v>
      </c>
      <c r="E532" s="3">
        <f t="shared" si="35"/>
        <v>4726.3500000000004</v>
      </c>
      <c r="F532" s="3">
        <f>MAX($E$2:E532)</f>
        <v>4796.5600000000004</v>
      </c>
      <c r="G532" s="3">
        <f t="shared" si="32"/>
        <v>-1.4637573594409334</v>
      </c>
      <c r="I532" s="2">
        <v>44361</v>
      </c>
      <c r="J532" s="3">
        <f>IFERROR(VLOOKUP(I532,$A$1:$G$1610,3,FALSE),J531)</f>
        <v>16.39</v>
      </c>
      <c r="K532" s="3">
        <f>IFERROR(VLOOKUP(I532,$A$1:$G$1610,7,FALSE),K531)</f>
        <v>0</v>
      </c>
      <c r="L532" s="5">
        <f t="shared" si="33"/>
        <v>0</v>
      </c>
    </row>
    <row r="533" spans="1:12" x14ac:dyDescent="0.25">
      <c r="A533" s="2">
        <v>44574</v>
      </c>
      <c r="B533" s="3">
        <v>20.309999999999999</v>
      </c>
      <c r="C533" s="3">
        <f t="shared" si="34"/>
        <v>20.309999999999999</v>
      </c>
      <c r="D533" s="3">
        <v>4659.03</v>
      </c>
      <c r="E533" s="3">
        <f t="shared" si="35"/>
        <v>4659.03</v>
      </c>
      <c r="F533" s="3">
        <f>MAX($E$2:E533)</f>
        <v>4796.5600000000004</v>
      </c>
      <c r="G533" s="3">
        <f t="shared" si="32"/>
        <v>-2.8672632052971427</v>
      </c>
      <c r="I533" s="2">
        <v>44362</v>
      </c>
      <c r="J533" s="3">
        <f>IFERROR(VLOOKUP(I533,$A$1:$G$1610,3,FALSE),J532)</f>
        <v>17.02</v>
      </c>
      <c r="K533" s="3">
        <f>IFERROR(VLOOKUP(I533,$A$1:$G$1610,7,FALSE),K532)</f>
        <v>-0.20116799642784605</v>
      </c>
      <c r="L533" s="5">
        <f t="shared" si="33"/>
        <v>0</v>
      </c>
    </row>
    <row r="534" spans="1:12" x14ac:dyDescent="0.25">
      <c r="A534" s="2">
        <v>44575</v>
      </c>
      <c r="B534" s="3">
        <v>19.190000000000001</v>
      </c>
      <c r="C534" s="3">
        <f t="shared" si="34"/>
        <v>19.190000000000001</v>
      </c>
      <c r="D534" s="3">
        <v>4662.8500000000004</v>
      </c>
      <c r="E534" s="3">
        <f t="shared" si="35"/>
        <v>4662.8500000000004</v>
      </c>
      <c r="F534" s="3">
        <f>MAX($E$2:E534)</f>
        <v>4796.5600000000004</v>
      </c>
      <c r="G534" s="3">
        <f t="shared" si="32"/>
        <v>-2.7876227963373754</v>
      </c>
      <c r="I534" s="2">
        <v>44363</v>
      </c>
      <c r="J534" s="3">
        <f>IFERROR(VLOOKUP(I534,$A$1:$G$1610,3,FALSE),J533)</f>
        <v>18.149999999999999</v>
      </c>
      <c r="K534" s="3">
        <f>IFERROR(VLOOKUP(I534,$A$1:$G$1610,7,FALSE),K533)</f>
        <v>-0.73910437939907692</v>
      </c>
      <c r="L534" s="5">
        <f t="shared" si="33"/>
        <v>0</v>
      </c>
    </row>
    <row r="535" spans="1:12" x14ac:dyDescent="0.25">
      <c r="A535" s="2">
        <v>44578</v>
      </c>
      <c r="C535" s="3">
        <f t="shared" si="34"/>
        <v>19.190000000000001</v>
      </c>
      <c r="E535" s="3">
        <f t="shared" si="35"/>
        <v>4662.8500000000004</v>
      </c>
      <c r="F535" s="3">
        <f>MAX($E$2:E535)</f>
        <v>4796.5600000000004</v>
      </c>
      <c r="G535" s="3">
        <f t="shared" si="32"/>
        <v>-2.7876227963373754</v>
      </c>
      <c r="I535" s="2">
        <v>44364</v>
      </c>
      <c r="J535" s="3">
        <f>IFERROR(VLOOKUP(I535,$A$1:$G$1610,3,FALSE),J534)</f>
        <v>17.75</v>
      </c>
      <c r="K535" s="3">
        <f>IFERROR(VLOOKUP(I535,$A$1:$G$1610,7,FALSE),K534)</f>
        <v>-0.78234609825740486</v>
      </c>
      <c r="L535" s="5">
        <f t="shared" si="33"/>
        <v>0</v>
      </c>
    </row>
    <row r="536" spans="1:12" x14ac:dyDescent="0.25">
      <c r="A536" s="2">
        <v>44579</v>
      </c>
      <c r="B536" s="3">
        <v>22.79</v>
      </c>
      <c r="C536" s="3">
        <f t="shared" si="34"/>
        <v>22.79</v>
      </c>
      <c r="D536" s="3">
        <v>4577.1099999999997</v>
      </c>
      <c r="E536" s="3">
        <f t="shared" si="35"/>
        <v>4577.1099999999997</v>
      </c>
      <c r="F536" s="3">
        <f>MAX($E$2:E536)</f>
        <v>4796.5600000000004</v>
      </c>
      <c r="G536" s="3">
        <f t="shared" si="32"/>
        <v>-4.5751538602665391</v>
      </c>
      <c r="I536" s="2">
        <v>44365</v>
      </c>
      <c r="J536" s="3">
        <f>IFERROR(VLOOKUP(I536,$A$1:$G$1610,3,FALSE),J535)</f>
        <v>20.7</v>
      </c>
      <c r="K536" s="3">
        <f>IFERROR(VLOOKUP(I536,$A$1:$G$1610,7,FALSE),K535)</f>
        <v>-2.0845328601811883</v>
      </c>
      <c r="L536" s="5">
        <f t="shared" si="33"/>
        <v>0</v>
      </c>
    </row>
    <row r="537" spans="1:12" x14ac:dyDescent="0.25">
      <c r="A537" s="2">
        <v>44580</v>
      </c>
      <c r="B537" s="3">
        <v>23.85</v>
      </c>
      <c r="C537" s="3">
        <f t="shared" si="34"/>
        <v>23.85</v>
      </c>
      <c r="D537" s="3">
        <v>4532.76</v>
      </c>
      <c r="E537" s="3">
        <f t="shared" si="35"/>
        <v>4532.76</v>
      </c>
      <c r="F537" s="3">
        <f>MAX($E$2:E537)</f>
        <v>4796.5600000000004</v>
      </c>
      <c r="G537" s="3">
        <f t="shared" si="32"/>
        <v>-5.4997748386343579</v>
      </c>
      <c r="I537" s="2">
        <v>44366</v>
      </c>
      <c r="J537" s="3">
        <f>IFERROR(VLOOKUP(I537,$A$1:$G$1610,3,FALSE),J536)</f>
        <v>20.7</v>
      </c>
      <c r="K537" s="3">
        <f>IFERROR(VLOOKUP(I537,$A$1:$G$1610,7,FALSE),K536)</f>
        <v>-2.0845328601811883</v>
      </c>
      <c r="L537" s="5">
        <f t="shared" si="33"/>
        <v>0</v>
      </c>
    </row>
    <row r="538" spans="1:12" x14ac:dyDescent="0.25">
      <c r="A538" s="2">
        <v>44581</v>
      </c>
      <c r="B538" s="3">
        <v>25.59</v>
      </c>
      <c r="C538" s="3">
        <f t="shared" si="34"/>
        <v>25.59</v>
      </c>
      <c r="D538" s="3">
        <v>4482.7299999999996</v>
      </c>
      <c r="E538" s="3">
        <f t="shared" si="35"/>
        <v>4482.7299999999996</v>
      </c>
      <c r="F538" s="3">
        <f>MAX($E$2:E538)</f>
        <v>4796.5600000000004</v>
      </c>
      <c r="G538" s="3">
        <f t="shared" si="32"/>
        <v>-6.5428140167119935</v>
      </c>
      <c r="I538" s="2">
        <v>44367</v>
      </c>
      <c r="J538" s="3">
        <f>IFERROR(VLOOKUP(I538,$A$1:$G$1610,3,FALSE),J537)</f>
        <v>20.7</v>
      </c>
      <c r="K538" s="3">
        <f>IFERROR(VLOOKUP(I538,$A$1:$G$1610,7,FALSE),K537)</f>
        <v>-2.0845328601811883</v>
      </c>
      <c r="L538" s="5">
        <f t="shared" si="33"/>
        <v>0</v>
      </c>
    </row>
    <row r="539" spans="1:12" x14ac:dyDescent="0.25">
      <c r="A539" s="2">
        <v>44582</v>
      </c>
      <c r="B539" s="3">
        <v>28.85</v>
      </c>
      <c r="C539" s="3">
        <f t="shared" si="34"/>
        <v>28.85</v>
      </c>
      <c r="D539" s="3">
        <v>4397.9399999999996</v>
      </c>
      <c r="E539" s="3">
        <f t="shared" si="35"/>
        <v>4397.9399999999996</v>
      </c>
      <c r="F539" s="3">
        <f>MAX($E$2:E539)</f>
        <v>4796.5600000000004</v>
      </c>
      <c r="G539" s="3">
        <f t="shared" si="32"/>
        <v>-8.3105392197741885</v>
      </c>
      <c r="I539" s="2">
        <v>44368</v>
      </c>
      <c r="J539" s="3">
        <f>IFERROR(VLOOKUP(I539,$A$1:$G$1610,3,FALSE),J538)</f>
        <v>17.89</v>
      </c>
      <c r="K539" s="3">
        <f>IFERROR(VLOOKUP(I539,$A$1:$G$1610,7,FALSE),K538)</f>
        <v>-0.71348836116234859</v>
      </c>
      <c r="L539" s="5">
        <f t="shared" si="33"/>
        <v>0</v>
      </c>
    </row>
    <row r="540" spans="1:12" x14ac:dyDescent="0.25">
      <c r="A540" s="2">
        <v>44585</v>
      </c>
      <c r="B540" s="3">
        <v>29.9</v>
      </c>
      <c r="C540" s="3">
        <f t="shared" si="34"/>
        <v>29.9</v>
      </c>
      <c r="D540" s="3">
        <v>4410.13</v>
      </c>
      <c r="E540" s="3">
        <f t="shared" si="35"/>
        <v>4410.13</v>
      </c>
      <c r="F540" s="3">
        <f>MAX($E$2:E540)</f>
        <v>4796.5600000000004</v>
      </c>
      <c r="G540" s="3">
        <f t="shared" si="32"/>
        <v>-8.0563987524392537</v>
      </c>
      <c r="I540" s="2">
        <v>44369</v>
      </c>
      <c r="J540" s="3">
        <f>IFERROR(VLOOKUP(I540,$A$1:$G$1610,3,FALSE),J539)</f>
        <v>16.66</v>
      </c>
      <c r="K540" s="3">
        <f>IFERROR(VLOOKUP(I540,$A$1:$G$1610,7,FALSE),K539)</f>
        <v>-0.20469313655217883</v>
      </c>
      <c r="L540" s="5">
        <f t="shared" si="33"/>
        <v>0</v>
      </c>
    </row>
    <row r="541" spans="1:12" x14ac:dyDescent="0.25">
      <c r="A541" s="2">
        <v>44586</v>
      </c>
      <c r="B541" s="3">
        <v>31.16</v>
      </c>
      <c r="C541" s="3">
        <f t="shared" si="34"/>
        <v>31.16</v>
      </c>
      <c r="D541" s="3">
        <v>4356.45</v>
      </c>
      <c r="E541" s="3">
        <f t="shared" si="35"/>
        <v>4356.45</v>
      </c>
      <c r="F541" s="3">
        <f>MAX($E$2:E541)</f>
        <v>4796.5600000000004</v>
      </c>
      <c r="G541" s="3">
        <f t="shared" si="32"/>
        <v>-9.17553413279518</v>
      </c>
      <c r="I541" s="2">
        <v>44370</v>
      </c>
      <c r="J541" s="3">
        <f>IFERROR(VLOOKUP(I541,$A$1:$G$1610,3,FALSE),J540)</f>
        <v>16.32</v>
      </c>
      <c r="K541" s="3">
        <f>IFERROR(VLOOKUP(I541,$A$1:$G$1610,7,FALSE),K540)</f>
        <v>-0.31279743369797758</v>
      </c>
      <c r="L541" s="5">
        <f t="shared" si="33"/>
        <v>0</v>
      </c>
    </row>
    <row r="542" spans="1:12" x14ac:dyDescent="0.25">
      <c r="A542" s="2">
        <v>44587</v>
      </c>
      <c r="B542" s="3">
        <v>31.96</v>
      </c>
      <c r="C542" s="3">
        <f t="shared" si="34"/>
        <v>31.96</v>
      </c>
      <c r="D542" s="3">
        <v>4349.93</v>
      </c>
      <c r="E542" s="3">
        <f t="shared" si="35"/>
        <v>4349.93</v>
      </c>
      <c r="F542" s="3">
        <f>MAX($E$2:E542)</f>
        <v>4796.5600000000004</v>
      </c>
      <c r="G542" s="3">
        <f t="shared" si="32"/>
        <v>-9.3114648831662699</v>
      </c>
      <c r="I542" s="2">
        <v>44371</v>
      </c>
      <c r="J542" s="3">
        <f>IFERROR(VLOOKUP(I542,$A$1:$G$1610,3,FALSE),J541)</f>
        <v>15.97</v>
      </c>
      <c r="K542" s="3">
        <f>IFERROR(VLOOKUP(I542,$A$1:$G$1610,7,FALSE),K541)</f>
        <v>0</v>
      </c>
      <c r="L542" s="5">
        <f t="shared" si="33"/>
        <v>0</v>
      </c>
    </row>
    <row r="543" spans="1:12" x14ac:dyDescent="0.25">
      <c r="A543" s="2">
        <v>44588</v>
      </c>
      <c r="B543" s="3">
        <v>30.49</v>
      </c>
      <c r="C543" s="3">
        <f t="shared" si="34"/>
        <v>30.49</v>
      </c>
      <c r="D543" s="3">
        <v>4326.51</v>
      </c>
      <c r="E543" s="3">
        <f t="shared" si="35"/>
        <v>4326.51</v>
      </c>
      <c r="F543" s="3">
        <f>MAX($E$2:E543)</f>
        <v>4796.5600000000004</v>
      </c>
      <c r="G543" s="3">
        <f t="shared" si="32"/>
        <v>-9.7997314742231953</v>
      </c>
      <c r="I543" s="2">
        <v>44372</v>
      </c>
      <c r="J543" s="3">
        <f>IFERROR(VLOOKUP(I543,$A$1:$G$1610,3,FALSE),J542)</f>
        <v>15.62</v>
      </c>
      <c r="K543" s="3">
        <f>IFERROR(VLOOKUP(I543,$A$1:$G$1610,7,FALSE),K542)</f>
        <v>0</v>
      </c>
      <c r="L543" s="5">
        <f t="shared" si="33"/>
        <v>0</v>
      </c>
    </row>
    <row r="544" spans="1:12" x14ac:dyDescent="0.25">
      <c r="A544" s="2">
        <v>44589</v>
      </c>
      <c r="B544" s="3">
        <v>27.66</v>
      </c>
      <c r="C544" s="3">
        <f t="shared" si="34"/>
        <v>27.66</v>
      </c>
      <c r="D544" s="3">
        <v>4431.8500000000004</v>
      </c>
      <c r="E544" s="3">
        <f t="shared" si="35"/>
        <v>4431.8500000000004</v>
      </c>
      <c r="F544" s="3">
        <f>MAX($E$2:E544)</f>
        <v>4796.5600000000004</v>
      </c>
      <c r="G544" s="3">
        <f t="shared" si="32"/>
        <v>-7.6035742281968748</v>
      </c>
      <c r="I544" s="2">
        <v>44373</v>
      </c>
      <c r="J544" s="3">
        <f>IFERROR(VLOOKUP(I544,$A$1:$G$1610,3,FALSE),J543)</f>
        <v>15.62</v>
      </c>
      <c r="K544" s="3">
        <f>IFERROR(VLOOKUP(I544,$A$1:$G$1610,7,FALSE),K543)</f>
        <v>0</v>
      </c>
      <c r="L544" s="5">
        <f t="shared" si="33"/>
        <v>0</v>
      </c>
    </row>
    <row r="545" spans="1:12" x14ac:dyDescent="0.25">
      <c r="A545" s="2">
        <v>44592</v>
      </c>
      <c r="B545" s="3">
        <v>24.83</v>
      </c>
      <c r="C545" s="3">
        <f t="shared" si="34"/>
        <v>24.83</v>
      </c>
      <c r="D545" s="3">
        <v>4515.55</v>
      </c>
      <c r="E545" s="3">
        <f t="shared" si="35"/>
        <v>4515.55</v>
      </c>
      <c r="F545" s="3">
        <f>MAX($E$2:E545)</f>
        <v>4796.5600000000004</v>
      </c>
      <c r="G545" s="3">
        <f t="shared" si="32"/>
        <v>-5.8585736444451895</v>
      </c>
      <c r="I545" s="2">
        <v>44374</v>
      </c>
      <c r="J545" s="3">
        <f>IFERROR(VLOOKUP(I545,$A$1:$G$1610,3,FALSE),J544)</f>
        <v>15.62</v>
      </c>
      <c r="K545" s="3">
        <f>IFERROR(VLOOKUP(I545,$A$1:$G$1610,7,FALSE),K544)</f>
        <v>0</v>
      </c>
      <c r="L545" s="5">
        <f t="shared" si="33"/>
        <v>0</v>
      </c>
    </row>
    <row r="546" spans="1:12" x14ac:dyDescent="0.25">
      <c r="A546" s="2">
        <v>44593</v>
      </c>
      <c r="B546" s="3">
        <v>21.96</v>
      </c>
      <c r="C546" s="3">
        <f t="shared" si="34"/>
        <v>21.96</v>
      </c>
      <c r="D546" s="3">
        <v>4546.54</v>
      </c>
      <c r="E546" s="3">
        <f t="shared" si="35"/>
        <v>4546.54</v>
      </c>
      <c r="F546" s="3">
        <f>MAX($E$2:E546)</f>
        <v>4796.5600000000004</v>
      </c>
      <c r="G546" s="3">
        <f t="shared" si="32"/>
        <v>-5.2124856146905367</v>
      </c>
      <c r="I546" s="2">
        <v>44375</v>
      </c>
      <c r="J546" s="3">
        <f>IFERROR(VLOOKUP(I546,$A$1:$G$1610,3,FALSE),J545)</f>
        <v>15.76</v>
      </c>
      <c r="K546" s="3">
        <f>IFERROR(VLOOKUP(I546,$A$1:$G$1610,7,FALSE),K545)</f>
        <v>0</v>
      </c>
      <c r="L546" s="5">
        <f t="shared" si="33"/>
        <v>0</v>
      </c>
    </row>
    <row r="547" spans="1:12" x14ac:dyDescent="0.25">
      <c r="A547" s="2">
        <v>44594</v>
      </c>
      <c r="B547" s="3">
        <v>22.09</v>
      </c>
      <c r="C547" s="3">
        <f t="shared" si="34"/>
        <v>22.09</v>
      </c>
      <c r="D547" s="3">
        <v>4589.38</v>
      </c>
      <c r="E547" s="3">
        <f t="shared" si="35"/>
        <v>4589.38</v>
      </c>
      <c r="F547" s="3">
        <f>MAX($E$2:E547)</f>
        <v>4796.5600000000004</v>
      </c>
      <c r="G547" s="3">
        <f t="shared" si="32"/>
        <v>-4.3193455309638633</v>
      </c>
      <c r="I547" s="2">
        <v>44376</v>
      </c>
      <c r="J547" s="3">
        <f>IFERROR(VLOOKUP(I547,$A$1:$G$1610,3,FALSE),J546)</f>
        <v>16.02</v>
      </c>
      <c r="K547" s="3">
        <f>IFERROR(VLOOKUP(I547,$A$1:$G$1610,7,FALSE),K546)</f>
        <v>0</v>
      </c>
      <c r="L547" s="5">
        <f t="shared" si="33"/>
        <v>0</v>
      </c>
    </row>
    <row r="548" spans="1:12" x14ac:dyDescent="0.25">
      <c r="A548" s="2">
        <v>44595</v>
      </c>
      <c r="B548" s="3">
        <v>24.35</v>
      </c>
      <c r="C548" s="3">
        <f t="shared" si="34"/>
        <v>24.35</v>
      </c>
      <c r="D548" s="3">
        <v>4477.4399999999996</v>
      </c>
      <c r="E548" s="3">
        <f t="shared" si="35"/>
        <v>4477.4399999999996</v>
      </c>
      <c r="F548" s="3">
        <f>MAX($E$2:E548)</f>
        <v>4796.5600000000004</v>
      </c>
      <c r="G548" s="3">
        <f t="shared" si="32"/>
        <v>-6.6531013893290361</v>
      </c>
      <c r="I548" s="2">
        <v>44377</v>
      </c>
      <c r="J548" s="3">
        <f>IFERROR(VLOOKUP(I548,$A$1:$G$1610,3,FALSE),J547)</f>
        <v>15.83</v>
      </c>
      <c r="K548" s="3">
        <f>IFERROR(VLOOKUP(I548,$A$1:$G$1610,7,FALSE),K547)</f>
        <v>0</v>
      </c>
      <c r="L548" s="5">
        <f t="shared" si="33"/>
        <v>0</v>
      </c>
    </row>
    <row r="549" spans="1:12" x14ac:dyDescent="0.25">
      <c r="A549" s="2">
        <v>44596</v>
      </c>
      <c r="B549" s="3">
        <v>23.22</v>
      </c>
      <c r="C549" s="3">
        <f t="shared" si="34"/>
        <v>23.22</v>
      </c>
      <c r="D549" s="3">
        <v>4500.53</v>
      </c>
      <c r="E549" s="3">
        <f t="shared" si="35"/>
        <v>4500.53</v>
      </c>
      <c r="F549" s="3">
        <f>MAX($E$2:E549)</f>
        <v>4796.5600000000004</v>
      </c>
      <c r="G549" s="3">
        <f t="shared" si="32"/>
        <v>-6.1717147288890501</v>
      </c>
      <c r="I549" s="2">
        <v>44378</v>
      </c>
      <c r="J549" s="3">
        <f>IFERROR(VLOOKUP(I549,$A$1:$G$1610,3,FALSE),J548)</f>
        <v>15.48</v>
      </c>
      <c r="K549" s="3">
        <f>IFERROR(VLOOKUP(I549,$A$1:$G$1610,7,FALSE),K548)</f>
        <v>0</v>
      </c>
      <c r="L549" s="5">
        <f t="shared" si="33"/>
        <v>0</v>
      </c>
    </row>
    <row r="550" spans="1:12" x14ac:dyDescent="0.25">
      <c r="A550" s="2">
        <v>44599</v>
      </c>
      <c r="B550" s="3">
        <v>22.86</v>
      </c>
      <c r="C550" s="3">
        <f t="shared" si="34"/>
        <v>22.86</v>
      </c>
      <c r="D550" s="3">
        <v>4483.87</v>
      </c>
      <c r="E550" s="3">
        <f t="shared" si="35"/>
        <v>4483.87</v>
      </c>
      <c r="F550" s="3">
        <f>MAX($E$2:E550)</f>
        <v>4796.5600000000004</v>
      </c>
      <c r="G550" s="3">
        <f t="shared" si="32"/>
        <v>-6.5190469836716423</v>
      </c>
      <c r="I550" s="2">
        <v>44379</v>
      </c>
      <c r="J550" s="3">
        <f>IFERROR(VLOOKUP(I550,$A$1:$G$1610,3,FALSE),J549)</f>
        <v>15.07</v>
      </c>
      <c r="K550" s="3">
        <f>IFERROR(VLOOKUP(I550,$A$1:$G$1610,7,FALSE),K549)</f>
        <v>0</v>
      </c>
      <c r="L550" s="5">
        <f t="shared" si="33"/>
        <v>0</v>
      </c>
    </row>
    <row r="551" spans="1:12" x14ac:dyDescent="0.25">
      <c r="A551" s="2">
        <v>44600</v>
      </c>
      <c r="B551" s="3">
        <v>21.44</v>
      </c>
      <c r="C551" s="3">
        <f t="shared" si="34"/>
        <v>21.44</v>
      </c>
      <c r="D551" s="3">
        <v>4521.54</v>
      </c>
      <c r="E551" s="3">
        <f t="shared" si="35"/>
        <v>4521.54</v>
      </c>
      <c r="F551" s="3">
        <f>MAX($E$2:E551)</f>
        <v>4796.5600000000004</v>
      </c>
      <c r="G551" s="3">
        <f t="shared" si="32"/>
        <v>-5.7336924796103954</v>
      </c>
      <c r="I551" s="2">
        <v>44380</v>
      </c>
      <c r="J551" s="3">
        <f>IFERROR(VLOOKUP(I551,$A$1:$G$1610,3,FALSE),J550)</f>
        <v>15.07</v>
      </c>
      <c r="K551" s="3">
        <f>IFERROR(VLOOKUP(I551,$A$1:$G$1610,7,FALSE),K550)</f>
        <v>0</v>
      </c>
      <c r="L551" s="5">
        <f t="shared" si="33"/>
        <v>0</v>
      </c>
    </row>
    <row r="552" spans="1:12" x14ac:dyDescent="0.25">
      <c r="A552" s="2">
        <v>44601</v>
      </c>
      <c r="B552" s="3">
        <v>19.96</v>
      </c>
      <c r="C552" s="3">
        <f t="shared" si="34"/>
        <v>19.96</v>
      </c>
      <c r="D552" s="3">
        <v>4587.18</v>
      </c>
      <c r="E552" s="3">
        <f t="shared" si="35"/>
        <v>4587.18</v>
      </c>
      <c r="F552" s="3">
        <f>MAX($E$2:E552)</f>
        <v>4796.5600000000004</v>
      </c>
      <c r="G552" s="3">
        <f t="shared" si="32"/>
        <v>-4.3652117350768069</v>
      </c>
      <c r="I552" s="2">
        <v>44381</v>
      </c>
      <c r="J552" s="3">
        <f>IFERROR(VLOOKUP(I552,$A$1:$G$1610,3,FALSE),J551)</f>
        <v>15.07</v>
      </c>
      <c r="K552" s="3">
        <f>IFERROR(VLOOKUP(I552,$A$1:$G$1610,7,FALSE),K551)</f>
        <v>0</v>
      </c>
      <c r="L552" s="5">
        <f t="shared" si="33"/>
        <v>0</v>
      </c>
    </row>
    <row r="553" spans="1:12" x14ac:dyDescent="0.25">
      <c r="A553" s="2">
        <v>44602</v>
      </c>
      <c r="B553" s="3">
        <v>23.91</v>
      </c>
      <c r="C553" s="3">
        <f t="shared" si="34"/>
        <v>23.91</v>
      </c>
      <c r="D553" s="3">
        <v>4504.08</v>
      </c>
      <c r="E553" s="3">
        <f t="shared" si="35"/>
        <v>4504.08</v>
      </c>
      <c r="F553" s="3">
        <f>MAX($E$2:E553)</f>
        <v>4796.5600000000004</v>
      </c>
      <c r="G553" s="3">
        <f t="shared" si="32"/>
        <v>-6.0977033540704264</v>
      </c>
      <c r="I553" s="2">
        <v>44382</v>
      </c>
      <c r="J553" s="3">
        <f>IFERROR(VLOOKUP(I553,$A$1:$G$1610,3,FALSE),J552)</f>
        <v>15.07</v>
      </c>
      <c r="K553" s="3">
        <f>IFERROR(VLOOKUP(I553,$A$1:$G$1610,7,FALSE),K552)</f>
        <v>0</v>
      </c>
      <c r="L553" s="5">
        <f t="shared" si="33"/>
        <v>0</v>
      </c>
    </row>
    <row r="554" spans="1:12" x14ac:dyDescent="0.25">
      <c r="A554" s="2">
        <v>44603</v>
      </c>
      <c r="B554" s="3">
        <v>27.36</v>
      </c>
      <c r="C554" s="3">
        <f t="shared" si="34"/>
        <v>27.36</v>
      </c>
      <c r="D554" s="3">
        <v>4418.6400000000003</v>
      </c>
      <c r="E554" s="3">
        <f t="shared" si="35"/>
        <v>4418.6400000000003</v>
      </c>
      <c r="F554" s="3">
        <f>MAX($E$2:E554)</f>
        <v>4796.5600000000004</v>
      </c>
      <c r="G554" s="3">
        <f t="shared" si="32"/>
        <v>-7.8789799356205297</v>
      </c>
      <c r="I554" s="2">
        <v>44383</v>
      </c>
      <c r="J554" s="3">
        <f>IFERROR(VLOOKUP(I554,$A$1:$G$1610,3,FALSE),J553)</f>
        <v>16.440000000000001</v>
      </c>
      <c r="K554" s="3">
        <f>IFERROR(VLOOKUP(I554,$A$1:$G$1610,7,FALSE),K553)</f>
        <v>-0.20219008625245688</v>
      </c>
      <c r="L554" s="5">
        <f t="shared" si="33"/>
        <v>0</v>
      </c>
    </row>
    <row r="555" spans="1:12" x14ac:dyDescent="0.25">
      <c r="A555" s="2">
        <v>44606</v>
      </c>
      <c r="B555" s="3">
        <v>28.33</v>
      </c>
      <c r="C555" s="3">
        <f t="shared" si="34"/>
        <v>28.33</v>
      </c>
      <c r="D555" s="3">
        <v>4401.67</v>
      </c>
      <c r="E555" s="3">
        <f t="shared" si="35"/>
        <v>4401.67</v>
      </c>
      <c r="F555" s="3">
        <f>MAX($E$2:E555)</f>
        <v>4796.5600000000004</v>
      </c>
      <c r="G555" s="3">
        <f t="shared" si="32"/>
        <v>-8.2327751555281345</v>
      </c>
      <c r="I555" s="2">
        <v>44384</v>
      </c>
      <c r="J555" s="3">
        <f>IFERROR(VLOOKUP(I555,$A$1:$G$1610,3,FALSE),J554)</f>
        <v>16.2</v>
      </c>
      <c r="K555" s="3">
        <f>IFERROR(VLOOKUP(I555,$A$1:$G$1610,7,FALSE),K554)</f>
        <v>0</v>
      </c>
      <c r="L555" s="5">
        <f t="shared" si="33"/>
        <v>0</v>
      </c>
    </row>
    <row r="556" spans="1:12" x14ac:dyDescent="0.25">
      <c r="A556" s="2">
        <v>44607</v>
      </c>
      <c r="B556" s="3">
        <v>25.7</v>
      </c>
      <c r="C556" s="3">
        <f t="shared" si="34"/>
        <v>25.7</v>
      </c>
      <c r="D556" s="3">
        <v>4471.07</v>
      </c>
      <c r="E556" s="3">
        <f t="shared" si="35"/>
        <v>4471.07</v>
      </c>
      <c r="F556" s="3">
        <f>MAX($E$2:E556)</f>
        <v>4796.5600000000004</v>
      </c>
      <c r="G556" s="3">
        <f t="shared" si="32"/>
        <v>-6.785904898510613</v>
      </c>
      <c r="I556" s="2">
        <v>44385</v>
      </c>
      <c r="J556" s="3">
        <f>IFERROR(VLOOKUP(I556,$A$1:$G$1610,3,FALSE),J555)</f>
        <v>19</v>
      </c>
      <c r="K556" s="3">
        <f>IFERROR(VLOOKUP(I556,$A$1:$G$1610,7,FALSE),K555)</f>
        <v>-0.85610112594164001</v>
      </c>
      <c r="L556" s="5">
        <f t="shared" si="33"/>
        <v>0</v>
      </c>
    </row>
    <row r="557" spans="1:12" x14ac:dyDescent="0.25">
      <c r="A557" s="2">
        <v>44608</v>
      </c>
      <c r="B557" s="3">
        <v>24.29</v>
      </c>
      <c r="C557" s="3">
        <f t="shared" si="34"/>
        <v>24.29</v>
      </c>
      <c r="D557" s="3">
        <v>4475.01</v>
      </c>
      <c r="E557" s="3">
        <f t="shared" si="35"/>
        <v>4475.01</v>
      </c>
      <c r="F557" s="3">
        <f>MAX($E$2:E557)</f>
        <v>4796.5600000000004</v>
      </c>
      <c r="G557" s="3">
        <f t="shared" si="32"/>
        <v>-6.7037626965992327</v>
      </c>
      <c r="I557" s="2">
        <v>44386</v>
      </c>
      <c r="J557" s="3">
        <f>IFERROR(VLOOKUP(I557,$A$1:$G$1610,3,FALSE),J556)</f>
        <v>16.18</v>
      </c>
      <c r="K557" s="3">
        <f>IFERROR(VLOOKUP(I557,$A$1:$G$1610,7,FALSE),K556)</f>
        <v>0</v>
      </c>
      <c r="L557" s="5">
        <f t="shared" si="33"/>
        <v>0</v>
      </c>
    </row>
    <row r="558" spans="1:12" x14ac:dyDescent="0.25">
      <c r="A558" s="2">
        <v>44609</v>
      </c>
      <c r="B558" s="3">
        <v>28.11</v>
      </c>
      <c r="C558" s="3">
        <f t="shared" si="34"/>
        <v>28.11</v>
      </c>
      <c r="D558" s="3">
        <v>4380.26</v>
      </c>
      <c r="E558" s="3">
        <f t="shared" si="35"/>
        <v>4380.26</v>
      </c>
      <c r="F558" s="3">
        <f>MAX($E$2:E558)</f>
        <v>4796.5600000000004</v>
      </c>
      <c r="G558" s="3">
        <f t="shared" si="32"/>
        <v>-8.6791367146454999</v>
      </c>
      <c r="I558" s="2">
        <v>44387</v>
      </c>
      <c r="J558" s="3">
        <f>IFERROR(VLOOKUP(I558,$A$1:$G$1610,3,FALSE),J557)</f>
        <v>16.18</v>
      </c>
      <c r="K558" s="3">
        <f>IFERROR(VLOOKUP(I558,$A$1:$G$1610,7,FALSE),K557)</f>
        <v>0</v>
      </c>
      <c r="L558" s="5">
        <f t="shared" si="33"/>
        <v>0</v>
      </c>
    </row>
    <row r="559" spans="1:12" x14ac:dyDescent="0.25">
      <c r="A559" s="2">
        <v>44610</v>
      </c>
      <c r="B559" s="3">
        <v>27.75</v>
      </c>
      <c r="C559" s="3">
        <f t="shared" si="34"/>
        <v>27.75</v>
      </c>
      <c r="D559" s="3">
        <v>4348.87</v>
      </c>
      <c r="E559" s="3">
        <f t="shared" si="35"/>
        <v>4348.87</v>
      </c>
      <c r="F559" s="3">
        <f>MAX($E$2:E559)</f>
        <v>4796.5600000000004</v>
      </c>
      <c r="G559" s="3">
        <f t="shared" si="32"/>
        <v>-9.3335640542388809</v>
      </c>
      <c r="I559" s="2">
        <v>44388</v>
      </c>
      <c r="J559" s="3">
        <f>IFERROR(VLOOKUP(I559,$A$1:$G$1610,3,FALSE),J558)</f>
        <v>16.18</v>
      </c>
      <c r="K559" s="3">
        <f>IFERROR(VLOOKUP(I559,$A$1:$G$1610,7,FALSE),K558)</f>
        <v>0</v>
      </c>
      <c r="L559" s="5">
        <f t="shared" si="33"/>
        <v>0</v>
      </c>
    </row>
    <row r="560" spans="1:12" x14ac:dyDescent="0.25">
      <c r="A560" s="2">
        <v>44613</v>
      </c>
      <c r="C560" s="3">
        <f t="shared" si="34"/>
        <v>27.75</v>
      </c>
      <c r="E560" s="3">
        <f t="shared" si="35"/>
        <v>4348.87</v>
      </c>
      <c r="F560" s="3">
        <f>MAX($E$2:E560)</f>
        <v>4796.5600000000004</v>
      </c>
      <c r="G560" s="3">
        <f t="shared" si="32"/>
        <v>-9.3335640542388809</v>
      </c>
      <c r="I560" s="2">
        <v>44389</v>
      </c>
      <c r="J560" s="3">
        <f>IFERROR(VLOOKUP(I560,$A$1:$G$1610,3,FALSE),J559)</f>
        <v>16.170000000000002</v>
      </c>
      <c r="K560" s="3">
        <f>IFERROR(VLOOKUP(I560,$A$1:$G$1610,7,FALSE),K559)</f>
        <v>0</v>
      </c>
      <c r="L560" s="5">
        <f t="shared" si="33"/>
        <v>0</v>
      </c>
    </row>
    <row r="561" spans="1:12" x14ac:dyDescent="0.25">
      <c r="A561" s="2">
        <v>44614</v>
      </c>
      <c r="B561" s="3">
        <v>28.81</v>
      </c>
      <c r="C561" s="3">
        <f t="shared" si="34"/>
        <v>28.81</v>
      </c>
      <c r="D561" s="3">
        <v>4304.76</v>
      </c>
      <c r="E561" s="3">
        <f t="shared" si="35"/>
        <v>4304.76</v>
      </c>
      <c r="F561" s="3">
        <f>MAX($E$2:E561)</f>
        <v>4796.5600000000004</v>
      </c>
      <c r="G561" s="3">
        <f t="shared" si="32"/>
        <v>-10.253181446703474</v>
      </c>
      <c r="I561" s="2">
        <v>44390</v>
      </c>
      <c r="J561" s="3">
        <f>IFERROR(VLOOKUP(I561,$A$1:$G$1610,3,FALSE),J560)</f>
        <v>17.12</v>
      </c>
      <c r="K561" s="3">
        <f>IFERROR(VLOOKUP(I561,$A$1:$G$1610,7,FALSE),K560)</f>
        <v>-0.35168303824952329</v>
      </c>
      <c r="L561" s="5">
        <f t="shared" si="33"/>
        <v>0</v>
      </c>
    </row>
    <row r="562" spans="1:12" x14ac:dyDescent="0.25">
      <c r="A562" s="2">
        <v>44615</v>
      </c>
      <c r="B562" s="3">
        <v>31.02</v>
      </c>
      <c r="C562" s="3">
        <f t="shared" si="34"/>
        <v>31.02</v>
      </c>
      <c r="D562" s="3">
        <v>4225.5</v>
      </c>
      <c r="E562" s="3">
        <f t="shared" si="35"/>
        <v>4225.5</v>
      </c>
      <c r="F562" s="3">
        <f>MAX($E$2:E562)</f>
        <v>4796.5600000000004</v>
      </c>
      <c r="G562" s="3">
        <f t="shared" si="32"/>
        <v>-11.9056156912454</v>
      </c>
      <c r="I562" s="2">
        <v>44391</v>
      </c>
      <c r="J562" s="3">
        <f>IFERROR(VLOOKUP(I562,$A$1:$G$1610,3,FALSE),J561)</f>
        <v>16.329999999999998</v>
      </c>
      <c r="K562" s="3">
        <f>IFERROR(VLOOKUP(I562,$A$1:$G$1610,7,FALSE),K561)</f>
        <v>-0.23559570590904882</v>
      </c>
      <c r="L562" s="5">
        <f t="shared" si="33"/>
        <v>0</v>
      </c>
    </row>
    <row r="563" spans="1:12" x14ac:dyDescent="0.25">
      <c r="A563" s="2">
        <v>44616</v>
      </c>
      <c r="B563" s="3">
        <v>30.32</v>
      </c>
      <c r="C563" s="3">
        <f t="shared" si="34"/>
        <v>30.32</v>
      </c>
      <c r="D563" s="3">
        <v>4288.7</v>
      </c>
      <c r="E563" s="3">
        <f t="shared" si="35"/>
        <v>4288.7</v>
      </c>
      <c r="F563" s="3">
        <f>MAX($E$2:E563)</f>
        <v>4796.5600000000004</v>
      </c>
      <c r="G563" s="3">
        <f t="shared" si="32"/>
        <v>-10.588004736728001</v>
      </c>
      <c r="I563" s="2">
        <v>44392</v>
      </c>
      <c r="J563" s="3">
        <f>IFERROR(VLOOKUP(I563,$A$1:$G$1610,3,FALSE),J562)</f>
        <v>17.010000000000002</v>
      </c>
      <c r="K563" s="3">
        <f>IFERROR(VLOOKUP(I563,$A$1:$G$1610,7,FALSE),K562)</f>
        <v>-0.56105076140975096</v>
      </c>
      <c r="L563" s="5">
        <f t="shared" si="33"/>
        <v>0</v>
      </c>
    </row>
    <row r="564" spans="1:12" x14ac:dyDescent="0.25">
      <c r="A564" s="2">
        <v>44617</v>
      </c>
      <c r="B564" s="3">
        <v>27.59</v>
      </c>
      <c r="C564" s="3">
        <f t="shared" si="34"/>
        <v>27.59</v>
      </c>
      <c r="D564" s="3">
        <v>4384.6499999999996</v>
      </c>
      <c r="E564" s="3">
        <f t="shared" si="35"/>
        <v>4384.6499999999996</v>
      </c>
      <c r="F564" s="3">
        <f>MAX($E$2:E564)</f>
        <v>4796.5600000000004</v>
      </c>
      <c r="G564" s="3">
        <f t="shared" si="32"/>
        <v>-8.5876127891655845</v>
      </c>
      <c r="I564" s="2">
        <v>44393</v>
      </c>
      <c r="J564" s="3">
        <f>IFERROR(VLOOKUP(I564,$A$1:$G$1610,3,FALSE),J563)</f>
        <v>18.45</v>
      </c>
      <c r="K564" s="3">
        <f>IFERROR(VLOOKUP(I564,$A$1:$G$1610,7,FALSE),K563)</f>
        <v>-1.3107149291958557</v>
      </c>
      <c r="L564" s="5">
        <f t="shared" si="33"/>
        <v>0</v>
      </c>
    </row>
    <row r="565" spans="1:12" x14ac:dyDescent="0.25">
      <c r="A565" s="2">
        <v>44620</v>
      </c>
      <c r="B565" s="3">
        <v>30.15</v>
      </c>
      <c r="C565" s="3">
        <f t="shared" si="34"/>
        <v>30.15</v>
      </c>
      <c r="D565" s="3">
        <v>4373.9399999999996</v>
      </c>
      <c r="E565" s="3">
        <f t="shared" si="35"/>
        <v>4373.9399999999996</v>
      </c>
      <c r="F565" s="3">
        <f>MAX($E$2:E565)</f>
        <v>4796.5600000000004</v>
      </c>
      <c r="G565" s="3">
        <f t="shared" si="32"/>
        <v>-8.8108978100972521</v>
      </c>
      <c r="I565" s="2">
        <v>44394</v>
      </c>
      <c r="J565" s="3">
        <f>IFERROR(VLOOKUP(I565,$A$1:$G$1610,3,FALSE),J564)</f>
        <v>18.45</v>
      </c>
      <c r="K565" s="3">
        <f>IFERROR(VLOOKUP(I565,$A$1:$G$1610,7,FALSE),K564)</f>
        <v>-1.3107149291958557</v>
      </c>
      <c r="L565" s="5">
        <f t="shared" si="33"/>
        <v>0</v>
      </c>
    </row>
    <row r="566" spans="1:12" x14ac:dyDescent="0.25">
      <c r="A566" s="2">
        <v>44621</v>
      </c>
      <c r="B566" s="3">
        <v>33.32</v>
      </c>
      <c r="C566" s="3">
        <f t="shared" si="34"/>
        <v>33.32</v>
      </c>
      <c r="D566" s="3">
        <v>4306.26</v>
      </c>
      <c r="E566" s="3">
        <f t="shared" si="35"/>
        <v>4306.26</v>
      </c>
      <c r="F566" s="3">
        <f>MAX($E$2:E566)</f>
        <v>4796.5600000000004</v>
      </c>
      <c r="G566" s="3">
        <f t="shared" si="32"/>
        <v>-10.221909034808283</v>
      </c>
      <c r="I566" s="2">
        <v>44395</v>
      </c>
      <c r="J566" s="3">
        <f>IFERROR(VLOOKUP(I566,$A$1:$G$1610,3,FALSE),J565)</f>
        <v>18.45</v>
      </c>
      <c r="K566" s="3">
        <f>IFERROR(VLOOKUP(I566,$A$1:$G$1610,7,FALSE),K565)</f>
        <v>-1.3107149291958557</v>
      </c>
      <c r="L566" s="5">
        <f t="shared" si="33"/>
        <v>0</v>
      </c>
    </row>
    <row r="567" spans="1:12" x14ac:dyDescent="0.25">
      <c r="A567" s="2">
        <v>44622</v>
      </c>
      <c r="B567" s="3">
        <v>30.74</v>
      </c>
      <c r="C567" s="3">
        <f t="shared" si="34"/>
        <v>30.74</v>
      </c>
      <c r="D567" s="3">
        <v>4386.54</v>
      </c>
      <c r="E567" s="3">
        <f t="shared" si="35"/>
        <v>4386.54</v>
      </c>
      <c r="F567" s="3">
        <f>MAX($E$2:E567)</f>
        <v>4796.5600000000004</v>
      </c>
      <c r="G567" s="3">
        <f t="shared" si="32"/>
        <v>-8.548209550177635</v>
      </c>
      <c r="I567" s="2">
        <v>44396</v>
      </c>
      <c r="J567" s="3">
        <f>IFERROR(VLOOKUP(I567,$A$1:$G$1610,3,FALSE),J566)</f>
        <v>22.5</v>
      </c>
      <c r="K567" s="3">
        <f>IFERROR(VLOOKUP(I567,$A$1:$G$1610,7,FALSE),K566)</f>
        <v>-2.8768676034237854</v>
      </c>
      <c r="L567" s="5">
        <f t="shared" si="33"/>
        <v>0</v>
      </c>
    </row>
    <row r="568" spans="1:12" x14ac:dyDescent="0.25">
      <c r="A568" s="2">
        <v>44623</v>
      </c>
      <c r="B568" s="3">
        <v>30.48</v>
      </c>
      <c r="C568" s="3">
        <f t="shared" si="34"/>
        <v>30.48</v>
      </c>
      <c r="D568" s="3">
        <v>4363.49</v>
      </c>
      <c r="E568" s="3">
        <f t="shared" si="35"/>
        <v>4363.49</v>
      </c>
      <c r="F568" s="3">
        <f>MAX($E$2:E568)</f>
        <v>4796.5600000000004</v>
      </c>
      <c r="G568" s="3">
        <f t="shared" si="32"/>
        <v>-9.0287622796337494</v>
      </c>
      <c r="I568" s="2">
        <v>44397</v>
      </c>
      <c r="J568" s="3">
        <f>IFERROR(VLOOKUP(I568,$A$1:$G$1610,3,FALSE),J567)</f>
        <v>19.73</v>
      </c>
      <c r="K568" s="3">
        <f>IFERROR(VLOOKUP(I568,$A$1:$G$1610,7,FALSE),K567)</f>
        <v>-1.4042233894308005</v>
      </c>
      <c r="L568" s="5">
        <f t="shared" si="33"/>
        <v>0</v>
      </c>
    </row>
    <row r="569" spans="1:12" x14ac:dyDescent="0.25">
      <c r="A569" s="2">
        <v>44624</v>
      </c>
      <c r="B569" s="3">
        <v>31.98</v>
      </c>
      <c r="C569" s="3">
        <f t="shared" si="34"/>
        <v>31.98</v>
      </c>
      <c r="D569" s="3">
        <v>4328.87</v>
      </c>
      <c r="E569" s="3">
        <f t="shared" si="35"/>
        <v>4328.87</v>
      </c>
      <c r="F569" s="3">
        <f>MAX($E$2:E569)</f>
        <v>4796.5600000000004</v>
      </c>
      <c r="G569" s="3">
        <f t="shared" si="32"/>
        <v>-9.7505295461747679</v>
      </c>
      <c r="I569" s="2">
        <v>44398</v>
      </c>
      <c r="J569" s="3">
        <f>IFERROR(VLOOKUP(I569,$A$1:$G$1610,3,FALSE),J568)</f>
        <v>17.91</v>
      </c>
      <c r="K569" s="3">
        <f>IFERROR(VLOOKUP(I569,$A$1:$G$1610,7,FALSE),K568)</f>
        <v>-0.59161206304752068</v>
      </c>
      <c r="L569" s="5">
        <f t="shared" si="33"/>
        <v>0</v>
      </c>
    </row>
    <row r="570" spans="1:12" x14ac:dyDescent="0.25">
      <c r="A570" s="2">
        <v>44627</v>
      </c>
      <c r="B570" s="3">
        <v>36.450000000000003</v>
      </c>
      <c r="C570" s="3">
        <f t="shared" si="34"/>
        <v>36.450000000000003</v>
      </c>
      <c r="D570" s="3">
        <v>4201.09</v>
      </c>
      <c r="E570" s="3">
        <f t="shared" si="35"/>
        <v>4201.09</v>
      </c>
      <c r="F570" s="3">
        <f>MAX($E$2:E570)</f>
        <v>4796.5600000000004</v>
      </c>
      <c r="G570" s="3">
        <f t="shared" si="32"/>
        <v>-12.414522074153147</v>
      </c>
      <c r="I570" s="2">
        <v>44399</v>
      </c>
      <c r="J570" s="3">
        <f>IFERROR(VLOOKUP(I570,$A$1:$G$1610,3,FALSE),J569)</f>
        <v>17.690000000000001</v>
      </c>
      <c r="K570" s="3">
        <f>IFERROR(VLOOKUP(I570,$A$1:$G$1610,7,FALSE),K569)</f>
        <v>-0.39113904708038183</v>
      </c>
      <c r="L570" s="5">
        <f t="shared" si="33"/>
        <v>0</v>
      </c>
    </row>
    <row r="571" spans="1:12" x14ac:dyDescent="0.25">
      <c r="A571" s="2">
        <v>44628</v>
      </c>
      <c r="B571" s="3">
        <v>35.130000000000003</v>
      </c>
      <c r="C571" s="3">
        <f t="shared" si="34"/>
        <v>35.130000000000003</v>
      </c>
      <c r="D571" s="3">
        <v>4170.7</v>
      </c>
      <c r="E571" s="3">
        <f t="shared" si="35"/>
        <v>4170.7</v>
      </c>
      <c r="F571" s="3">
        <f>MAX($E$2:E571)</f>
        <v>4796.5600000000004</v>
      </c>
      <c r="G571" s="3">
        <f t="shared" si="32"/>
        <v>-13.048101139149734</v>
      </c>
      <c r="I571" s="2">
        <v>44400</v>
      </c>
      <c r="J571" s="3">
        <f>IFERROR(VLOOKUP(I571,$A$1:$G$1610,3,FALSE),J570)</f>
        <v>17.2</v>
      </c>
      <c r="K571" s="3">
        <f>IFERROR(VLOOKUP(I571,$A$1:$G$1610,7,FALSE),K570)</f>
        <v>0</v>
      </c>
      <c r="L571" s="5">
        <f t="shared" si="33"/>
        <v>0</v>
      </c>
    </row>
    <row r="572" spans="1:12" x14ac:dyDescent="0.25">
      <c r="A572" s="2">
        <v>44629</v>
      </c>
      <c r="B572" s="3">
        <v>32.450000000000003</v>
      </c>
      <c r="C572" s="3">
        <f t="shared" si="34"/>
        <v>32.450000000000003</v>
      </c>
      <c r="D572" s="3">
        <v>4277.88</v>
      </c>
      <c r="E572" s="3">
        <f t="shared" si="35"/>
        <v>4277.88</v>
      </c>
      <c r="F572" s="3">
        <f>MAX($E$2:E572)</f>
        <v>4796.5600000000004</v>
      </c>
      <c r="G572" s="3">
        <f t="shared" si="32"/>
        <v>-10.813583067865308</v>
      </c>
      <c r="I572" s="2">
        <v>44401</v>
      </c>
      <c r="J572" s="3">
        <f>IFERROR(VLOOKUP(I572,$A$1:$G$1610,3,FALSE),J571)</f>
        <v>17.2</v>
      </c>
      <c r="K572" s="3">
        <f>IFERROR(VLOOKUP(I572,$A$1:$G$1610,7,FALSE),K571)</f>
        <v>0</v>
      </c>
      <c r="L572" s="5">
        <f t="shared" si="33"/>
        <v>0</v>
      </c>
    </row>
    <row r="573" spans="1:12" x14ac:dyDescent="0.25">
      <c r="A573" s="2">
        <v>44630</v>
      </c>
      <c r="B573" s="3">
        <v>30.23</v>
      </c>
      <c r="C573" s="3">
        <f t="shared" si="34"/>
        <v>30.23</v>
      </c>
      <c r="D573" s="3">
        <v>4259.5200000000004</v>
      </c>
      <c r="E573" s="3">
        <f t="shared" si="35"/>
        <v>4259.5200000000004</v>
      </c>
      <c r="F573" s="3">
        <f>MAX($E$2:E573)</f>
        <v>4796.5600000000004</v>
      </c>
      <c r="G573" s="3">
        <f t="shared" si="32"/>
        <v>-11.196357389462447</v>
      </c>
      <c r="I573" s="2">
        <v>44402</v>
      </c>
      <c r="J573" s="3">
        <f>IFERROR(VLOOKUP(I573,$A$1:$G$1610,3,FALSE),J572)</f>
        <v>17.2</v>
      </c>
      <c r="K573" s="3">
        <f>IFERROR(VLOOKUP(I573,$A$1:$G$1610,7,FALSE),K572)</f>
        <v>0</v>
      </c>
      <c r="L573" s="5">
        <f t="shared" si="33"/>
        <v>0</v>
      </c>
    </row>
    <row r="574" spans="1:12" x14ac:dyDescent="0.25">
      <c r="A574" s="2">
        <v>44631</v>
      </c>
      <c r="B574" s="3">
        <v>30.75</v>
      </c>
      <c r="C574" s="3">
        <f t="shared" si="34"/>
        <v>30.75</v>
      </c>
      <c r="D574" s="3">
        <v>4204.3100000000004</v>
      </c>
      <c r="E574" s="3">
        <f t="shared" si="35"/>
        <v>4204.3100000000004</v>
      </c>
      <c r="F574" s="3">
        <f>MAX($E$2:E574)</f>
        <v>4796.5600000000004</v>
      </c>
      <c r="G574" s="3">
        <f t="shared" si="32"/>
        <v>-12.347390629951464</v>
      </c>
      <c r="I574" s="2">
        <v>44403</v>
      </c>
      <c r="J574" s="3">
        <f>IFERROR(VLOOKUP(I574,$A$1:$G$1610,3,FALSE),J573)</f>
        <v>17.579999999999998</v>
      </c>
      <c r="K574" s="3">
        <f>IFERROR(VLOOKUP(I574,$A$1:$G$1610,7,FALSE),K573)</f>
        <v>0</v>
      </c>
      <c r="L574" s="5">
        <f t="shared" si="33"/>
        <v>0</v>
      </c>
    </row>
    <row r="575" spans="1:12" x14ac:dyDescent="0.25">
      <c r="A575" s="2">
        <v>44634</v>
      </c>
      <c r="B575" s="3">
        <v>31.77</v>
      </c>
      <c r="C575" s="3">
        <f t="shared" si="34"/>
        <v>31.77</v>
      </c>
      <c r="D575" s="3">
        <v>4173.1099999999997</v>
      </c>
      <c r="E575" s="3">
        <f t="shared" si="35"/>
        <v>4173.1099999999997</v>
      </c>
      <c r="F575" s="3">
        <f>MAX($E$2:E575)</f>
        <v>4796.5600000000004</v>
      </c>
      <c r="G575" s="3">
        <f t="shared" si="32"/>
        <v>-12.997856797371462</v>
      </c>
      <c r="I575" s="2">
        <v>44404</v>
      </c>
      <c r="J575" s="3">
        <f>IFERROR(VLOOKUP(I575,$A$1:$G$1610,3,FALSE),J574)</f>
        <v>19.36</v>
      </c>
      <c r="K575" s="3">
        <f>IFERROR(VLOOKUP(I575,$A$1:$G$1610,7,FALSE),K574)</f>
        <v>-0.47124799312575227</v>
      </c>
      <c r="L575" s="5">
        <f t="shared" si="33"/>
        <v>0</v>
      </c>
    </row>
    <row r="576" spans="1:12" x14ac:dyDescent="0.25">
      <c r="A576" s="2">
        <v>44635</v>
      </c>
      <c r="B576" s="3">
        <v>29.83</v>
      </c>
      <c r="C576" s="3">
        <f t="shared" si="34"/>
        <v>29.83</v>
      </c>
      <c r="D576" s="3">
        <v>4262.45</v>
      </c>
      <c r="E576" s="3">
        <f t="shared" si="35"/>
        <v>4262.45</v>
      </c>
      <c r="F576" s="3">
        <f>MAX($E$2:E576)</f>
        <v>4796.5600000000004</v>
      </c>
      <c r="G576" s="3">
        <f t="shared" si="32"/>
        <v>-11.135271944893852</v>
      </c>
      <c r="I576" s="2">
        <v>44405</v>
      </c>
      <c r="J576" s="3">
        <f>IFERROR(VLOOKUP(I576,$A$1:$G$1610,3,FALSE),J575)</f>
        <v>18.309999999999999</v>
      </c>
      <c r="K576" s="3">
        <f>IFERROR(VLOOKUP(I576,$A$1:$G$1610,7,FALSE),K575)</f>
        <v>-0.48979038057119262</v>
      </c>
      <c r="L576" s="5">
        <f t="shared" si="33"/>
        <v>0</v>
      </c>
    </row>
    <row r="577" spans="1:12" x14ac:dyDescent="0.25">
      <c r="A577" s="2">
        <v>44636</v>
      </c>
      <c r="B577" s="3">
        <v>26.67</v>
      </c>
      <c r="C577" s="3">
        <f t="shared" si="34"/>
        <v>26.67</v>
      </c>
      <c r="D577" s="3">
        <v>4357.8599999999997</v>
      </c>
      <c r="E577" s="3">
        <f t="shared" si="35"/>
        <v>4357.8599999999997</v>
      </c>
      <c r="F577" s="3">
        <f>MAX($E$2:E577)</f>
        <v>4796.5600000000004</v>
      </c>
      <c r="G577" s="3">
        <f t="shared" si="32"/>
        <v>-9.1461380656137035</v>
      </c>
      <c r="I577" s="2">
        <v>44406</v>
      </c>
      <c r="J577" s="3">
        <f>IFERROR(VLOOKUP(I577,$A$1:$G$1610,3,FALSE),J576)</f>
        <v>17.7</v>
      </c>
      <c r="K577" s="3">
        <f>IFERROR(VLOOKUP(I577,$A$1:$G$1610,7,FALSE),K576)</f>
        <v>-7.1229902991668259E-2</v>
      </c>
      <c r="L577" s="5">
        <f t="shared" si="33"/>
        <v>0</v>
      </c>
    </row>
    <row r="578" spans="1:12" x14ac:dyDescent="0.25">
      <c r="A578" s="2">
        <v>44637</v>
      </c>
      <c r="B578" s="3">
        <v>25.67</v>
      </c>
      <c r="C578" s="3">
        <f t="shared" si="34"/>
        <v>25.67</v>
      </c>
      <c r="D578" s="3">
        <v>4411.67</v>
      </c>
      <c r="E578" s="3">
        <f t="shared" si="35"/>
        <v>4411.67</v>
      </c>
      <c r="F578" s="3">
        <f>MAX($E$2:E578)</f>
        <v>4796.5600000000004</v>
      </c>
      <c r="G578" s="3">
        <f t="shared" ref="G578:G641" si="36">(E578-F578)/F578*100</f>
        <v>-8.0242924095601911</v>
      </c>
      <c r="I578" s="2">
        <v>44407</v>
      </c>
      <c r="J578" s="3">
        <f>IFERROR(VLOOKUP(I578,$A$1:$G$1610,3,FALSE),J577)</f>
        <v>18.239999999999998</v>
      </c>
      <c r="K578" s="3">
        <f>IFERROR(VLOOKUP(I578,$A$1:$G$1610,7,FALSE),K577)</f>
        <v>-0.61144653234742019</v>
      </c>
      <c r="L578" s="5">
        <f t="shared" ref="L578:L641" si="37">IF(OR(J578&gt;=30,K578&lt;-10),1,0)</f>
        <v>0</v>
      </c>
    </row>
    <row r="579" spans="1:12" x14ac:dyDescent="0.25">
      <c r="A579" s="2">
        <v>44638</v>
      </c>
      <c r="B579" s="3">
        <v>23.87</v>
      </c>
      <c r="C579" s="3">
        <f t="shared" ref="C579:C642" si="38">IF(B579="",B578,B579)</f>
        <v>23.87</v>
      </c>
      <c r="D579" s="3">
        <v>4463.12</v>
      </c>
      <c r="E579" s="3">
        <f t="shared" si="35"/>
        <v>4463.12</v>
      </c>
      <c r="F579" s="3">
        <f>MAX($E$2:E579)</f>
        <v>4796.5600000000004</v>
      </c>
      <c r="G579" s="3">
        <f t="shared" si="36"/>
        <v>-6.9516486815551239</v>
      </c>
      <c r="I579" s="2">
        <v>44408</v>
      </c>
      <c r="J579" s="3">
        <f>IFERROR(VLOOKUP(I579,$A$1:$G$1610,3,FALSE),J578)</f>
        <v>18.239999999999998</v>
      </c>
      <c r="K579" s="3">
        <f>IFERROR(VLOOKUP(I579,$A$1:$G$1610,7,FALSE),K578)</f>
        <v>-0.61144653234742019</v>
      </c>
      <c r="L579" s="5">
        <f t="shared" si="37"/>
        <v>0</v>
      </c>
    </row>
    <row r="580" spans="1:12" x14ac:dyDescent="0.25">
      <c r="A580" s="2">
        <v>44641</v>
      </c>
      <c r="B580" s="3">
        <v>23.53</v>
      </c>
      <c r="C580" s="3">
        <f t="shared" si="38"/>
        <v>23.53</v>
      </c>
      <c r="D580" s="3">
        <v>4461.18</v>
      </c>
      <c r="E580" s="3">
        <f t="shared" si="35"/>
        <v>4461.18</v>
      </c>
      <c r="F580" s="3">
        <f>MAX($E$2:E580)</f>
        <v>4796.5600000000004</v>
      </c>
      <c r="G580" s="3">
        <f t="shared" si="36"/>
        <v>-6.9920943342728972</v>
      </c>
      <c r="I580" s="2">
        <v>44409</v>
      </c>
      <c r="J580" s="3">
        <f>IFERROR(VLOOKUP(I580,$A$1:$G$1610,3,FALSE),J579)</f>
        <v>18.239999999999998</v>
      </c>
      <c r="K580" s="3">
        <f>IFERROR(VLOOKUP(I580,$A$1:$G$1610,7,FALSE),K579)</f>
        <v>-0.61144653234742019</v>
      </c>
      <c r="L580" s="5">
        <f t="shared" si="37"/>
        <v>0</v>
      </c>
    </row>
    <row r="581" spans="1:12" x14ac:dyDescent="0.25">
      <c r="A581" s="2">
        <v>44642</v>
      </c>
      <c r="B581" s="3">
        <v>22.94</v>
      </c>
      <c r="C581" s="3">
        <f t="shared" si="38"/>
        <v>22.94</v>
      </c>
      <c r="D581" s="3">
        <v>4511.6099999999997</v>
      </c>
      <c r="E581" s="3">
        <f t="shared" ref="E581:E644" si="39">IF(D581="",D580,D581)</f>
        <v>4511.6099999999997</v>
      </c>
      <c r="F581" s="3">
        <f>MAX($E$2:E581)</f>
        <v>4796.5600000000004</v>
      </c>
      <c r="G581" s="3">
        <f t="shared" si="36"/>
        <v>-5.9407158463565697</v>
      </c>
      <c r="I581" s="2">
        <v>44410</v>
      </c>
      <c r="J581" s="3">
        <f>IFERROR(VLOOKUP(I581,$A$1:$G$1610,3,FALSE),J580)</f>
        <v>19.46</v>
      </c>
      <c r="K581" s="3">
        <f>IFERROR(VLOOKUP(I581,$A$1:$G$1610,7,FALSE),K580)</f>
        <v>-0.79460914004025796</v>
      </c>
      <c r="L581" s="5">
        <f t="shared" si="37"/>
        <v>0</v>
      </c>
    </row>
    <row r="582" spans="1:12" x14ac:dyDescent="0.25">
      <c r="A582" s="2">
        <v>44643</v>
      </c>
      <c r="B582" s="3">
        <v>23.57</v>
      </c>
      <c r="C582" s="3">
        <f t="shared" si="38"/>
        <v>23.57</v>
      </c>
      <c r="D582" s="3">
        <v>4456.24</v>
      </c>
      <c r="E582" s="3">
        <f t="shared" si="39"/>
        <v>4456.24</v>
      </c>
      <c r="F582" s="3">
        <f>MAX($E$2:E582)</f>
        <v>4796.5600000000004</v>
      </c>
      <c r="G582" s="3">
        <f t="shared" si="36"/>
        <v>-7.0950848107810716</v>
      </c>
      <c r="I582" s="2">
        <v>44411</v>
      </c>
      <c r="J582" s="3">
        <f>IFERROR(VLOOKUP(I582,$A$1:$G$1610,3,FALSE),J581)</f>
        <v>18.04</v>
      </c>
      <c r="K582" s="3">
        <f>IFERROR(VLOOKUP(I582,$A$1:$G$1610,7,FALSE),K581)</f>
        <v>0</v>
      </c>
      <c r="L582" s="5">
        <f t="shared" si="37"/>
        <v>0</v>
      </c>
    </row>
    <row r="583" spans="1:12" x14ac:dyDescent="0.25">
      <c r="A583" s="2">
        <v>44644</v>
      </c>
      <c r="B583" s="3">
        <v>21.67</v>
      </c>
      <c r="C583" s="3">
        <f t="shared" si="38"/>
        <v>21.67</v>
      </c>
      <c r="D583" s="3">
        <v>4520.16</v>
      </c>
      <c r="E583" s="3">
        <f t="shared" si="39"/>
        <v>4520.16</v>
      </c>
      <c r="F583" s="3">
        <f>MAX($E$2:E583)</f>
        <v>4796.5600000000004</v>
      </c>
      <c r="G583" s="3">
        <f t="shared" si="36"/>
        <v>-5.7624630985539742</v>
      </c>
      <c r="I583" s="2">
        <v>44412</v>
      </c>
      <c r="J583" s="3">
        <f>IFERROR(VLOOKUP(I583,$A$1:$G$1610,3,FALSE),J582)</f>
        <v>17.97</v>
      </c>
      <c r="K583" s="3">
        <f>IFERROR(VLOOKUP(I583,$A$1:$G$1610,7,FALSE),K582)</f>
        <v>-0.4632445203079204</v>
      </c>
      <c r="L583" s="5">
        <f t="shared" si="37"/>
        <v>0</v>
      </c>
    </row>
    <row r="584" spans="1:12" x14ac:dyDescent="0.25">
      <c r="A584" s="2">
        <v>44645</v>
      </c>
      <c r="B584" s="3">
        <v>20.81</v>
      </c>
      <c r="C584" s="3">
        <f t="shared" si="38"/>
        <v>20.81</v>
      </c>
      <c r="D584" s="3">
        <v>4543.0600000000004</v>
      </c>
      <c r="E584" s="3">
        <f t="shared" si="39"/>
        <v>4543.0600000000004</v>
      </c>
      <c r="F584" s="3">
        <f>MAX($E$2:E584)</f>
        <v>4796.5600000000004</v>
      </c>
      <c r="G584" s="3">
        <f t="shared" si="36"/>
        <v>-5.2850376102873717</v>
      </c>
      <c r="I584" s="2">
        <v>44413</v>
      </c>
      <c r="J584" s="3">
        <f>IFERROR(VLOOKUP(I584,$A$1:$G$1610,3,FALSE),J583)</f>
        <v>17.28</v>
      </c>
      <c r="K584" s="3">
        <f>IFERROR(VLOOKUP(I584,$A$1:$G$1610,7,FALSE),K583)</f>
        <v>0</v>
      </c>
      <c r="L584" s="5">
        <f t="shared" si="37"/>
        <v>0</v>
      </c>
    </row>
    <row r="585" spans="1:12" x14ac:dyDescent="0.25">
      <c r="A585" s="2">
        <v>44648</v>
      </c>
      <c r="B585" s="3">
        <v>19.63</v>
      </c>
      <c r="C585" s="3">
        <f t="shared" si="38"/>
        <v>19.63</v>
      </c>
      <c r="D585" s="3">
        <v>4575.5200000000004</v>
      </c>
      <c r="E585" s="3">
        <f t="shared" si="39"/>
        <v>4575.5200000000004</v>
      </c>
      <c r="F585" s="3">
        <f>MAX($E$2:E585)</f>
        <v>4796.5600000000004</v>
      </c>
      <c r="G585" s="3">
        <f t="shared" si="36"/>
        <v>-4.6083026168754255</v>
      </c>
      <c r="I585" s="2">
        <v>44414</v>
      </c>
      <c r="J585" s="3">
        <f>IFERROR(VLOOKUP(I585,$A$1:$G$1610,3,FALSE),J584)</f>
        <v>16.149999999999999</v>
      </c>
      <c r="K585" s="3">
        <f>IFERROR(VLOOKUP(I585,$A$1:$G$1610,7,FALSE),K584)</f>
        <v>0</v>
      </c>
      <c r="L585" s="5">
        <f t="shared" si="37"/>
        <v>0</v>
      </c>
    </row>
    <row r="586" spans="1:12" x14ac:dyDescent="0.25">
      <c r="A586" s="2">
        <v>44649</v>
      </c>
      <c r="B586" s="3">
        <v>18.899999999999999</v>
      </c>
      <c r="C586" s="3">
        <f t="shared" si="38"/>
        <v>18.899999999999999</v>
      </c>
      <c r="D586" s="3">
        <v>4631.6000000000004</v>
      </c>
      <c r="E586" s="3">
        <f t="shared" si="39"/>
        <v>4631.6000000000004</v>
      </c>
      <c r="F586" s="3">
        <f>MAX($E$2:E586)</f>
        <v>4796.5600000000004</v>
      </c>
      <c r="G586" s="3">
        <f t="shared" si="36"/>
        <v>-3.4391313774871999</v>
      </c>
      <c r="I586" s="2">
        <v>44415</v>
      </c>
      <c r="J586" s="3">
        <f>IFERROR(VLOOKUP(I586,$A$1:$G$1610,3,FALSE),J585)</f>
        <v>16.149999999999999</v>
      </c>
      <c r="K586" s="3">
        <f>IFERROR(VLOOKUP(I586,$A$1:$G$1610,7,FALSE),K585)</f>
        <v>0</v>
      </c>
      <c r="L586" s="5">
        <f t="shared" si="37"/>
        <v>0</v>
      </c>
    </row>
    <row r="587" spans="1:12" x14ac:dyDescent="0.25">
      <c r="A587" s="2">
        <v>44650</v>
      </c>
      <c r="B587" s="3">
        <v>19.329999999999998</v>
      </c>
      <c r="C587" s="3">
        <f t="shared" si="38"/>
        <v>19.329999999999998</v>
      </c>
      <c r="D587" s="3">
        <v>4602.45</v>
      </c>
      <c r="E587" s="3">
        <f t="shared" si="39"/>
        <v>4602.45</v>
      </c>
      <c r="F587" s="3">
        <f>MAX($E$2:E587)</f>
        <v>4796.5600000000004</v>
      </c>
      <c r="G587" s="3">
        <f t="shared" si="36"/>
        <v>-4.0468585819837672</v>
      </c>
      <c r="I587" s="2">
        <v>44416</v>
      </c>
      <c r="J587" s="3">
        <f>IFERROR(VLOOKUP(I587,$A$1:$G$1610,3,FALSE),J586)</f>
        <v>16.149999999999999</v>
      </c>
      <c r="K587" s="3">
        <f>IFERROR(VLOOKUP(I587,$A$1:$G$1610,7,FALSE),K586)</f>
        <v>0</v>
      </c>
      <c r="L587" s="5">
        <f t="shared" si="37"/>
        <v>0</v>
      </c>
    </row>
    <row r="588" spans="1:12" x14ac:dyDescent="0.25">
      <c r="A588" s="2">
        <v>44651</v>
      </c>
      <c r="B588" s="3">
        <v>20.56</v>
      </c>
      <c r="C588" s="3">
        <f t="shared" si="38"/>
        <v>20.56</v>
      </c>
      <c r="D588" s="3">
        <v>4530.41</v>
      </c>
      <c r="E588" s="3">
        <f t="shared" si="39"/>
        <v>4530.41</v>
      </c>
      <c r="F588" s="3">
        <f>MAX($E$2:E588)</f>
        <v>4796.5600000000004</v>
      </c>
      <c r="G588" s="3">
        <f t="shared" si="36"/>
        <v>-5.5487682839368322</v>
      </c>
      <c r="I588" s="2">
        <v>44417</v>
      </c>
      <c r="J588" s="3">
        <f>IFERROR(VLOOKUP(I588,$A$1:$G$1610,3,FALSE),J587)</f>
        <v>16.72</v>
      </c>
      <c r="K588" s="3">
        <f>IFERROR(VLOOKUP(I588,$A$1:$G$1610,7,FALSE),K587)</f>
        <v>-9.3992588785806727E-2</v>
      </c>
      <c r="L588" s="5">
        <f t="shared" si="37"/>
        <v>0</v>
      </c>
    </row>
    <row r="589" spans="1:12" x14ac:dyDescent="0.25">
      <c r="A589" s="2">
        <v>44652</v>
      </c>
      <c r="B589" s="3">
        <v>19.63</v>
      </c>
      <c r="C589" s="3">
        <f t="shared" si="38"/>
        <v>19.63</v>
      </c>
      <c r="D589" s="3">
        <v>4545.8599999999997</v>
      </c>
      <c r="E589" s="3">
        <f t="shared" si="39"/>
        <v>4545.8599999999997</v>
      </c>
      <c r="F589" s="3">
        <f>MAX($E$2:E589)</f>
        <v>4796.5600000000004</v>
      </c>
      <c r="G589" s="3">
        <f t="shared" si="36"/>
        <v>-5.2266624414163632</v>
      </c>
      <c r="I589" s="2">
        <v>44418</v>
      </c>
      <c r="J589" s="3">
        <f>IFERROR(VLOOKUP(I589,$A$1:$G$1610,3,FALSE),J588)</f>
        <v>16.79</v>
      </c>
      <c r="K589" s="3">
        <f>IFERROR(VLOOKUP(I589,$A$1:$G$1610,7,FALSE),K588)</f>
        <v>0</v>
      </c>
      <c r="L589" s="5">
        <f t="shared" si="37"/>
        <v>0</v>
      </c>
    </row>
    <row r="590" spans="1:12" x14ac:dyDescent="0.25">
      <c r="A590" s="2">
        <v>44655</v>
      </c>
      <c r="B590" s="3">
        <v>18.57</v>
      </c>
      <c r="C590" s="3">
        <f t="shared" si="38"/>
        <v>18.57</v>
      </c>
      <c r="D590" s="3">
        <v>4582.6400000000003</v>
      </c>
      <c r="E590" s="3">
        <f t="shared" si="39"/>
        <v>4582.6400000000003</v>
      </c>
      <c r="F590" s="3">
        <f>MAX($E$2:E590)</f>
        <v>4796.5600000000004</v>
      </c>
      <c r="G590" s="3">
        <f t="shared" si="36"/>
        <v>-4.4598629017462521</v>
      </c>
      <c r="I590" s="2">
        <v>44419</v>
      </c>
      <c r="J590" s="3">
        <f>IFERROR(VLOOKUP(I590,$A$1:$G$1610,3,FALSE),J589)</f>
        <v>16.059999999999999</v>
      </c>
      <c r="K590" s="3">
        <f>IFERROR(VLOOKUP(I590,$A$1:$G$1610,7,FALSE),K589)</f>
        <v>0</v>
      </c>
      <c r="L590" s="5">
        <f t="shared" si="37"/>
        <v>0</v>
      </c>
    </row>
    <row r="591" spans="1:12" x14ac:dyDescent="0.25">
      <c r="A591" s="2">
        <v>44656</v>
      </c>
      <c r="B591" s="3">
        <v>21.03</v>
      </c>
      <c r="C591" s="3">
        <f t="shared" si="38"/>
        <v>21.03</v>
      </c>
      <c r="D591" s="3">
        <v>4525.12</v>
      </c>
      <c r="E591" s="3">
        <f t="shared" si="39"/>
        <v>4525.12</v>
      </c>
      <c r="F591" s="3">
        <f>MAX($E$2:E591)</f>
        <v>4796.5600000000004</v>
      </c>
      <c r="G591" s="3">
        <f t="shared" si="36"/>
        <v>-5.659055656553873</v>
      </c>
      <c r="I591" s="2">
        <v>44420</v>
      </c>
      <c r="J591" s="3">
        <f>IFERROR(VLOOKUP(I591,$A$1:$G$1610,3,FALSE),J590)</f>
        <v>15.59</v>
      </c>
      <c r="K591" s="3">
        <f>IFERROR(VLOOKUP(I591,$A$1:$G$1610,7,FALSE),K590)</f>
        <v>0</v>
      </c>
      <c r="L591" s="5">
        <f t="shared" si="37"/>
        <v>0</v>
      </c>
    </row>
    <row r="592" spans="1:12" x14ac:dyDescent="0.25">
      <c r="A592" s="2">
        <v>44657</v>
      </c>
      <c r="B592" s="3">
        <v>22.1</v>
      </c>
      <c r="C592" s="3">
        <f t="shared" si="38"/>
        <v>22.1</v>
      </c>
      <c r="D592" s="3">
        <v>4481.1499999999996</v>
      </c>
      <c r="E592" s="3">
        <f t="shared" si="39"/>
        <v>4481.1499999999996</v>
      </c>
      <c r="F592" s="3">
        <f>MAX($E$2:E592)</f>
        <v>4796.5600000000004</v>
      </c>
      <c r="G592" s="3">
        <f t="shared" si="36"/>
        <v>-6.5757542905749267</v>
      </c>
      <c r="I592" s="2">
        <v>44421</v>
      </c>
      <c r="J592" s="3">
        <f>IFERROR(VLOOKUP(I592,$A$1:$G$1610,3,FALSE),J591)</f>
        <v>15.45</v>
      </c>
      <c r="K592" s="3">
        <f>IFERROR(VLOOKUP(I592,$A$1:$G$1610,7,FALSE),K591)</f>
        <v>0</v>
      </c>
      <c r="L592" s="5">
        <f t="shared" si="37"/>
        <v>0</v>
      </c>
    </row>
    <row r="593" spans="1:12" x14ac:dyDescent="0.25">
      <c r="A593" s="2">
        <v>44658</v>
      </c>
      <c r="B593" s="3">
        <v>21.55</v>
      </c>
      <c r="C593" s="3">
        <f t="shared" si="38"/>
        <v>21.55</v>
      </c>
      <c r="D593" s="3">
        <v>4500.21</v>
      </c>
      <c r="E593" s="3">
        <f t="shared" si="39"/>
        <v>4500.21</v>
      </c>
      <c r="F593" s="3">
        <f>MAX($E$2:E593)</f>
        <v>4796.5600000000004</v>
      </c>
      <c r="G593" s="3">
        <f t="shared" si="36"/>
        <v>-6.1783861767600188</v>
      </c>
      <c r="I593" s="2">
        <v>44422</v>
      </c>
      <c r="J593" s="3">
        <f>IFERROR(VLOOKUP(I593,$A$1:$G$1610,3,FALSE),J592)</f>
        <v>15.45</v>
      </c>
      <c r="K593" s="3">
        <f>IFERROR(VLOOKUP(I593,$A$1:$G$1610,7,FALSE),K592)</f>
        <v>0</v>
      </c>
      <c r="L593" s="5">
        <f t="shared" si="37"/>
        <v>0</v>
      </c>
    </row>
    <row r="594" spans="1:12" x14ac:dyDescent="0.25">
      <c r="A594" s="2">
        <v>44659</v>
      </c>
      <c r="B594" s="3">
        <v>21.16</v>
      </c>
      <c r="C594" s="3">
        <f t="shared" si="38"/>
        <v>21.16</v>
      </c>
      <c r="D594" s="3">
        <v>4488.28</v>
      </c>
      <c r="E594" s="3">
        <f t="shared" si="39"/>
        <v>4488.28</v>
      </c>
      <c r="F594" s="3">
        <f>MAX($E$2:E594)</f>
        <v>4796.5600000000004</v>
      </c>
      <c r="G594" s="3">
        <f t="shared" si="36"/>
        <v>-6.4271060926997814</v>
      </c>
      <c r="I594" s="2">
        <v>44423</v>
      </c>
      <c r="J594" s="3">
        <f>IFERROR(VLOOKUP(I594,$A$1:$G$1610,3,FALSE),J593)</f>
        <v>15.45</v>
      </c>
      <c r="K594" s="3">
        <f>IFERROR(VLOOKUP(I594,$A$1:$G$1610,7,FALSE),K593)</f>
        <v>0</v>
      </c>
      <c r="L594" s="5">
        <f t="shared" si="37"/>
        <v>0</v>
      </c>
    </row>
    <row r="595" spans="1:12" x14ac:dyDescent="0.25">
      <c r="A595" s="2">
        <v>44662</v>
      </c>
      <c r="B595" s="3">
        <v>24.37</v>
      </c>
      <c r="C595" s="3">
        <f t="shared" si="38"/>
        <v>24.37</v>
      </c>
      <c r="D595" s="3">
        <v>4412.53</v>
      </c>
      <c r="E595" s="3">
        <f t="shared" si="39"/>
        <v>4412.53</v>
      </c>
      <c r="F595" s="3">
        <f>MAX($E$2:E595)</f>
        <v>4796.5600000000004</v>
      </c>
      <c r="G595" s="3">
        <f t="shared" si="36"/>
        <v>-8.0063628934069548</v>
      </c>
      <c r="I595" s="2">
        <v>44424</v>
      </c>
      <c r="J595" s="3">
        <f>IFERROR(VLOOKUP(I595,$A$1:$G$1610,3,FALSE),J594)</f>
        <v>16.12</v>
      </c>
      <c r="K595" s="3">
        <f>IFERROR(VLOOKUP(I595,$A$1:$G$1610,7,FALSE),K594)</f>
        <v>0</v>
      </c>
      <c r="L595" s="5">
        <f t="shared" si="37"/>
        <v>0</v>
      </c>
    </row>
    <row r="596" spans="1:12" x14ac:dyDescent="0.25">
      <c r="A596" s="2">
        <v>44663</v>
      </c>
      <c r="B596" s="3">
        <v>24.26</v>
      </c>
      <c r="C596" s="3">
        <f t="shared" si="38"/>
        <v>24.26</v>
      </c>
      <c r="D596" s="3">
        <v>4397.45</v>
      </c>
      <c r="E596" s="3">
        <f t="shared" si="39"/>
        <v>4397.45</v>
      </c>
      <c r="F596" s="3">
        <f>MAX($E$2:E596)</f>
        <v>4796.5600000000004</v>
      </c>
      <c r="G596" s="3">
        <f t="shared" si="36"/>
        <v>-8.320754874326612</v>
      </c>
      <c r="I596" s="2">
        <v>44425</v>
      </c>
      <c r="J596" s="3">
        <f>IFERROR(VLOOKUP(I596,$A$1:$G$1610,3,FALSE),J595)</f>
        <v>17.91</v>
      </c>
      <c r="K596" s="3">
        <f>IFERROR(VLOOKUP(I596,$A$1:$G$1610,7,FALSE),K595)</f>
        <v>-0.70607249129966243</v>
      </c>
      <c r="L596" s="5">
        <f t="shared" si="37"/>
        <v>0</v>
      </c>
    </row>
    <row r="597" spans="1:12" x14ac:dyDescent="0.25">
      <c r="A597" s="2">
        <v>44664</v>
      </c>
      <c r="B597" s="3">
        <v>21.82</v>
      </c>
      <c r="C597" s="3">
        <f t="shared" si="38"/>
        <v>21.82</v>
      </c>
      <c r="D597" s="3">
        <v>4446.59</v>
      </c>
      <c r="E597" s="3">
        <f t="shared" si="39"/>
        <v>4446.59</v>
      </c>
      <c r="F597" s="3">
        <f>MAX($E$2:E597)</f>
        <v>4796.5600000000004</v>
      </c>
      <c r="G597" s="3">
        <f t="shared" si="36"/>
        <v>-7.2962706606401309</v>
      </c>
      <c r="I597" s="2">
        <v>44426</v>
      </c>
      <c r="J597" s="3">
        <f>IFERROR(VLOOKUP(I597,$A$1:$G$1610,3,FALSE),J596)</f>
        <v>21.57</v>
      </c>
      <c r="K597" s="3">
        <f>IFERROR(VLOOKUP(I597,$A$1:$G$1610,7,FALSE),K596)</f>
        <v>-1.7733290771054284</v>
      </c>
      <c r="L597" s="5">
        <f t="shared" si="37"/>
        <v>0</v>
      </c>
    </row>
    <row r="598" spans="1:12" x14ac:dyDescent="0.25">
      <c r="A598" s="2">
        <v>44665</v>
      </c>
      <c r="B598" s="3">
        <v>22.7</v>
      </c>
      <c r="C598" s="3">
        <f t="shared" si="38"/>
        <v>22.7</v>
      </c>
      <c r="D598" s="3">
        <v>4392.59</v>
      </c>
      <c r="E598" s="3">
        <f t="shared" si="39"/>
        <v>4392.59</v>
      </c>
      <c r="F598" s="3">
        <f>MAX($E$2:E598)</f>
        <v>4796.5600000000004</v>
      </c>
      <c r="G598" s="3">
        <f t="shared" si="36"/>
        <v>-8.4220774888670267</v>
      </c>
      <c r="I598" s="2">
        <v>44427</v>
      </c>
      <c r="J598" s="3">
        <f>IFERROR(VLOOKUP(I598,$A$1:$G$1610,3,FALSE),J597)</f>
        <v>21.67</v>
      </c>
      <c r="K598" s="3">
        <f>IFERROR(VLOOKUP(I598,$A$1:$G$1610,7,FALSE),K597)</f>
        <v>-1.6498835862142829</v>
      </c>
      <c r="L598" s="5">
        <f t="shared" si="37"/>
        <v>0</v>
      </c>
    </row>
    <row r="599" spans="1:12" x14ac:dyDescent="0.25">
      <c r="A599" s="2">
        <v>44666</v>
      </c>
      <c r="C599" s="3">
        <f t="shared" si="38"/>
        <v>22.7</v>
      </c>
      <c r="E599" s="3">
        <f t="shared" si="39"/>
        <v>4392.59</v>
      </c>
      <c r="F599" s="3">
        <f>MAX($E$2:E599)</f>
        <v>4796.5600000000004</v>
      </c>
      <c r="G599" s="3">
        <f t="shared" si="36"/>
        <v>-8.4220774888670267</v>
      </c>
      <c r="I599" s="2">
        <v>44428</v>
      </c>
      <c r="J599" s="3">
        <f>IFERROR(VLOOKUP(I599,$A$1:$G$1610,3,FALSE),J598)</f>
        <v>18.559999999999999</v>
      </c>
      <c r="K599" s="3">
        <f>IFERROR(VLOOKUP(I599,$A$1:$G$1610,7,FALSE),K598)</f>
        <v>-0.84916211094021621</v>
      </c>
      <c r="L599" s="5">
        <f t="shared" si="37"/>
        <v>0</v>
      </c>
    </row>
    <row r="600" spans="1:12" x14ac:dyDescent="0.25">
      <c r="A600" s="2">
        <v>44669</v>
      </c>
      <c r="B600" s="3">
        <v>22.17</v>
      </c>
      <c r="C600" s="3">
        <f t="shared" si="38"/>
        <v>22.17</v>
      </c>
      <c r="D600" s="3">
        <v>4391.6899999999996</v>
      </c>
      <c r="E600" s="3">
        <f t="shared" si="39"/>
        <v>4391.6899999999996</v>
      </c>
      <c r="F600" s="3">
        <f>MAX($E$2:E600)</f>
        <v>4796.5600000000004</v>
      </c>
      <c r="G600" s="3">
        <f t="shared" si="36"/>
        <v>-8.4408409360041521</v>
      </c>
      <c r="I600" s="2">
        <v>44429</v>
      </c>
      <c r="J600" s="3">
        <f>IFERROR(VLOOKUP(I600,$A$1:$G$1610,3,FALSE),J599)</f>
        <v>18.559999999999999</v>
      </c>
      <c r="K600" s="3">
        <f>IFERROR(VLOOKUP(I600,$A$1:$G$1610,7,FALSE),K599)</f>
        <v>-0.84916211094021621</v>
      </c>
      <c r="L600" s="5">
        <f t="shared" si="37"/>
        <v>0</v>
      </c>
    </row>
    <row r="601" spans="1:12" x14ac:dyDescent="0.25">
      <c r="A601" s="2">
        <v>44670</v>
      </c>
      <c r="B601" s="3">
        <v>21.37</v>
      </c>
      <c r="C601" s="3">
        <f t="shared" si="38"/>
        <v>21.37</v>
      </c>
      <c r="D601" s="3">
        <v>4462.21</v>
      </c>
      <c r="E601" s="3">
        <f t="shared" si="39"/>
        <v>4462.21</v>
      </c>
      <c r="F601" s="3">
        <f>MAX($E$2:E601)</f>
        <v>4796.5600000000004</v>
      </c>
      <c r="G601" s="3">
        <f t="shared" si="36"/>
        <v>-6.9706206114382034</v>
      </c>
      <c r="I601" s="2">
        <v>44430</v>
      </c>
      <c r="J601" s="3">
        <f>IFERROR(VLOOKUP(I601,$A$1:$G$1610,3,FALSE),J600)</f>
        <v>18.559999999999999</v>
      </c>
      <c r="K601" s="3">
        <f>IFERROR(VLOOKUP(I601,$A$1:$G$1610,7,FALSE),K600)</f>
        <v>-0.84916211094021621</v>
      </c>
      <c r="L601" s="5">
        <f t="shared" si="37"/>
        <v>0</v>
      </c>
    </row>
    <row r="602" spans="1:12" x14ac:dyDescent="0.25">
      <c r="A602" s="2">
        <v>44671</v>
      </c>
      <c r="B602" s="3">
        <v>20.32</v>
      </c>
      <c r="C602" s="3">
        <f t="shared" si="38"/>
        <v>20.32</v>
      </c>
      <c r="D602" s="3">
        <v>4459.45</v>
      </c>
      <c r="E602" s="3">
        <f t="shared" si="39"/>
        <v>4459.45</v>
      </c>
      <c r="F602" s="3">
        <f>MAX($E$2:E602)</f>
        <v>4796.5600000000004</v>
      </c>
      <c r="G602" s="3">
        <f t="shared" si="36"/>
        <v>-7.028161849325361</v>
      </c>
      <c r="I602" s="2">
        <v>44431</v>
      </c>
      <c r="J602" s="3">
        <f>IFERROR(VLOOKUP(I602,$A$1:$G$1610,3,FALSE),J601)</f>
        <v>17.149999999999999</v>
      </c>
      <c r="K602" s="3">
        <f>IFERROR(VLOOKUP(I602,$A$1:$G$1610,7,FALSE),K601)</f>
        <v>-4.0181172442031081E-3</v>
      </c>
      <c r="L602" s="5">
        <f t="shared" si="37"/>
        <v>0</v>
      </c>
    </row>
    <row r="603" spans="1:12" x14ac:dyDescent="0.25">
      <c r="A603" s="2">
        <v>44672</v>
      </c>
      <c r="B603" s="3">
        <v>22.68</v>
      </c>
      <c r="C603" s="3">
        <f t="shared" si="38"/>
        <v>22.68</v>
      </c>
      <c r="D603" s="3">
        <v>4393.66</v>
      </c>
      <c r="E603" s="3">
        <f t="shared" si="39"/>
        <v>4393.66</v>
      </c>
      <c r="F603" s="3">
        <f>MAX($E$2:E603)</f>
        <v>4796.5600000000004</v>
      </c>
      <c r="G603" s="3">
        <f t="shared" si="36"/>
        <v>-8.3997698350484615</v>
      </c>
      <c r="I603" s="2">
        <v>44432</v>
      </c>
      <c r="J603" s="3">
        <f>IFERROR(VLOOKUP(I603,$A$1:$G$1610,3,FALSE),J602)</f>
        <v>17.22</v>
      </c>
      <c r="K603" s="3">
        <f>IFERROR(VLOOKUP(I603,$A$1:$G$1610,7,FALSE),K602)</f>
        <v>0</v>
      </c>
      <c r="L603" s="5">
        <f t="shared" si="37"/>
        <v>0</v>
      </c>
    </row>
    <row r="604" spans="1:12" x14ac:dyDescent="0.25">
      <c r="A604" s="2">
        <v>44673</v>
      </c>
      <c r="B604" s="3">
        <v>28.21</v>
      </c>
      <c r="C604" s="3">
        <f t="shared" si="38"/>
        <v>28.21</v>
      </c>
      <c r="D604" s="3">
        <v>4271.78</v>
      </c>
      <c r="E604" s="3">
        <f t="shared" si="39"/>
        <v>4271.78</v>
      </c>
      <c r="F604" s="3">
        <f>MAX($E$2:E604)</f>
        <v>4796.5600000000004</v>
      </c>
      <c r="G604" s="3">
        <f t="shared" si="36"/>
        <v>-10.940757542905761</v>
      </c>
      <c r="I604" s="2">
        <v>44433</v>
      </c>
      <c r="J604" s="3">
        <f>IFERROR(VLOOKUP(I604,$A$1:$G$1610,3,FALSE),J603)</f>
        <v>16.79</v>
      </c>
      <c r="K604" s="3">
        <f>IFERROR(VLOOKUP(I604,$A$1:$G$1610,7,FALSE),K603)</f>
        <v>0</v>
      </c>
      <c r="L604" s="5">
        <f t="shared" si="37"/>
        <v>0</v>
      </c>
    </row>
    <row r="605" spans="1:12" x14ac:dyDescent="0.25">
      <c r="A605" s="2">
        <v>44676</v>
      </c>
      <c r="B605" s="3">
        <v>27.02</v>
      </c>
      <c r="C605" s="3">
        <f t="shared" si="38"/>
        <v>27.02</v>
      </c>
      <c r="D605" s="3">
        <v>4296.12</v>
      </c>
      <c r="E605" s="3">
        <f t="shared" si="39"/>
        <v>4296.12</v>
      </c>
      <c r="F605" s="3">
        <f>MAX($E$2:E605)</f>
        <v>4796.5600000000004</v>
      </c>
      <c r="G605" s="3">
        <f t="shared" si="36"/>
        <v>-10.433310539219784</v>
      </c>
      <c r="I605" s="2">
        <v>44434</v>
      </c>
      <c r="J605" s="3">
        <f>IFERROR(VLOOKUP(I605,$A$1:$G$1610,3,FALSE),J604)</f>
        <v>18.84</v>
      </c>
      <c r="K605" s="3">
        <f>IFERROR(VLOOKUP(I605,$A$1:$G$1610,7,FALSE),K604)</f>
        <v>-0.58249317755698937</v>
      </c>
      <c r="L605" s="5">
        <f t="shared" si="37"/>
        <v>0</v>
      </c>
    </row>
    <row r="606" spans="1:12" x14ac:dyDescent="0.25">
      <c r="A606" s="2">
        <v>44677</v>
      </c>
      <c r="B606" s="3">
        <v>33.520000000000003</v>
      </c>
      <c r="C606" s="3">
        <f t="shared" si="38"/>
        <v>33.520000000000003</v>
      </c>
      <c r="D606" s="3">
        <v>4175.2</v>
      </c>
      <c r="E606" s="3">
        <f t="shared" si="39"/>
        <v>4175.2</v>
      </c>
      <c r="F606" s="3">
        <f>MAX($E$2:E606)</f>
        <v>4796.5600000000004</v>
      </c>
      <c r="G606" s="3">
        <f t="shared" si="36"/>
        <v>-12.954283903464162</v>
      </c>
      <c r="I606" s="2">
        <v>44435</v>
      </c>
      <c r="J606" s="3">
        <f>IFERROR(VLOOKUP(I606,$A$1:$G$1610,3,FALSE),J605)</f>
        <v>16.39</v>
      </c>
      <c r="K606" s="3">
        <f>IFERROR(VLOOKUP(I606,$A$1:$G$1610,7,FALSE),K605)</f>
        <v>0</v>
      </c>
      <c r="L606" s="5">
        <f t="shared" si="37"/>
        <v>0</v>
      </c>
    </row>
    <row r="607" spans="1:12" x14ac:dyDescent="0.25">
      <c r="A607" s="2">
        <v>44678</v>
      </c>
      <c r="B607" s="3">
        <v>31.6</v>
      </c>
      <c r="C607" s="3">
        <f t="shared" si="38"/>
        <v>31.6</v>
      </c>
      <c r="D607" s="3">
        <v>4183.96</v>
      </c>
      <c r="E607" s="3">
        <f t="shared" si="39"/>
        <v>4183.96</v>
      </c>
      <c r="F607" s="3">
        <f>MAX($E$2:E607)</f>
        <v>4796.5600000000004</v>
      </c>
      <c r="G607" s="3">
        <f t="shared" si="36"/>
        <v>-12.771653017996238</v>
      </c>
      <c r="I607" s="2">
        <v>44436</v>
      </c>
      <c r="J607" s="3">
        <f>IFERROR(VLOOKUP(I607,$A$1:$G$1610,3,FALSE),J606)</f>
        <v>16.39</v>
      </c>
      <c r="K607" s="3">
        <f>IFERROR(VLOOKUP(I607,$A$1:$G$1610,7,FALSE),K606)</f>
        <v>0</v>
      </c>
      <c r="L607" s="5">
        <f t="shared" si="37"/>
        <v>0</v>
      </c>
    </row>
    <row r="608" spans="1:12" x14ac:dyDescent="0.25">
      <c r="A608" s="2">
        <v>44679</v>
      </c>
      <c r="B608" s="3">
        <v>29.99</v>
      </c>
      <c r="C608" s="3">
        <f t="shared" si="38"/>
        <v>29.99</v>
      </c>
      <c r="D608" s="3">
        <v>4287.5</v>
      </c>
      <c r="E608" s="3">
        <f t="shared" si="39"/>
        <v>4287.5</v>
      </c>
      <c r="F608" s="3">
        <f>MAX($E$2:E608)</f>
        <v>4796.5600000000004</v>
      </c>
      <c r="G608" s="3">
        <f t="shared" si="36"/>
        <v>-10.613022666244149</v>
      </c>
      <c r="I608" s="2">
        <v>44437</v>
      </c>
      <c r="J608" s="3">
        <f>IFERROR(VLOOKUP(I608,$A$1:$G$1610,3,FALSE),J607)</f>
        <v>16.39</v>
      </c>
      <c r="K608" s="3">
        <f>IFERROR(VLOOKUP(I608,$A$1:$G$1610,7,FALSE),K607)</f>
        <v>0</v>
      </c>
      <c r="L608" s="5">
        <f t="shared" si="37"/>
        <v>0</v>
      </c>
    </row>
    <row r="609" spans="1:12" x14ac:dyDescent="0.25">
      <c r="A609" s="2">
        <v>44680</v>
      </c>
      <c r="B609" s="3">
        <v>33.4</v>
      </c>
      <c r="C609" s="3">
        <f t="shared" si="38"/>
        <v>33.4</v>
      </c>
      <c r="D609" s="3">
        <v>4131.93</v>
      </c>
      <c r="E609" s="3">
        <f t="shared" si="39"/>
        <v>4131.93</v>
      </c>
      <c r="F609" s="3">
        <f>MAX($E$2:E609)</f>
        <v>4796.5600000000004</v>
      </c>
      <c r="G609" s="3">
        <f t="shared" si="36"/>
        <v>-13.856388745267441</v>
      </c>
      <c r="I609" s="2">
        <v>44438</v>
      </c>
      <c r="J609" s="3">
        <f>IFERROR(VLOOKUP(I609,$A$1:$G$1610,3,FALSE),J608)</f>
        <v>16.190000000000001</v>
      </c>
      <c r="K609" s="3">
        <f>IFERROR(VLOOKUP(I609,$A$1:$G$1610,7,FALSE),K608)</f>
        <v>0</v>
      </c>
      <c r="L609" s="5">
        <f t="shared" si="37"/>
        <v>0</v>
      </c>
    </row>
    <row r="610" spans="1:12" x14ac:dyDescent="0.25">
      <c r="A610" s="2">
        <v>44683</v>
      </c>
      <c r="B610" s="3">
        <v>32.340000000000003</v>
      </c>
      <c r="C610" s="3">
        <f t="shared" si="38"/>
        <v>32.340000000000003</v>
      </c>
      <c r="D610" s="3">
        <v>4155.38</v>
      </c>
      <c r="E610" s="3">
        <f t="shared" si="39"/>
        <v>4155.38</v>
      </c>
      <c r="F610" s="3">
        <f>MAX($E$2:E610)</f>
        <v>4796.5600000000004</v>
      </c>
      <c r="G610" s="3">
        <f t="shared" si="36"/>
        <v>-13.367496705972618</v>
      </c>
      <c r="I610" s="2">
        <v>44439</v>
      </c>
      <c r="J610" s="3">
        <f>IFERROR(VLOOKUP(I610,$A$1:$G$1610,3,FALSE),J609)</f>
        <v>16.48</v>
      </c>
      <c r="K610" s="3">
        <f>IFERROR(VLOOKUP(I610,$A$1:$G$1610,7,FALSE),K609)</f>
        <v>-0.13491462399448137</v>
      </c>
      <c r="L610" s="5">
        <f t="shared" si="37"/>
        <v>0</v>
      </c>
    </row>
    <row r="611" spans="1:12" x14ac:dyDescent="0.25">
      <c r="A611" s="2">
        <v>44684</v>
      </c>
      <c r="B611" s="3">
        <v>29.25</v>
      </c>
      <c r="C611" s="3">
        <f t="shared" si="38"/>
        <v>29.25</v>
      </c>
      <c r="D611" s="3">
        <v>4175.4799999999996</v>
      </c>
      <c r="E611" s="3">
        <f t="shared" si="39"/>
        <v>4175.4799999999996</v>
      </c>
      <c r="F611" s="3">
        <f>MAX($E$2:E611)</f>
        <v>4796.5600000000004</v>
      </c>
      <c r="G611" s="3">
        <f t="shared" si="36"/>
        <v>-12.948446386577064</v>
      </c>
      <c r="I611" s="2">
        <v>44440</v>
      </c>
      <c r="J611" s="3">
        <f>IFERROR(VLOOKUP(I611,$A$1:$G$1610,3,FALSE),J610)</f>
        <v>16.11</v>
      </c>
      <c r="K611" s="3">
        <f>IFERROR(VLOOKUP(I611,$A$1:$G$1610,7,FALSE),K610)</f>
        <v>-0.10378047999575644</v>
      </c>
      <c r="L611" s="5">
        <f t="shared" si="37"/>
        <v>0</v>
      </c>
    </row>
    <row r="612" spans="1:12" x14ac:dyDescent="0.25">
      <c r="A612" s="2">
        <v>44685</v>
      </c>
      <c r="B612" s="3">
        <v>25.42</v>
      </c>
      <c r="C612" s="3">
        <f t="shared" si="38"/>
        <v>25.42</v>
      </c>
      <c r="D612" s="3">
        <v>4300.17</v>
      </c>
      <c r="E612" s="3">
        <f t="shared" si="39"/>
        <v>4300.17</v>
      </c>
      <c r="F612" s="3">
        <f>MAX($E$2:E612)</f>
        <v>4796.5600000000004</v>
      </c>
      <c r="G612" s="3">
        <f t="shared" si="36"/>
        <v>-10.348875027102764</v>
      </c>
      <c r="I612" s="2">
        <v>44441</v>
      </c>
      <c r="J612" s="3">
        <f>IFERROR(VLOOKUP(I612,$A$1:$G$1610,3,FALSE),J611)</f>
        <v>16.41</v>
      </c>
      <c r="K612" s="3">
        <f>IFERROR(VLOOKUP(I612,$A$1:$G$1610,7,FALSE),K611)</f>
        <v>0</v>
      </c>
      <c r="L612" s="5">
        <f t="shared" si="37"/>
        <v>0</v>
      </c>
    </row>
    <row r="613" spans="1:12" x14ac:dyDescent="0.25">
      <c r="A613" s="2">
        <v>44686</v>
      </c>
      <c r="B613" s="3">
        <v>31.2</v>
      </c>
      <c r="C613" s="3">
        <f t="shared" si="38"/>
        <v>31.2</v>
      </c>
      <c r="D613" s="3">
        <v>4146.87</v>
      </c>
      <c r="E613" s="3">
        <f t="shared" si="39"/>
        <v>4146.87</v>
      </c>
      <c r="F613" s="3">
        <f>MAX($E$2:E613)</f>
        <v>4796.5600000000004</v>
      </c>
      <c r="G613" s="3">
        <f t="shared" si="36"/>
        <v>-13.544915522791342</v>
      </c>
      <c r="I613" s="2">
        <v>44442</v>
      </c>
      <c r="J613" s="3">
        <f>IFERROR(VLOOKUP(I613,$A$1:$G$1610,3,FALSE),J612)</f>
        <v>16.41</v>
      </c>
      <c r="K613" s="3">
        <f>IFERROR(VLOOKUP(I613,$A$1:$G$1610,7,FALSE),K612)</f>
        <v>-3.350268352085712E-2</v>
      </c>
      <c r="L613" s="5">
        <f t="shared" si="37"/>
        <v>0</v>
      </c>
    </row>
    <row r="614" spans="1:12" x14ac:dyDescent="0.25">
      <c r="A614" s="2">
        <v>44687</v>
      </c>
      <c r="B614" s="3">
        <v>30.19</v>
      </c>
      <c r="C614" s="3">
        <f t="shared" si="38"/>
        <v>30.19</v>
      </c>
      <c r="D614" s="3">
        <v>4123.34</v>
      </c>
      <c r="E614" s="3">
        <f t="shared" si="39"/>
        <v>4123.34</v>
      </c>
      <c r="F614" s="3">
        <f>MAX($E$2:E614)</f>
        <v>4796.5600000000004</v>
      </c>
      <c r="G614" s="3">
        <f t="shared" si="36"/>
        <v>-14.035475424053908</v>
      </c>
      <c r="I614" s="2">
        <v>44443</v>
      </c>
      <c r="J614" s="3">
        <f>IFERROR(VLOOKUP(I614,$A$1:$G$1610,3,FALSE),J613)</f>
        <v>16.41</v>
      </c>
      <c r="K614" s="3">
        <f>IFERROR(VLOOKUP(I614,$A$1:$G$1610,7,FALSE),K613)</f>
        <v>-3.350268352085712E-2</v>
      </c>
      <c r="L614" s="5">
        <f t="shared" si="37"/>
        <v>0</v>
      </c>
    </row>
    <row r="615" spans="1:12" x14ac:dyDescent="0.25">
      <c r="A615" s="2">
        <v>44690</v>
      </c>
      <c r="B615" s="3">
        <v>34.75</v>
      </c>
      <c r="C615" s="3">
        <f t="shared" si="38"/>
        <v>34.75</v>
      </c>
      <c r="D615" s="3">
        <v>3991.24</v>
      </c>
      <c r="E615" s="3">
        <f t="shared" si="39"/>
        <v>3991.24</v>
      </c>
      <c r="F615" s="3">
        <f>MAX($E$2:E615)</f>
        <v>4796.5600000000004</v>
      </c>
      <c r="G615" s="3">
        <f t="shared" si="36"/>
        <v>-16.789532498290452</v>
      </c>
      <c r="I615" s="2">
        <v>44444</v>
      </c>
      <c r="J615" s="3">
        <f>IFERROR(VLOOKUP(I615,$A$1:$G$1610,3,FALSE),J614)</f>
        <v>16.41</v>
      </c>
      <c r="K615" s="3">
        <f>IFERROR(VLOOKUP(I615,$A$1:$G$1610,7,FALSE),K614)</f>
        <v>-3.350268352085712E-2</v>
      </c>
      <c r="L615" s="5">
        <f t="shared" si="37"/>
        <v>0</v>
      </c>
    </row>
    <row r="616" spans="1:12" x14ac:dyDescent="0.25">
      <c r="A616" s="2">
        <v>44691</v>
      </c>
      <c r="B616" s="3">
        <v>32.99</v>
      </c>
      <c r="C616" s="3">
        <f t="shared" si="38"/>
        <v>32.99</v>
      </c>
      <c r="D616" s="3">
        <v>4001.05</v>
      </c>
      <c r="E616" s="3">
        <f t="shared" si="39"/>
        <v>4001.05</v>
      </c>
      <c r="F616" s="3">
        <f>MAX($E$2:E616)</f>
        <v>4796.5600000000004</v>
      </c>
      <c r="G616" s="3">
        <f t="shared" si="36"/>
        <v>-16.58501092449589</v>
      </c>
      <c r="I616" s="2">
        <v>44445</v>
      </c>
      <c r="J616" s="3">
        <f>IFERROR(VLOOKUP(I616,$A$1:$G$1610,3,FALSE),J615)</f>
        <v>16.41</v>
      </c>
      <c r="K616" s="3">
        <f>IFERROR(VLOOKUP(I616,$A$1:$G$1610,7,FALSE),K615)</f>
        <v>-3.350268352085712E-2</v>
      </c>
      <c r="L616" s="5">
        <f t="shared" si="37"/>
        <v>0</v>
      </c>
    </row>
    <row r="617" spans="1:12" x14ac:dyDescent="0.25">
      <c r="A617" s="2">
        <v>44692</v>
      </c>
      <c r="B617" s="3">
        <v>32.56</v>
      </c>
      <c r="C617" s="3">
        <f t="shared" si="38"/>
        <v>32.56</v>
      </c>
      <c r="D617" s="3">
        <v>3935.18</v>
      </c>
      <c r="E617" s="3">
        <f t="shared" si="39"/>
        <v>3935.18</v>
      </c>
      <c r="F617" s="3">
        <f>MAX($E$2:E617)</f>
        <v>4796.5600000000004</v>
      </c>
      <c r="G617" s="3">
        <f t="shared" si="36"/>
        <v>-17.958286772186742</v>
      </c>
      <c r="I617" s="2">
        <v>44446</v>
      </c>
      <c r="J617" s="3">
        <f>IFERROR(VLOOKUP(I617,$A$1:$G$1610,3,FALSE),J616)</f>
        <v>18.14</v>
      </c>
      <c r="K617" s="3">
        <f>IFERROR(VLOOKUP(I617,$A$1:$G$1610,7,FALSE),K616)</f>
        <v>-0.37293776656123767</v>
      </c>
      <c r="L617" s="5">
        <f t="shared" si="37"/>
        <v>0</v>
      </c>
    </row>
    <row r="618" spans="1:12" x14ac:dyDescent="0.25">
      <c r="A618" s="2">
        <v>44693</v>
      </c>
      <c r="B618" s="3">
        <v>31.77</v>
      </c>
      <c r="C618" s="3">
        <f t="shared" si="38"/>
        <v>31.77</v>
      </c>
      <c r="D618" s="3">
        <v>3930.08</v>
      </c>
      <c r="E618" s="3">
        <f t="shared" si="39"/>
        <v>3930.08</v>
      </c>
      <c r="F618" s="3">
        <f>MAX($E$2:E618)</f>
        <v>4796.5600000000004</v>
      </c>
      <c r="G618" s="3">
        <f t="shared" si="36"/>
        <v>-18.064612972630393</v>
      </c>
      <c r="I618" s="2">
        <v>44447</v>
      </c>
      <c r="J618" s="3">
        <f>IFERROR(VLOOKUP(I618,$A$1:$G$1610,3,FALSE),J617)</f>
        <v>17.96</v>
      </c>
      <c r="K618" s="3">
        <f>IFERROR(VLOOKUP(I618,$A$1:$G$1610,7,FALSE),K617)</f>
        <v>-0.50430355194569287</v>
      </c>
      <c r="L618" s="5">
        <f t="shared" si="37"/>
        <v>0</v>
      </c>
    </row>
    <row r="619" spans="1:12" x14ac:dyDescent="0.25">
      <c r="A619" s="2">
        <v>44694</v>
      </c>
      <c r="B619" s="3">
        <v>28.87</v>
      </c>
      <c r="C619" s="3">
        <f t="shared" si="38"/>
        <v>28.87</v>
      </c>
      <c r="D619" s="3">
        <v>4023.89</v>
      </c>
      <c r="E619" s="3">
        <f t="shared" si="39"/>
        <v>4023.89</v>
      </c>
      <c r="F619" s="3">
        <f>MAX($E$2:E619)</f>
        <v>4796.5600000000004</v>
      </c>
      <c r="G619" s="3">
        <f t="shared" si="36"/>
        <v>-16.108836332705113</v>
      </c>
      <c r="I619" s="2">
        <v>44448</v>
      </c>
      <c r="J619" s="3">
        <f>IFERROR(VLOOKUP(I619,$A$1:$G$1610,3,FALSE),J618)</f>
        <v>18.8</v>
      </c>
      <c r="K619" s="3">
        <f>IFERROR(VLOOKUP(I619,$A$1:$G$1610,7,FALSE),K618)</f>
        <v>-0.9625409140501896</v>
      </c>
      <c r="L619" s="5">
        <f t="shared" si="37"/>
        <v>0</v>
      </c>
    </row>
    <row r="620" spans="1:12" x14ac:dyDescent="0.25">
      <c r="A620" s="2">
        <v>44697</v>
      </c>
      <c r="B620" s="3">
        <v>27.47</v>
      </c>
      <c r="C620" s="3">
        <f t="shared" si="38"/>
        <v>27.47</v>
      </c>
      <c r="D620" s="3">
        <v>4008.01</v>
      </c>
      <c r="E620" s="3">
        <f t="shared" si="39"/>
        <v>4008.01</v>
      </c>
      <c r="F620" s="3">
        <f>MAX($E$2:E620)</f>
        <v>4796.5600000000004</v>
      </c>
      <c r="G620" s="3">
        <f t="shared" si="36"/>
        <v>-16.439906933302204</v>
      </c>
      <c r="I620" s="2">
        <v>44449</v>
      </c>
      <c r="J620" s="3">
        <f>IFERROR(VLOOKUP(I620,$A$1:$G$1610,3,FALSE),J619)</f>
        <v>20.95</v>
      </c>
      <c r="K620" s="3">
        <f>IFERROR(VLOOKUP(I620,$A$1:$G$1610,7,FALSE),K619)</f>
        <v>-1.727371912848938</v>
      </c>
      <c r="L620" s="5">
        <f t="shared" si="37"/>
        <v>0</v>
      </c>
    </row>
    <row r="621" spans="1:12" x14ac:dyDescent="0.25">
      <c r="A621" s="2">
        <v>44698</v>
      </c>
      <c r="B621" s="3">
        <v>26.1</v>
      </c>
      <c r="C621" s="3">
        <f t="shared" si="38"/>
        <v>26.1</v>
      </c>
      <c r="D621" s="3">
        <v>4088.85</v>
      </c>
      <c r="E621" s="3">
        <f t="shared" si="39"/>
        <v>4088.85</v>
      </c>
      <c r="F621" s="3">
        <f>MAX($E$2:E621)</f>
        <v>4796.5600000000004</v>
      </c>
      <c r="G621" s="3">
        <f t="shared" si="36"/>
        <v>-14.754532414897353</v>
      </c>
      <c r="I621" s="2">
        <v>44450</v>
      </c>
      <c r="J621" s="3">
        <f>IFERROR(VLOOKUP(I621,$A$1:$G$1610,3,FALSE),J620)</f>
        <v>20.95</v>
      </c>
      <c r="K621" s="3">
        <f>IFERROR(VLOOKUP(I621,$A$1:$G$1610,7,FALSE),K620)</f>
        <v>-1.727371912848938</v>
      </c>
      <c r="L621" s="5">
        <f t="shared" si="37"/>
        <v>0</v>
      </c>
    </row>
    <row r="622" spans="1:12" x14ac:dyDescent="0.25">
      <c r="A622" s="2">
        <v>44699</v>
      </c>
      <c r="B622" s="3">
        <v>30.96</v>
      </c>
      <c r="C622" s="3">
        <f t="shared" si="38"/>
        <v>30.96</v>
      </c>
      <c r="D622" s="3">
        <v>3923.68</v>
      </c>
      <c r="E622" s="3">
        <f t="shared" si="39"/>
        <v>3923.68</v>
      </c>
      <c r="F622" s="3">
        <f>MAX($E$2:E622)</f>
        <v>4796.5600000000004</v>
      </c>
      <c r="G622" s="3">
        <f t="shared" si="36"/>
        <v>-18.198041930049879</v>
      </c>
      <c r="I622" s="2">
        <v>44451</v>
      </c>
      <c r="J622" s="3">
        <f>IFERROR(VLOOKUP(I622,$A$1:$G$1610,3,FALSE),J621)</f>
        <v>20.95</v>
      </c>
      <c r="K622" s="3">
        <f>IFERROR(VLOOKUP(I622,$A$1:$G$1610,7,FALSE),K621)</f>
        <v>-1.727371912848938</v>
      </c>
      <c r="L622" s="5">
        <f t="shared" si="37"/>
        <v>0</v>
      </c>
    </row>
    <row r="623" spans="1:12" x14ac:dyDescent="0.25">
      <c r="A623" s="2">
        <v>44700</v>
      </c>
      <c r="B623" s="3">
        <v>29.35</v>
      </c>
      <c r="C623" s="3">
        <f t="shared" si="38"/>
        <v>29.35</v>
      </c>
      <c r="D623" s="3">
        <v>3900.79</v>
      </c>
      <c r="E623" s="3">
        <f t="shared" si="39"/>
        <v>3900.79</v>
      </c>
      <c r="F623" s="3">
        <f>MAX($E$2:E623)</f>
        <v>4796.5600000000004</v>
      </c>
      <c r="G623" s="3">
        <f t="shared" si="36"/>
        <v>-18.675258935570501</v>
      </c>
      <c r="I623" s="2">
        <v>44452</v>
      </c>
      <c r="J623" s="3">
        <f>IFERROR(VLOOKUP(I623,$A$1:$G$1610,3,FALSE),J622)</f>
        <v>19.37</v>
      </c>
      <c r="K623" s="3">
        <f>IFERROR(VLOOKUP(I623,$A$1:$G$1610,7,FALSE),K622)</f>
        <v>-1.5036533353905213</v>
      </c>
      <c r="L623" s="5">
        <f t="shared" si="37"/>
        <v>0</v>
      </c>
    </row>
    <row r="624" spans="1:12" x14ac:dyDescent="0.25">
      <c r="A624" s="2">
        <v>44701</v>
      </c>
      <c r="B624" s="3">
        <v>29.43</v>
      </c>
      <c r="C624" s="3">
        <f t="shared" si="38"/>
        <v>29.43</v>
      </c>
      <c r="D624" s="3">
        <v>3901.36</v>
      </c>
      <c r="E624" s="3">
        <f t="shared" si="39"/>
        <v>3901.36</v>
      </c>
      <c r="F624" s="3">
        <f>MAX($E$2:E624)</f>
        <v>4796.5600000000004</v>
      </c>
      <c r="G624" s="3">
        <f t="shared" si="36"/>
        <v>-18.663375419050325</v>
      </c>
      <c r="I624" s="2">
        <v>44453</v>
      </c>
      <c r="J624" s="3">
        <f>IFERROR(VLOOKUP(I624,$A$1:$G$1610,3,FALSE),J623)</f>
        <v>19.46</v>
      </c>
      <c r="K624" s="3">
        <f>IFERROR(VLOOKUP(I624,$A$1:$G$1610,7,FALSE),K623)</f>
        <v>-2.0696723569799014</v>
      </c>
      <c r="L624" s="5">
        <f t="shared" si="37"/>
        <v>0</v>
      </c>
    </row>
    <row r="625" spans="1:12" x14ac:dyDescent="0.25">
      <c r="A625" s="2">
        <v>44704</v>
      </c>
      <c r="B625" s="3">
        <v>28.48</v>
      </c>
      <c r="C625" s="3">
        <f t="shared" si="38"/>
        <v>28.48</v>
      </c>
      <c r="D625" s="3">
        <v>3973.75</v>
      </c>
      <c r="E625" s="3">
        <f t="shared" si="39"/>
        <v>3973.75</v>
      </c>
      <c r="F625" s="3">
        <f>MAX($E$2:E625)</f>
        <v>4796.5600000000004</v>
      </c>
      <c r="G625" s="3">
        <f t="shared" si="36"/>
        <v>-17.154168820988382</v>
      </c>
      <c r="I625" s="2">
        <v>44454</v>
      </c>
      <c r="J625" s="3">
        <f>IFERROR(VLOOKUP(I625,$A$1:$G$1610,3,FALSE),J624)</f>
        <v>18.18</v>
      </c>
      <c r="K625" s="3">
        <f>IFERROR(VLOOKUP(I625,$A$1:$G$1610,7,FALSE),K624)</f>
        <v>-1.2398197026636839</v>
      </c>
      <c r="L625" s="5">
        <f t="shared" si="37"/>
        <v>0</v>
      </c>
    </row>
    <row r="626" spans="1:12" x14ac:dyDescent="0.25">
      <c r="A626" s="2">
        <v>44705</v>
      </c>
      <c r="B626" s="3">
        <v>29.45</v>
      </c>
      <c r="C626" s="3">
        <f t="shared" si="38"/>
        <v>29.45</v>
      </c>
      <c r="D626" s="3">
        <v>3941.48</v>
      </c>
      <c r="E626" s="3">
        <f t="shared" si="39"/>
        <v>3941.48</v>
      </c>
      <c r="F626" s="3">
        <f>MAX($E$2:E626)</f>
        <v>4796.5600000000004</v>
      </c>
      <c r="G626" s="3">
        <f t="shared" si="36"/>
        <v>-17.826942642226935</v>
      </c>
      <c r="I626" s="2">
        <v>44455</v>
      </c>
      <c r="J626" s="3">
        <f>IFERROR(VLOOKUP(I626,$A$1:$G$1610,3,FALSE),J625)</f>
        <v>18.690000000000001</v>
      </c>
      <c r="K626" s="3">
        <f>IFERROR(VLOOKUP(I626,$A$1:$G$1610,7,FALSE),K625)</f>
        <v>-1.3930063148150149</v>
      </c>
      <c r="L626" s="5">
        <f t="shared" si="37"/>
        <v>0</v>
      </c>
    </row>
    <row r="627" spans="1:12" x14ac:dyDescent="0.25">
      <c r="A627" s="2">
        <v>44706</v>
      </c>
      <c r="B627" s="3">
        <v>28.37</v>
      </c>
      <c r="C627" s="3">
        <f t="shared" si="38"/>
        <v>28.37</v>
      </c>
      <c r="D627" s="3">
        <v>3978.73</v>
      </c>
      <c r="E627" s="3">
        <f t="shared" si="39"/>
        <v>3978.73</v>
      </c>
      <c r="F627" s="3">
        <f>MAX($E$2:E627)</f>
        <v>4796.5600000000004</v>
      </c>
      <c r="G627" s="3">
        <f t="shared" si="36"/>
        <v>-17.050344413496347</v>
      </c>
      <c r="I627" s="2">
        <v>44456</v>
      </c>
      <c r="J627" s="3">
        <f>IFERROR(VLOOKUP(I627,$A$1:$G$1610,3,FALSE),J626)</f>
        <v>20.81</v>
      </c>
      <c r="K627" s="3">
        <f>IFERROR(VLOOKUP(I627,$A$1:$G$1610,7,FALSE),K626)</f>
        <v>-2.2914072229140729</v>
      </c>
      <c r="L627" s="5">
        <f t="shared" si="37"/>
        <v>0</v>
      </c>
    </row>
    <row r="628" spans="1:12" x14ac:dyDescent="0.25">
      <c r="A628" s="2">
        <v>44707</v>
      </c>
      <c r="B628" s="3">
        <v>27.5</v>
      </c>
      <c r="C628" s="3">
        <f t="shared" si="38"/>
        <v>27.5</v>
      </c>
      <c r="D628" s="3">
        <v>4057.84</v>
      </c>
      <c r="E628" s="3">
        <f t="shared" si="39"/>
        <v>4057.84</v>
      </c>
      <c r="F628" s="3">
        <f>MAX($E$2:E628)</f>
        <v>4796.5600000000004</v>
      </c>
      <c r="G628" s="3">
        <f t="shared" si="36"/>
        <v>-15.401037410143942</v>
      </c>
      <c r="I628" s="2">
        <v>44457</v>
      </c>
      <c r="J628" s="3">
        <f>IFERROR(VLOOKUP(I628,$A$1:$G$1610,3,FALSE),J627)</f>
        <v>20.81</v>
      </c>
      <c r="K628" s="3">
        <f>IFERROR(VLOOKUP(I628,$A$1:$G$1610,7,FALSE),K627)</f>
        <v>-2.2914072229140729</v>
      </c>
      <c r="L628" s="5">
        <f t="shared" si="37"/>
        <v>0</v>
      </c>
    </row>
    <row r="629" spans="1:12" x14ac:dyDescent="0.25">
      <c r="A629" s="2">
        <v>44708</v>
      </c>
      <c r="B629" s="3">
        <v>25.72</v>
      </c>
      <c r="C629" s="3">
        <f t="shared" si="38"/>
        <v>25.72</v>
      </c>
      <c r="D629" s="3">
        <v>4158.24</v>
      </c>
      <c r="E629" s="3">
        <f t="shared" si="39"/>
        <v>4158.24</v>
      </c>
      <c r="F629" s="3">
        <f>MAX($E$2:E629)</f>
        <v>4796.5600000000004</v>
      </c>
      <c r="G629" s="3">
        <f t="shared" si="36"/>
        <v>-13.307870640625794</v>
      </c>
      <c r="I629" s="2">
        <v>44458</v>
      </c>
      <c r="J629" s="3">
        <f>IFERROR(VLOOKUP(I629,$A$1:$G$1610,3,FALSE),J628)</f>
        <v>20.81</v>
      </c>
      <c r="K629" s="3">
        <f>IFERROR(VLOOKUP(I629,$A$1:$G$1610,7,FALSE),K628)</f>
        <v>-2.2914072229140729</v>
      </c>
      <c r="L629" s="5">
        <f t="shared" si="37"/>
        <v>0</v>
      </c>
    </row>
    <row r="630" spans="1:12" x14ac:dyDescent="0.25">
      <c r="A630" s="2">
        <v>44711</v>
      </c>
      <c r="B630" s="3">
        <v>26.54</v>
      </c>
      <c r="C630" s="3">
        <f t="shared" si="38"/>
        <v>26.54</v>
      </c>
      <c r="E630" s="3">
        <f t="shared" si="39"/>
        <v>4158.24</v>
      </c>
      <c r="F630" s="3">
        <f>MAX($E$2:E630)</f>
        <v>4796.5600000000004</v>
      </c>
      <c r="G630" s="3">
        <f t="shared" si="36"/>
        <v>-13.307870640625794</v>
      </c>
      <c r="I630" s="2">
        <v>44459</v>
      </c>
      <c r="J630" s="3">
        <f>IFERROR(VLOOKUP(I630,$A$1:$G$1610,3,FALSE),J629)</f>
        <v>25.71</v>
      </c>
      <c r="K630" s="3">
        <f>IFERROR(VLOOKUP(I630,$A$1:$G$1610,7,FALSE),K629)</f>
        <v>-3.9502308819801906</v>
      </c>
      <c r="L630" s="5">
        <f t="shared" si="37"/>
        <v>0</v>
      </c>
    </row>
    <row r="631" spans="1:12" x14ac:dyDescent="0.25">
      <c r="A631" s="2">
        <v>44712</v>
      </c>
      <c r="B631" s="3">
        <v>26.19</v>
      </c>
      <c r="C631" s="3">
        <f t="shared" si="38"/>
        <v>26.19</v>
      </c>
      <c r="D631" s="3">
        <v>4132.1499999999996</v>
      </c>
      <c r="E631" s="3">
        <f t="shared" si="39"/>
        <v>4132.1499999999996</v>
      </c>
      <c r="F631" s="3">
        <f>MAX($E$2:E631)</f>
        <v>4796.5600000000004</v>
      </c>
      <c r="G631" s="3">
        <f t="shared" si="36"/>
        <v>-13.85180212485616</v>
      </c>
      <c r="I631" s="2">
        <v>44460</v>
      </c>
      <c r="J631" s="3">
        <f>IFERROR(VLOOKUP(I631,$A$1:$G$1610,3,FALSE),J630)</f>
        <v>24.36</v>
      </c>
      <c r="K631" s="3">
        <f>IFERROR(VLOOKUP(I631,$A$1:$G$1610,7,FALSE),K630)</f>
        <v>-4.0282568686011579</v>
      </c>
      <c r="L631" s="5">
        <f t="shared" si="37"/>
        <v>0</v>
      </c>
    </row>
    <row r="632" spans="1:12" x14ac:dyDescent="0.25">
      <c r="A632" s="2">
        <v>44713</v>
      </c>
      <c r="B632" s="3">
        <v>25.69</v>
      </c>
      <c r="C632" s="3">
        <f t="shared" si="38"/>
        <v>25.69</v>
      </c>
      <c r="D632" s="3">
        <v>4101.2299999999996</v>
      </c>
      <c r="E632" s="3">
        <f t="shared" si="39"/>
        <v>4101.2299999999996</v>
      </c>
      <c r="F632" s="3">
        <f>MAX($E$2:E632)</f>
        <v>4796.5600000000004</v>
      </c>
      <c r="G632" s="3">
        <f t="shared" si="36"/>
        <v>-14.496430775389044</v>
      </c>
      <c r="I632" s="2">
        <v>44461</v>
      </c>
      <c r="J632" s="3">
        <f>IFERROR(VLOOKUP(I632,$A$1:$G$1610,3,FALSE),J631)</f>
        <v>20.87</v>
      </c>
      <c r="K632" s="3">
        <f>IFERROR(VLOOKUP(I632,$A$1:$G$1610,7,FALSE),K631)</f>
        <v>-3.1146475054827474</v>
      </c>
      <c r="L632" s="5">
        <f t="shared" si="37"/>
        <v>0</v>
      </c>
    </row>
    <row r="633" spans="1:12" x14ac:dyDescent="0.25">
      <c r="A633" s="2">
        <v>44714</v>
      </c>
      <c r="B633" s="3">
        <v>24.72</v>
      </c>
      <c r="C633" s="3">
        <f t="shared" si="38"/>
        <v>24.72</v>
      </c>
      <c r="D633" s="3">
        <v>4176.82</v>
      </c>
      <c r="E633" s="3">
        <f t="shared" si="39"/>
        <v>4176.82</v>
      </c>
      <c r="F633" s="3">
        <f>MAX($E$2:E633)</f>
        <v>4796.5600000000004</v>
      </c>
      <c r="G633" s="3">
        <f t="shared" si="36"/>
        <v>-12.920509698617355</v>
      </c>
      <c r="I633" s="2">
        <v>44462</v>
      </c>
      <c r="J633" s="3">
        <f>IFERROR(VLOOKUP(I633,$A$1:$G$1610,3,FALSE),J632)</f>
        <v>18.63</v>
      </c>
      <c r="K633" s="3">
        <f>IFERROR(VLOOKUP(I633,$A$1:$G$1610,7,FALSE),K632)</f>
        <v>-1.9389678087702149</v>
      </c>
      <c r="L633" s="5">
        <f t="shared" si="37"/>
        <v>0</v>
      </c>
    </row>
    <row r="634" spans="1:12" x14ac:dyDescent="0.25">
      <c r="A634" s="2">
        <v>44715</v>
      </c>
      <c r="B634" s="3">
        <v>24.79</v>
      </c>
      <c r="C634" s="3">
        <f t="shared" si="38"/>
        <v>24.79</v>
      </c>
      <c r="D634" s="3">
        <v>4108.54</v>
      </c>
      <c r="E634" s="3">
        <f t="shared" si="39"/>
        <v>4108.54</v>
      </c>
      <c r="F634" s="3">
        <f>MAX($E$2:E634)</f>
        <v>4796.5600000000004</v>
      </c>
      <c r="G634" s="3">
        <f t="shared" si="36"/>
        <v>-14.344029888086471</v>
      </c>
      <c r="I634" s="2">
        <v>44463</v>
      </c>
      <c r="J634" s="3">
        <f>IFERROR(VLOOKUP(I634,$A$1:$G$1610,3,FALSE),J633)</f>
        <v>17.75</v>
      </c>
      <c r="K634" s="3">
        <f>IFERROR(VLOOKUP(I634,$A$1:$G$1610,7,FALSE),K633)</f>
        <v>-1.7956997542401889</v>
      </c>
      <c r="L634" s="5">
        <f t="shared" si="37"/>
        <v>0</v>
      </c>
    </row>
    <row r="635" spans="1:12" x14ac:dyDescent="0.25">
      <c r="A635" s="2">
        <v>44718</v>
      </c>
      <c r="B635" s="3">
        <v>25.07</v>
      </c>
      <c r="C635" s="3">
        <f t="shared" si="38"/>
        <v>25.07</v>
      </c>
      <c r="D635" s="3">
        <v>4121.43</v>
      </c>
      <c r="E635" s="3">
        <f t="shared" si="39"/>
        <v>4121.43</v>
      </c>
      <c r="F635" s="3">
        <f>MAX($E$2:E635)</f>
        <v>4796.5600000000004</v>
      </c>
      <c r="G635" s="3">
        <f t="shared" si="36"/>
        <v>-14.075295628533786</v>
      </c>
      <c r="I635" s="2">
        <v>44464</v>
      </c>
      <c r="J635" s="3">
        <f>IFERROR(VLOOKUP(I635,$A$1:$G$1610,3,FALSE),J634)</f>
        <v>17.75</v>
      </c>
      <c r="K635" s="3">
        <f>IFERROR(VLOOKUP(I635,$A$1:$G$1610,7,FALSE),K634)</f>
        <v>-1.7956997542401889</v>
      </c>
      <c r="L635" s="5">
        <f t="shared" si="37"/>
        <v>0</v>
      </c>
    </row>
    <row r="636" spans="1:12" x14ac:dyDescent="0.25">
      <c r="A636" s="2">
        <v>44719</v>
      </c>
      <c r="B636" s="3">
        <v>24.02</v>
      </c>
      <c r="C636" s="3">
        <f t="shared" si="38"/>
        <v>24.02</v>
      </c>
      <c r="D636" s="3">
        <v>4160.68</v>
      </c>
      <c r="E636" s="3">
        <f t="shared" si="39"/>
        <v>4160.68</v>
      </c>
      <c r="F636" s="3">
        <f>MAX($E$2:E636)</f>
        <v>4796.5600000000004</v>
      </c>
      <c r="G636" s="3">
        <f t="shared" si="36"/>
        <v>-13.257000850609604</v>
      </c>
      <c r="I636" s="2">
        <v>44465</v>
      </c>
      <c r="J636" s="3">
        <f>IFERROR(VLOOKUP(I636,$A$1:$G$1610,3,FALSE),J635)</f>
        <v>17.75</v>
      </c>
      <c r="K636" s="3">
        <f>IFERROR(VLOOKUP(I636,$A$1:$G$1610,7,FALSE),K635)</f>
        <v>-1.7956997542401889</v>
      </c>
      <c r="L636" s="5">
        <f t="shared" si="37"/>
        <v>0</v>
      </c>
    </row>
    <row r="637" spans="1:12" x14ac:dyDescent="0.25">
      <c r="A637" s="2">
        <v>44720</v>
      </c>
      <c r="B637" s="3">
        <v>23.96</v>
      </c>
      <c r="C637" s="3">
        <f t="shared" si="38"/>
        <v>23.96</v>
      </c>
      <c r="D637" s="3">
        <v>4115.7700000000004</v>
      </c>
      <c r="E637" s="3">
        <f t="shared" si="39"/>
        <v>4115.7700000000004</v>
      </c>
      <c r="F637" s="3">
        <f>MAX($E$2:E637)</f>
        <v>4796.5600000000004</v>
      </c>
      <c r="G637" s="3">
        <f t="shared" si="36"/>
        <v>-14.193296862751637</v>
      </c>
      <c r="I637" s="2">
        <v>44466</v>
      </c>
      <c r="J637" s="3">
        <f>IFERROR(VLOOKUP(I637,$A$1:$G$1610,3,FALSE),J636)</f>
        <v>18.760000000000002</v>
      </c>
      <c r="K637" s="3">
        <f>IFERROR(VLOOKUP(I637,$A$1:$G$1610,7,FALSE),K636)</f>
        <v>-2.0683498826304048</v>
      </c>
      <c r="L637" s="5">
        <f t="shared" si="37"/>
        <v>0</v>
      </c>
    </row>
    <row r="638" spans="1:12" x14ac:dyDescent="0.25">
      <c r="A638" s="2">
        <v>44721</v>
      </c>
      <c r="B638" s="3">
        <v>26.09</v>
      </c>
      <c r="C638" s="3">
        <f t="shared" si="38"/>
        <v>26.09</v>
      </c>
      <c r="D638" s="3">
        <v>4017.82</v>
      </c>
      <c r="E638" s="3">
        <f t="shared" si="39"/>
        <v>4017.82</v>
      </c>
      <c r="F638" s="3">
        <f>MAX($E$2:E638)</f>
        <v>4796.5600000000004</v>
      </c>
      <c r="G638" s="3">
        <f t="shared" si="36"/>
        <v>-16.235385359507649</v>
      </c>
      <c r="I638" s="2">
        <v>44467</v>
      </c>
      <c r="J638" s="3">
        <f>IFERROR(VLOOKUP(I638,$A$1:$G$1610,3,FALSE),J637)</f>
        <v>23.25</v>
      </c>
      <c r="K638" s="3">
        <f>IFERROR(VLOOKUP(I638,$A$1:$G$1610,7,FALSE),K637)</f>
        <v>-4.0626412016883533</v>
      </c>
      <c r="L638" s="5">
        <f t="shared" si="37"/>
        <v>0</v>
      </c>
    </row>
    <row r="639" spans="1:12" x14ac:dyDescent="0.25">
      <c r="A639" s="2">
        <v>44722</v>
      </c>
      <c r="B639" s="3">
        <v>27.75</v>
      </c>
      <c r="C639" s="3">
        <f t="shared" si="38"/>
        <v>27.75</v>
      </c>
      <c r="D639" s="3">
        <v>3900.86</v>
      </c>
      <c r="E639" s="3">
        <f t="shared" si="39"/>
        <v>3900.86</v>
      </c>
      <c r="F639" s="3">
        <f>MAX($E$2:E639)</f>
        <v>4796.5600000000004</v>
      </c>
      <c r="G639" s="3">
        <f t="shared" si="36"/>
        <v>-18.673799556348722</v>
      </c>
      <c r="I639" s="2">
        <v>44468</v>
      </c>
      <c r="J639" s="3">
        <f>IFERROR(VLOOKUP(I639,$A$1:$G$1610,3,FALSE),J638)</f>
        <v>22.56</v>
      </c>
      <c r="K639" s="3">
        <f>IFERROR(VLOOKUP(I639,$A$1:$G$1610,7,FALSE),K638)</f>
        <v>-3.9120995382360348</v>
      </c>
      <c r="L639" s="5">
        <f t="shared" si="37"/>
        <v>0</v>
      </c>
    </row>
    <row r="640" spans="1:12" x14ac:dyDescent="0.25">
      <c r="A640" s="2">
        <v>44725</v>
      </c>
      <c r="B640" s="3">
        <v>34.020000000000003</v>
      </c>
      <c r="C640" s="3">
        <f t="shared" si="38"/>
        <v>34.020000000000003</v>
      </c>
      <c r="D640" s="3">
        <v>3749.63</v>
      </c>
      <c r="E640" s="3">
        <f t="shared" si="39"/>
        <v>3749.63</v>
      </c>
      <c r="F640" s="3">
        <f>MAX($E$2:E640)</f>
        <v>4796.5600000000004</v>
      </c>
      <c r="G640" s="3">
        <f t="shared" si="36"/>
        <v>-21.826684123621934</v>
      </c>
      <c r="I640" s="2">
        <v>44469</v>
      </c>
      <c r="J640" s="3">
        <f>IFERROR(VLOOKUP(I640,$A$1:$G$1610,3,FALSE),J639)</f>
        <v>23.14</v>
      </c>
      <c r="K640" s="3">
        <f>IFERROR(VLOOKUP(I640,$A$1:$G$1610,7,FALSE),K639)</f>
        <v>-5.0564806753435647</v>
      </c>
      <c r="L640" s="5">
        <f t="shared" si="37"/>
        <v>0</v>
      </c>
    </row>
    <row r="641" spans="1:12" x14ac:dyDescent="0.25">
      <c r="A641" s="2">
        <v>44726</v>
      </c>
      <c r="B641" s="3">
        <v>32.69</v>
      </c>
      <c r="C641" s="3">
        <f t="shared" si="38"/>
        <v>32.69</v>
      </c>
      <c r="D641" s="3">
        <v>3735.48</v>
      </c>
      <c r="E641" s="3">
        <f t="shared" si="39"/>
        <v>3735.48</v>
      </c>
      <c r="F641" s="3">
        <f>MAX($E$2:E641)</f>
        <v>4796.5600000000004</v>
      </c>
      <c r="G641" s="3">
        <f t="shared" si="36"/>
        <v>-22.121687209166577</v>
      </c>
      <c r="I641" s="2">
        <v>44470</v>
      </c>
      <c r="J641" s="3">
        <f>IFERROR(VLOOKUP(I641,$A$1:$G$1610,3,FALSE),J640)</f>
        <v>21.15</v>
      </c>
      <c r="K641" s="3">
        <f>IFERROR(VLOOKUP(I641,$A$1:$G$1610,7,FALSE),K640)</f>
        <v>-3.9654393369995233</v>
      </c>
      <c r="L641" s="5">
        <f t="shared" si="37"/>
        <v>0</v>
      </c>
    </row>
    <row r="642" spans="1:12" x14ac:dyDescent="0.25">
      <c r="A642" s="2">
        <v>44727</v>
      </c>
      <c r="B642" s="3">
        <v>29.62</v>
      </c>
      <c r="C642" s="3">
        <f t="shared" si="38"/>
        <v>29.62</v>
      </c>
      <c r="D642" s="3">
        <v>3789.99</v>
      </c>
      <c r="E642" s="3">
        <f t="shared" si="39"/>
        <v>3789.99</v>
      </c>
      <c r="F642" s="3">
        <f>MAX($E$2:E642)</f>
        <v>4796.5600000000004</v>
      </c>
      <c r="G642" s="3">
        <f t="shared" ref="G642:G705" si="40">(E642-F642)/F642*100</f>
        <v>-20.985247760895319</v>
      </c>
      <c r="I642" s="2">
        <v>44471</v>
      </c>
      <c r="J642" s="3">
        <f>IFERROR(VLOOKUP(I642,$A$1:$G$1610,3,FALSE),J641)</f>
        <v>21.15</v>
      </c>
      <c r="K642" s="3">
        <f>IFERROR(VLOOKUP(I642,$A$1:$G$1610,7,FALSE),K641)</f>
        <v>-3.9654393369995233</v>
      </c>
      <c r="L642" s="5">
        <f t="shared" ref="L642:L705" si="41">IF(OR(J642&gt;=30,K642&lt;-10),1,0)</f>
        <v>0</v>
      </c>
    </row>
    <row r="643" spans="1:12" x14ac:dyDescent="0.25">
      <c r="A643" s="2">
        <v>44728</v>
      </c>
      <c r="B643" s="3">
        <v>32.950000000000003</v>
      </c>
      <c r="C643" s="3">
        <f t="shared" ref="C643:C706" si="42">IF(B643="",B642,B643)</f>
        <v>32.950000000000003</v>
      </c>
      <c r="D643" s="3">
        <v>3666.77</v>
      </c>
      <c r="E643" s="3">
        <f t="shared" si="39"/>
        <v>3666.77</v>
      </c>
      <c r="F643" s="3">
        <f>MAX($E$2:E643)</f>
        <v>4796.5600000000004</v>
      </c>
      <c r="G643" s="3">
        <f t="shared" si="40"/>
        <v>-23.554172156712315</v>
      </c>
      <c r="I643" s="2">
        <v>44472</v>
      </c>
      <c r="J643" s="3">
        <f>IFERROR(VLOOKUP(I643,$A$1:$G$1610,3,FALSE),J642)</f>
        <v>21.15</v>
      </c>
      <c r="K643" s="3">
        <f>IFERROR(VLOOKUP(I643,$A$1:$G$1610,7,FALSE),K642)</f>
        <v>-3.9654393369995233</v>
      </c>
      <c r="L643" s="5">
        <f t="shared" si="41"/>
        <v>0</v>
      </c>
    </row>
    <row r="644" spans="1:12" x14ac:dyDescent="0.25">
      <c r="A644" s="2">
        <v>44729</v>
      </c>
      <c r="B644" s="3">
        <v>31.13</v>
      </c>
      <c r="C644" s="3">
        <f t="shared" si="42"/>
        <v>31.13</v>
      </c>
      <c r="D644" s="3">
        <v>3674.84</v>
      </c>
      <c r="E644" s="3">
        <f t="shared" si="39"/>
        <v>3674.84</v>
      </c>
      <c r="F644" s="3">
        <f>MAX($E$2:E644)</f>
        <v>4796.5600000000004</v>
      </c>
      <c r="G644" s="3">
        <f t="shared" si="40"/>
        <v>-23.38592658071618</v>
      </c>
      <c r="I644" s="2">
        <v>44473</v>
      </c>
      <c r="J644" s="3">
        <f>IFERROR(VLOOKUP(I644,$A$1:$G$1610,3,FALSE),J643)</f>
        <v>22.96</v>
      </c>
      <c r="K644" s="3">
        <f>IFERROR(VLOOKUP(I644,$A$1:$G$1610,7,FALSE),K643)</f>
        <v>-5.2125326485854986</v>
      </c>
      <c r="L644" s="5">
        <f t="shared" si="41"/>
        <v>0</v>
      </c>
    </row>
    <row r="645" spans="1:12" x14ac:dyDescent="0.25">
      <c r="A645" s="2">
        <v>44732</v>
      </c>
      <c r="B645" s="3">
        <v>31.03</v>
      </c>
      <c r="C645" s="3">
        <f t="shared" si="42"/>
        <v>31.03</v>
      </c>
      <c r="E645" s="3">
        <f t="shared" ref="E645:E708" si="43">IF(D645="",D644,D645)</f>
        <v>3674.84</v>
      </c>
      <c r="F645" s="3">
        <f>MAX($E$2:E645)</f>
        <v>4796.5600000000004</v>
      </c>
      <c r="G645" s="3">
        <f t="shared" si="40"/>
        <v>-23.38592658071618</v>
      </c>
      <c r="I645" s="2">
        <v>44474</v>
      </c>
      <c r="J645" s="3">
        <f>IFERROR(VLOOKUP(I645,$A$1:$G$1610,3,FALSE),J644)</f>
        <v>21.3</v>
      </c>
      <c r="K645" s="3">
        <f>IFERROR(VLOOKUP(I645,$A$1:$G$1610,7,FALSE),K644)</f>
        <v>-4.2149461642733463</v>
      </c>
      <c r="L645" s="5">
        <f t="shared" si="41"/>
        <v>0</v>
      </c>
    </row>
    <row r="646" spans="1:12" x14ac:dyDescent="0.25">
      <c r="A646" s="2">
        <v>44733</v>
      </c>
      <c r="B646" s="3">
        <v>30.19</v>
      </c>
      <c r="C646" s="3">
        <f t="shared" si="42"/>
        <v>30.19</v>
      </c>
      <c r="D646" s="3">
        <v>3764.79</v>
      </c>
      <c r="E646" s="3">
        <f t="shared" si="43"/>
        <v>3764.79</v>
      </c>
      <c r="F646" s="3">
        <f>MAX($E$2:E646)</f>
        <v>4796.5600000000004</v>
      </c>
      <c r="G646" s="3">
        <f t="shared" si="40"/>
        <v>-21.510624280734532</v>
      </c>
      <c r="I646" s="2">
        <v>44475</v>
      </c>
      <c r="J646" s="3">
        <f>IFERROR(VLOOKUP(I646,$A$1:$G$1610,3,FALSE),J645)</f>
        <v>21</v>
      </c>
      <c r="K646" s="3">
        <f>IFERROR(VLOOKUP(I646,$A$1:$G$1610,7,FALSE),K645)</f>
        <v>-3.8219508700779081</v>
      </c>
      <c r="L646" s="5">
        <f t="shared" si="41"/>
        <v>0</v>
      </c>
    </row>
    <row r="647" spans="1:12" x14ac:dyDescent="0.25">
      <c r="A647" s="2">
        <v>44734</v>
      </c>
      <c r="B647" s="3">
        <v>28.95</v>
      </c>
      <c r="C647" s="3">
        <f t="shared" si="42"/>
        <v>28.95</v>
      </c>
      <c r="D647" s="3">
        <v>3759.89</v>
      </c>
      <c r="E647" s="3">
        <f t="shared" si="43"/>
        <v>3759.89</v>
      </c>
      <c r="F647" s="3">
        <f>MAX($E$2:E647)</f>
        <v>4796.5600000000004</v>
      </c>
      <c r="G647" s="3">
        <f t="shared" si="40"/>
        <v>-21.612780826258827</v>
      </c>
      <c r="I647" s="2">
        <v>44476</v>
      </c>
      <c r="J647" s="3">
        <f>IFERROR(VLOOKUP(I647,$A$1:$G$1610,3,FALSE),J646)</f>
        <v>19.54</v>
      </c>
      <c r="K647" s="3">
        <f>IFERROR(VLOOKUP(I647,$A$1:$G$1610,7,FALSE),K646)</f>
        <v>-3.0238376001498719</v>
      </c>
      <c r="L647" s="5">
        <f t="shared" si="41"/>
        <v>0</v>
      </c>
    </row>
    <row r="648" spans="1:12" x14ac:dyDescent="0.25">
      <c r="A648" s="2">
        <v>44735</v>
      </c>
      <c r="B648" s="3">
        <v>29.05</v>
      </c>
      <c r="C648" s="3">
        <f t="shared" si="42"/>
        <v>29.05</v>
      </c>
      <c r="D648" s="3">
        <v>3795.73</v>
      </c>
      <c r="E648" s="3">
        <f t="shared" si="43"/>
        <v>3795.73</v>
      </c>
      <c r="F648" s="3">
        <f>MAX($E$2:E648)</f>
        <v>4796.5600000000004</v>
      </c>
      <c r="G648" s="3">
        <f t="shared" si="40"/>
        <v>-20.865578664709712</v>
      </c>
      <c r="I648" s="2">
        <v>44477</v>
      </c>
      <c r="J648" s="3">
        <f>IFERROR(VLOOKUP(I648,$A$1:$G$1610,3,FALSE),J647)</f>
        <v>18.77</v>
      </c>
      <c r="K648" s="3">
        <f>IFERROR(VLOOKUP(I648,$A$1:$G$1610,7,FALSE),K647)</f>
        <v>-3.2094248338641531</v>
      </c>
      <c r="L648" s="5">
        <f t="shared" si="41"/>
        <v>0</v>
      </c>
    </row>
    <row r="649" spans="1:12" x14ac:dyDescent="0.25">
      <c r="A649" s="2">
        <v>44736</v>
      </c>
      <c r="B649" s="3">
        <v>27.23</v>
      </c>
      <c r="C649" s="3">
        <f t="shared" si="42"/>
        <v>27.23</v>
      </c>
      <c r="D649" s="3">
        <v>3911.74</v>
      </c>
      <c r="E649" s="3">
        <f t="shared" si="43"/>
        <v>3911.74</v>
      </c>
      <c r="F649" s="3">
        <f>MAX($E$2:E649)</f>
        <v>4796.5600000000004</v>
      </c>
      <c r="G649" s="3">
        <f t="shared" si="40"/>
        <v>-18.446970328735603</v>
      </c>
      <c r="I649" s="2">
        <v>44478</v>
      </c>
      <c r="J649" s="3">
        <f>IFERROR(VLOOKUP(I649,$A$1:$G$1610,3,FALSE),J648)</f>
        <v>18.77</v>
      </c>
      <c r="K649" s="3">
        <f>IFERROR(VLOOKUP(I649,$A$1:$G$1610,7,FALSE),K648)</f>
        <v>-3.2094248338641531</v>
      </c>
      <c r="L649" s="5">
        <f t="shared" si="41"/>
        <v>0</v>
      </c>
    </row>
    <row r="650" spans="1:12" x14ac:dyDescent="0.25">
      <c r="A650" s="2">
        <v>44739</v>
      </c>
      <c r="B650" s="3">
        <v>26.95</v>
      </c>
      <c r="C650" s="3">
        <f t="shared" si="42"/>
        <v>26.95</v>
      </c>
      <c r="D650" s="3">
        <v>3900.11</v>
      </c>
      <c r="E650" s="3">
        <f t="shared" si="43"/>
        <v>3900.11</v>
      </c>
      <c r="F650" s="3">
        <f>MAX($E$2:E650)</f>
        <v>4796.5600000000004</v>
      </c>
      <c r="G650" s="3">
        <f t="shared" si="40"/>
        <v>-18.689435762296316</v>
      </c>
      <c r="I650" s="2">
        <v>44479</v>
      </c>
      <c r="J650" s="3">
        <f>IFERROR(VLOOKUP(I650,$A$1:$G$1610,3,FALSE),J649)</f>
        <v>18.77</v>
      </c>
      <c r="K650" s="3">
        <f>IFERROR(VLOOKUP(I650,$A$1:$G$1610,7,FALSE),K649)</f>
        <v>-3.2094248338641531</v>
      </c>
      <c r="L650" s="5">
        <f t="shared" si="41"/>
        <v>0</v>
      </c>
    </row>
    <row r="651" spans="1:12" x14ac:dyDescent="0.25">
      <c r="A651" s="2">
        <v>44740</v>
      </c>
      <c r="B651" s="3">
        <v>28.36</v>
      </c>
      <c r="C651" s="3">
        <f t="shared" si="42"/>
        <v>28.36</v>
      </c>
      <c r="D651" s="3">
        <v>3821.55</v>
      </c>
      <c r="E651" s="3">
        <f t="shared" si="43"/>
        <v>3821.55</v>
      </c>
      <c r="F651" s="3">
        <f>MAX($E$2:E651)</f>
        <v>4796.5600000000004</v>
      </c>
      <c r="G651" s="3">
        <f t="shared" si="40"/>
        <v>-20.327276214620483</v>
      </c>
      <c r="I651" s="2">
        <v>44480</v>
      </c>
      <c r="J651" s="3">
        <f>IFERROR(VLOOKUP(I651,$A$1:$G$1610,3,FALSE),J650)</f>
        <v>20</v>
      </c>
      <c r="K651" s="3">
        <f>IFERROR(VLOOKUP(I651,$A$1:$G$1610,7,FALSE),K650)</f>
        <v>-3.8739681944918996</v>
      </c>
      <c r="L651" s="5">
        <f t="shared" si="41"/>
        <v>0</v>
      </c>
    </row>
    <row r="652" spans="1:12" x14ac:dyDescent="0.25">
      <c r="A652" s="2">
        <v>44741</v>
      </c>
      <c r="B652" s="3">
        <v>28.16</v>
      </c>
      <c r="C652" s="3">
        <f t="shared" si="42"/>
        <v>28.16</v>
      </c>
      <c r="D652" s="3">
        <v>3818.83</v>
      </c>
      <c r="E652" s="3">
        <f t="shared" si="43"/>
        <v>3818.83</v>
      </c>
      <c r="F652" s="3">
        <f>MAX($E$2:E652)</f>
        <v>4796.5600000000004</v>
      </c>
      <c r="G652" s="3">
        <f t="shared" si="40"/>
        <v>-20.383983521523767</v>
      </c>
      <c r="I652" s="2">
        <v>44481</v>
      </c>
      <c r="J652" s="3">
        <f>IFERROR(VLOOKUP(I652,$A$1:$G$1610,3,FALSE),J651)</f>
        <v>19.850000000000001</v>
      </c>
      <c r="K652" s="3">
        <f>IFERROR(VLOOKUP(I652,$A$1:$G$1610,7,FALSE),K651)</f>
        <v>-4.1062828552221253</v>
      </c>
      <c r="L652" s="5">
        <f t="shared" si="41"/>
        <v>0</v>
      </c>
    </row>
    <row r="653" spans="1:12" x14ac:dyDescent="0.25">
      <c r="A653" s="2">
        <v>44742</v>
      </c>
      <c r="B653" s="3">
        <v>28.71</v>
      </c>
      <c r="C653" s="3">
        <f t="shared" si="42"/>
        <v>28.71</v>
      </c>
      <c r="D653" s="3">
        <v>3785.38</v>
      </c>
      <c r="E653" s="3">
        <f t="shared" si="43"/>
        <v>3785.38</v>
      </c>
      <c r="F653" s="3">
        <f>MAX($E$2:E653)</f>
        <v>4796.5600000000004</v>
      </c>
      <c r="G653" s="3">
        <f t="shared" si="40"/>
        <v>-21.081358306786534</v>
      </c>
      <c r="I653" s="2">
        <v>44482</v>
      </c>
      <c r="J653" s="3">
        <f>IFERROR(VLOOKUP(I653,$A$1:$G$1610,3,FALSE),J652)</f>
        <v>18.64</v>
      </c>
      <c r="K653" s="3">
        <f>IFERROR(VLOOKUP(I653,$A$1:$G$1610,7,FALSE),K652)</f>
        <v>-3.8164405602882914</v>
      </c>
      <c r="L653" s="5">
        <f t="shared" si="41"/>
        <v>0</v>
      </c>
    </row>
    <row r="654" spans="1:12" x14ac:dyDescent="0.25">
      <c r="A654" s="2">
        <v>44743</v>
      </c>
      <c r="B654" s="3">
        <v>26.7</v>
      </c>
      <c r="C654" s="3">
        <f t="shared" si="42"/>
        <v>26.7</v>
      </c>
      <c r="D654" s="3">
        <v>3825.33</v>
      </c>
      <c r="E654" s="3">
        <f t="shared" si="43"/>
        <v>3825.33</v>
      </c>
      <c r="F654" s="3">
        <f>MAX($E$2:E654)</f>
        <v>4796.5600000000004</v>
      </c>
      <c r="G654" s="3">
        <f t="shared" si="40"/>
        <v>-20.248469736644601</v>
      </c>
      <c r="I654" s="2">
        <v>44483</v>
      </c>
      <c r="J654" s="3">
        <f>IFERROR(VLOOKUP(I654,$A$1:$G$1610,3,FALSE),J653)</f>
        <v>16.86</v>
      </c>
      <c r="K654" s="3">
        <f>IFERROR(VLOOKUP(I654,$A$1:$G$1610,7,FALSE),K653)</f>
        <v>-2.1752498925489503</v>
      </c>
      <c r="L654" s="5">
        <f t="shared" si="41"/>
        <v>0</v>
      </c>
    </row>
    <row r="655" spans="1:12" x14ac:dyDescent="0.25">
      <c r="A655" s="2">
        <v>44746</v>
      </c>
      <c r="B655" s="3">
        <v>27.53</v>
      </c>
      <c r="C655" s="3">
        <f t="shared" si="42"/>
        <v>27.53</v>
      </c>
      <c r="E655" s="3">
        <f t="shared" si="43"/>
        <v>3825.33</v>
      </c>
      <c r="F655" s="3">
        <f>MAX($E$2:E655)</f>
        <v>4796.5600000000004</v>
      </c>
      <c r="G655" s="3">
        <f t="shared" si="40"/>
        <v>-20.248469736644601</v>
      </c>
      <c r="I655" s="2">
        <v>44484</v>
      </c>
      <c r="J655" s="3">
        <f>IFERROR(VLOOKUP(I655,$A$1:$G$1610,3,FALSE),J654)</f>
        <v>16.3</v>
      </c>
      <c r="K655" s="3">
        <f>IFERROR(VLOOKUP(I655,$A$1:$G$1610,7,FALSE),K654)</f>
        <v>-1.4454644640121652</v>
      </c>
      <c r="L655" s="5">
        <f t="shared" si="41"/>
        <v>0</v>
      </c>
    </row>
    <row r="656" spans="1:12" x14ac:dyDescent="0.25">
      <c r="A656" s="2">
        <v>44747</v>
      </c>
      <c r="B656" s="3">
        <v>27.54</v>
      </c>
      <c r="C656" s="3">
        <f t="shared" si="42"/>
        <v>27.54</v>
      </c>
      <c r="D656" s="3">
        <v>3831.39</v>
      </c>
      <c r="E656" s="3">
        <f t="shared" si="43"/>
        <v>3831.39</v>
      </c>
      <c r="F656" s="3">
        <f>MAX($E$2:E656)</f>
        <v>4796.5600000000004</v>
      </c>
      <c r="G656" s="3">
        <f t="shared" si="40"/>
        <v>-20.12212919258803</v>
      </c>
      <c r="I656" s="2">
        <v>44485</v>
      </c>
      <c r="J656" s="3">
        <f>IFERROR(VLOOKUP(I656,$A$1:$G$1610,3,FALSE),J655)</f>
        <v>16.3</v>
      </c>
      <c r="K656" s="3">
        <f>IFERROR(VLOOKUP(I656,$A$1:$G$1610,7,FALSE),K655)</f>
        <v>-1.4454644640121652</v>
      </c>
      <c r="L656" s="5">
        <f t="shared" si="41"/>
        <v>0</v>
      </c>
    </row>
    <row r="657" spans="1:12" x14ac:dyDescent="0.25">
      <c r="A657" s="2">
        <v>44748</v>
      </c>
      <c r="B657" s="3">
        <v>26.73</v>
      </c>
      <c r="C657" s="3">
        <f t="shared" si="42"/>
        <v>26.73</v>
      </c>
      <c r="D657" s="3">
        <v>3845.08</v>
      </c>
      <c r="E657" s="3">
        <f t="shared" si="43"/>
        <v>3845.08</v>
      </c>
      <c r="F657" s="3">
        <f>MAX($E$2:E657)</f>
        <v>4796.5600000000004</v>
      </c>
      <c r="G657" s="3">
        <f t="shared" si="40"/>
        <v>-19.836716313357915</v>
      </c>
      <c r="I657" s="2">
        <v>44486</v>
      </c>
      <c r="J657" s="3">
        <f>IFERROR(VLOOKUP(I657,$A$1:$G$1610,3,FALSE),J656)</f>
        <v>16.3</v>
      </c>
      <c r="K657" s="3">
        <f>IFERROR(VLOOKUP(I657,$A$1:$G$1610,7,FALSE),K656)</f>
        <v>-1.4454644640121652</v>
      </c>
      <c r="L657" s="5">
        <f t="shared" si="41"/>
        <v>0</v>
      </c>
    </row>
    <row r="658" spans="1:12" x14ac:dyDescent="0.25">
      <c r="A658" s="2">
        <v>44749</v>
      </c>
      <c r="B658" s="3">
        <v>26.08</v>
      </c>
      <c r="C658" s="3">
        <f t="shared" si="42"/>
        <v>26.08</v>
      </c>
      <c r="D658" s="3">
        <v>3902.62</v>
      </c>
      <c r="E658" s="3">
        <f t="shared" si="43"/>
        <v>3902.62</v>
      </c>
      <c r="F658" s="3">
        <f>MAX($E$2:E658)</f>
        <v>4796.5600000000004</v>
      </c>
      <c r="G658" s="3">
        <f t="shared" si="40"/>
        <v>-18.637106593058366</v>
      </c>
      <c r="I658" s="2">
        <v>44487</v>
      </c>
      <c r="J658" s="3">
        <f>IFERROR(VLOOKUP(I658,$A$1:$G$1610,3,FALSE),J657)</f>
        <v>16.309999999999999</v>
      </c>
      <c r="K658" s="3">
        <f>IFERROR(VLOOKUP(I658,$A$1:$G$1610,7,FALSE),K657)</f>
        <v>-1.1128621651109176</v>
      </c>
      <c r="L658" s="5">
        <f t="shared" si="41"/>
        <v>0</v>
      </c>
    </row>
    <row r="659" spans="1:12" x14ac:dyDescent="0.25">
      <c r="A659" s="2">
        <v>44750</v>
      </c>
      <c r="B659" s="3">
        <v>24.64</v>
      </c>
      <c r="C659" s="3">
        <f t="shared" si="42"/>
        <v>24.64</v>
      </c>
      <c r="D659" s="3">
        <v>3899.38</v>
      </c>
      <c r="E659" s="3">
        <f t="shared" si="43"/>
        <v>3899.38</v>
      </c>
      <c r="F659" s="3">
        <f>MAX($E$2:E659)</f>
        <v>4796.5600000000004</v>
      </c>
      <c r="G659" s="3">
        <f t="shared" si="40"/>
        <v>-18.704655002751977</v>
      </c>
      <c r="I659" s="2">
        <v>44488</v>
      </c>
      <c r="J659" s="3">
        <f>IFERROR(VLOOKUP(I659,$A$1:$G$1610,3,FALSE),J658)</f>
        <v>15.7</v>
      </c>
      <c r="K659" s="3">
        <f>IFERROR(VLOOKUP(I659,$A$1:$G$1610,7,FALSE),K658)</f>
        <v>-0.38175426222461589</v>
      </c>
      <c r="L659" s="5">
        <f t="shared" si="41"/>
        <v>0</v>
      </c>
    </row>
    <row r="660" spans="1:12" x14ac:dyDescent="0.25">
      <c r="A660" s="2">
        <v>44753</v>
      </c>
      <c r="B660" s="3">
        <v>26.17</v>
      </c>
      <c r="C660" s="3">
        <f t="shared" si="42"/>
        <v>26.17</v>
      </c>
      <c r="D660" s="3">
        <v>3854.43</v>
      </c>
      <c r="E660" s="3">
        <f t="shared" si="43"/>
        <v>3854.43</v>
      </c>
      <c r="F660" s="3">
        <f>MAX($E$2:E660)</f>
        <v>4796.5600000000004</v>
      </c>
      <c r="G660" s="3">
        <f t="shared" si="40"/>
        <v>-19.641784945877887</v>
      </c>
      <c r="I660" s="2">
        <v>44489</v>
      </c>
      <c r="J660" s="3">
        <f>IFERROR(VLOOKUP(I660,$A$1:$G$1610,3,FALSE),J659)</f>
        <v>15.49</v>
      </c>
      <c r="K660" s="3">
        <f>IFERROR(VLOOKUP(I660,$A$1:$G$1610,7,FALSE),K659)</f>
        <v>-1.6751341760438583E-2</v>
      </c>
      <c r="L660" s="5">
        <f t="shared" si="41"/>
        <v>0</v>
      </c>
    </row>
    <row r="661" spans="1:12" x14ac:dyDescent="0.25">
      <c r="A661" s="2">
        <v>44754</v>
      </c>
      <c r="B661" s="3">
        <v>27.29</v>
      </c>
      <c r="C661" s="3">
        <f t="shared" si="42"/>
        <v>27.29</v>
      </c>
      <c r="D661" s="3">
        <v>3818.8</v>
      </c>
      <c r="E661" s="3">
        <f t="shared" si="43"/>
        <v>3818.8</v>
      </c>
      <c r="F661" s="3">
        <f>MAX($E$2:E661)</f>
        <v>4796.5600000000004</v>
      </c>
      <c r="G661" s="3">
        <f t="shared" si="40"/>
        <v>-20.384608969761668</v>
      </c>
      <c r="I661" s="2">
        <v>44490</v>
      </c>
      <c r="J661" s="3">
        <f>IFERROR(VLOOKUP(I661,$A$1:$G$1610,3,FALSE),J660)</f>
        <v>15.01</v>
      </c>
      <c r="K661" s="3">
        <f>IFERROR(VLOOKUP(I661,$A$1:$G$1610,7,FALSE),K660)</f>
        <v>0</v>
      </c>
      <c r="L661" s="5">
        <f t="shared" si="41"/>
        <v>0</v>
      </c>
    </row>
    <row r="662" spans="1:12" x14ac:dyDescent="0.25">
      <c r="A662" s="2">
        <v>44755</v>
      </c>
      <c r="B662" s="3">
        <v>26.82</v>
      </c>
      <c r="C662" s="3">
        <f t="shared" si="42"/>
        <v>26.82</v>
      </c>
      <c r="D662" s="3">
        <v>3801.78</v>
      </c>
      <c r="E662" s="3">
        <f t="shared" si="43"/>
        <v>3801.78</v>
      </c>
      <c r="F662" s="3">
        <f>MAX($E$2:E662)</f>
        <v>4796.5600000000004</v>
      </c>
      <c r="G662" s="3">
        <f t="shared" si="40"/>
        <v>-20.739446603399106</v>
      </c>
      <c r="I662" s="2">
        <v>44491</v>
      </c>
      <c r="J662" s="3">
        <f>IFERROR(VLOOKUP(I662,$A$1:$G$1610,3,FALSE),J661)</f>
        <v>15.43</v>
      </c>
      <c r="K662" s="3">
        <f>IFERROR(VLOOKUP(I662,$A$1:$G$1610,7,FALSE),K661)</f>
        <v>-0.10725793335062594</v>
      </c>
      <c r="L662" s="5">
        <f t="shared" si="41"/>
        <v>0</v>
      </c>
    </row>
    <row r="663" spans="1:12" x14ac:dyDescent="0.25">
      <c r="A663" s="2">
        <v>44756</v>
      </c>
      <c r="B663" s="3">
        <v>26.4</v>
      </c>
      <c r="C663" s="3">
        <f t="shared" si="42"/>
        <v>26.4</v>
      </c>
      <c r="D663" s="3">
        <v>3790.38</v>
      </c>
      <c r="E663" s="3">
        <f t="shared" si="43"/>
        <v>3790.38</v>
      </c>
      <c r="F663" s="3">
        <f>MAX($E$2:E663)</f>
        <v>4796.5600000000004</v>
      </c>
      <c r="G663" s="3">
        <f t="shared" si="40"/>
        <v>-20.977116933802563</v>
      </c>
      <c r="I663" s="2">
        <v>44492</v>
      </c>
      <c r="J663" s="3">
        <f>IFERROR(VLOOKUP(I663,$A$1:$G$1610,3,FALSE),J662)</f>
        <v>15.43</v>
      </c>
      <c r="K663" s="3">
        <f>IFERROR(VLOOKUP(I663,$A$1:$G$1610,7,FALSE),K662)</f>
        <v>-0.10725793335062594</v>
      </c>
      <c r="L663" s="5">
        <f t="shared" si="41"/>
        <v>0</v>
      </c>
    </row>
    <row r="664" spans="1:12" x14ac:dyDescent="0.25">
      <c r="A664" s="2">
        <v>44757</v>
      </c>
      <c r="B664" s="3">
        <v>24.23</v>
      </c>
      <c r="C664" s="3">
        <f t="shared" si="42"/>
        <v>24.23</v>
      </c>
      <c r="D664" s="3">
        <v>3863.16</v>
      </c>
      <c r="E664" s="3">
        <f t="shared" si="43"/>
        <v>3863.16</v>
      </c>
      <c r="F664" s="3">
        <f>MAX($E$2:E664)</f>
        <v>4796.5600000000004</v>
      </c>
      <c r="G664" s="3">
        <f t="shared" si="40"/>
        <v>-19.459779508647873</v>
      </c>
      <c r="I664" s="2">
        <v>44493</v>
      </c>
      <c r="J664" s="3">
        <f>IFERROR(VLOOKUP(I664,$A$1:$G$1610,3,FALSE),J663)</f>
        <v>15.43</v>
      </c>
      <c r="K664" s="3">
        <f>IFERROR(VLOOKUP(I664,$A$1:$G$1610,7,FALSE),K663)</f>
        <v>-0.10725793335062594</v>
      </c>
      <c r="L664" s="5">
        <f t="shared" si="41"/>
        <v>0</v>
      </c>
    </row>
    <row r="665" spans="1:12" x14ac:dyDescent="0.25">
      <c r="A665" s="2">
        <v>44760</v>
      </c>
      <c r="B665" s="3">
        <v>25.3</v>
      </c>
      <c r="C665" s="3">
        <f t="shared" si="42"/>
        <v>25.3</v>
      </c>
      <c r="D665" s="3">
        <v>3830.85</v>
      </c>
      <c r="E665" s="3">
        <f t="shared" si="43"/>
        <v>3830.85</v>
      </c>
      <c r="F665" s="3">
        <f>MAX($E$2:E665)</f>
        <v>4796.5600000000004</v>
      </c>
      <c r="G665" s="3">
        <f t="shared" si="40"/>
        <v>-20.1333872608703</v>
      </c>
      <c r="I665" s="2">
        <v>44494</v>
      </c>
      <c r="J665" s="3">
        <f>IFERROR(VLOOKUP(I665,$A$1:$G$1610,3,FALSE),J664)</f>
        <v>15.24</v>
      </c>
      <c r="K665" s="3">
        <f>IFERROR(VLOOKUP(I665,$A$1:$G$1610,7,FALSE),K664)</f>
        <v>0</v>
      </c>
      <c r="L665" s="5">
        <f t="shared" si="41"/>
        <v>0</v>
      </c>
    </row>
    <row r="666" spans="1:12" x14ac:dyDescent="0.25">
      <c r="A666" s="2">
        <v>44761</v>
      </c>
      <c r="B666" s="3">
        <v>24.5</v>
      </c>
      <c r="C666" s="3">
        <f t="shared" si="42"/>
        <v>24.5</v>
      </c>
      <c r="D666" s="3">
        <v>3936.69</v>
      </c>
      <c r="E666" s="3">
        <f t="shared" si="43"/>
        <v>3936.69</v>
      </c>
      <c r="F666" s="3">
        <f>MAX($E$2:E666)</f>
        <v>4796.5600000000004</v>
      </c>
      <c r="G666" s="3">
        <f t="shared" si="40"/>
        <v>-17.926805877545579</v>
      </c>
      <c r="I666" s="2">
        <v>44495</v>
      </c>
      <c r="J666" s="3">
        <f>IFERROR(VLOOKUP(I666,$A$1:$G$1610,3,FALSE),J665)</f>
        <v>15.98</v>
      </c>
      <c r="K666" s="3">
        <f>IFERROR(VLOOKUP(I666,$A$1:$G$1610,7,FALSE),K665)</f>
        <v>0</v>
      </c>
      <c r="L666" s="5">
        <f t="shared" si="41"/>
        <v>0</v>
      </c>
    </row>
    <row r="667" spans="1:12" x14ac:dyDescent="0.25">
      <c r="A667" s="2">
        <v>44762</v>
      </c>
      <c r="B667" s="3">
        <v>23.88</v>
      </c>
      <c r="C667" s="3">
        <f t="shared" si="42"/>
        <v>23.88</v>
      </c>
      <c r="D667" s="3">
        <v>3959.9</v>
      </c>
      <c r="E667" s="3">
        <f t="shared" si="43"/>
        <v>3959.9</v>
      </c>
      <c r="F667" s="3">
        <f>MAX($E$2:E667)</f>
        <v>4796.5600000000004</v>
      </c>
      <c r="G667" s="3">
        <f t="shared" si="40"/>
        <v>-17.442917424153983</v>
      </c>
      <c r="I667" s="2">
        <v>44496</v>
      </c>
      <c r="J667" s="3">
        <f>IFERROR(VLOOKUP(I667,$A$1:$G$1610,3,FALSE),J666)</f>
        <v>16.98</v>
      </c>
      <c r="K667" s="3">
        <f>IFERROR(VLOOKUP(I667,$A$1:$G$1610,7,FALSE),K666)</f>
        <v>-0.50515979968478708</v>
      </c>
      <c r="L667" s="5">
        <f t="shared" si="41"/>
        <v>0</v>
      </c>
    </row>
    <row r="668" spans="1:12" x14ac:dyDescent="0.25">
      <c r="A668" s="2">
        <v>44763</v>
      </c>
      <c r="B668" s="3">
        <v>23.11</v>
      </c>
      <c r="C668" s="3">
        <f t="shared" si="42"/>
        <v>23.11</v>
      </c>
      <c r="D668" s="3">
        <v>3998.95</v>
      </c>
      <c r="E668" s="3">
        <f t="shared" si="43"/>
        <v>3998.95</v>
      </c>
      <c r="F668" s="3">
        <f>MAX($E$2:E668)</f>
        <v>4796.5600000000004</v>
      </c>
      <c r="G668" s="3">
        <f t="shared" si="40"/>
        <v>-16.628792301149169</v>
      </c>
      <c r="I668" s="2">
        <v>44497</v>
      </c>
      <c r="J668" s="3">
        <f>IFERROR(VLOOKUP(I668,$A$1:$G$1610,3,FALSE),J667)</f>
        <v>16.53</v>
      </c>
      <c r="K668" s="3">
        <f>IFERROR(VLOOKUP(I668,$A$1:$G$1610,7,FALSE),K667)</f>
        <v>0</v>
      </c>
      <c r="L668" s="5">
        <f t="shared" si="41"/>
        <v>0</v>
      </c>
    </row>
    <row r="669" spans="1:12" x14ac:dyDescent="0.25">
      <c r="A669" s="2">
        <v>44764</v>
      </c>
      <c r="B669" s="3">
        <v>23.03</v>
      </c>
      <c r="C669" s="3">
        <f t="shared" si="42"/>
        <v>23.03</v>
      </c>
      <c r="D669" s="3">
        <v>3961.63</v>
      </c>
      <c r="E669" s="3">
        <f t="shared" si="43"/>
        <v>3961.63</v>
      </c>
      <c r="F669" s="3">
        <f>MAX($E$2:E669)</f>
        <v>4796.5600000000004</v>
      </c>
      <c r="G669" s="3">
        <f t="shared" si="40"/>
        <v>-17.406849909101528</v>
      </c>
      <c r="I669" s="2">
        <v>44498</v>
      </c>
      <c r="J669" s="3">
        <f>IFERROR(VLOOKUP(I669,$A$1:$G$1610,3,FALSE),J668)</f>
        <v>16.260000000000002</v>
      </c>
      <c r="K669" s="3">
        <f>IFERROR(VLOOKUP(I669,$A$1:$G$1610,7,FALSE),K668)</f>
        <v>0</v>
      </c>
      <c r="L669" s="5">
        <f t="shared" si="41"/>
        <v>0</v>
      </c>
    </row>
    <row r="670" spans="1:12" x14ac:dyDescent="0.25">
      <c r="A670" s="2">
        <v>44767</v>
      </c>
      <c r="B670" s="3">
        <v>23.36</v>
      </c>
      <c r="C670" s="3">
        <f t="shared" si="42"/>
        <v>23.36</v>
      </c>
      <c r="D670" s="3">
        <v>3966.84</v>
      </c>
      <c r="E670" s="3">
        <f t="shared" si="43"/>
        <v>3966.84</v>
      </c>
      <c r="F670" s="3">
        <f>MAX($E$2:E670)</f>
        <v>4796.5600000000004</v>
      </c>
      <c r="G670" s="3">
        <f t="shared" si="40"/>
        <v>-17.298230398452226</v>
      </c>
      <c r="I670" s="2">
        <v>44499</v>
      </c>
      <c r="J670" s="3">
        <f>IFERROR(VLOOKUP(I670,$A$1:$G$1610,3,FALSE),J669)</f>
        <v>16.260000000000002</v>
      </c>
      <c r="K670" s="3">
        <f>IFERROR(VLOOKUP(I670,$A$1:$G$1610,7,FALSE),K669)</f>
        <v>0</v>
      </c>
      <c r="L670" s="5">
        <f t="shared" si="41"/>
        <v>0</v>
      </c>
    </row>
    <row r="671" spans="1:12" x14ac:dyDescent="0.25">
      <c r="A671" s="2">
        <v>44768</v>
      </c>
      <c r="B671" s="3">
        <v>24.69</v>
      </c>
      <c r="C671" s="3">
        <f t="shared" si="42"/>
        <v>24.69</v>
      </c>
      <c r="D671" s="3">
        <v>3921.05</v>
      </c>
      <c r="E671" s="3">
        <f t="shared" si="43"/>
        <v>3921.05</v>
      </c>
      <c r="F671" s="3">
        <f>MAX($E$2:E671)</f>
        <v>4796.5600000000004</v>
      </c>
      <c r="G671" s="3">
        <f t="shared" si="40"/>
        <v>-18.252872892239441</v>
      </c>
      <c r="I671" s="2">
        <v>44500</v>
      </c>
      <c r="J671" s="3">
        <f>IFERROR(VLOOKUP(I671,$A$1:$G$1610,3,FALSE),J670)</f>
        <v>16.260000000000002</v>
      </c>
      <c r="K671" s="3">
        <f>IFERROR(VLOOKUP(I671,$A$1:$G$1610,7,FALSE),K670)</f>
        <v>0</v>
      </c>
      <c r="L671" s="5">
        <f t="shared" si="41"/>
        <v>0</v>
      </c>
    </row>
    <row r="672" spans="1:12" x14ac:dyDescent="0.25">
      <c r="A672" s="2">
        <v>44769</v>
      </c>
      <c r="B672" s="3">
        <v>23.24</v>
      </c>
      <c r="C672" s="3">
        <f t="shared" si="42"/>
        <v>23.24</v>
      </c>
      <c r="D672" s="3">
        <v>4023.61</v>
      </c>
      <c r="E672" s="3">
        <f t="shared" si="43"/>
        <v>4023.61</v>
      </c>
      <c r="F672" s="3">
        <f>MAX($E$2:E672)</f>
        <v>4796.5600000000004</v>
      </c>
      <c r="G672" s="3">
        <f t="shared" si="40"/>
        <v>-16.114673849592211</v>
      </c>
      <c r="I672" s="2">
        <v>44501</v>
      </c>
      <c r="J672" s="3">
        <f>IFERROR(VLOOKUP(I672,$A$1:$G$1610,3,FALSE),J671)</f>
        <v>16.41</v>
      </c>
      <c r="K672" s="3">
        <f>IFERROR(VLOOKUP(I672,$A$1:$G$1610,7,FALSE),K671)</f>
        <v>0</v>
      </c>
      <c r="L672" s="5">
        <f t="shared" si="41"/>
        <v>0</v>
      </c>
    </row>
    <row r="673" spans="1:12" x14ac:dyDescent="0.25">
      <c r="A673" s="2">
        <v>44770</v>
      </c>
      <c r="B673" s="3">
        <v>22.33</v>
      </c>
      <c r="C673" s="3">
        <f t="shared" si="42"/>
        <v>22.33</v>
      </c>
      <c r="D673" s="3">
        <v>4072.43</v>
      </c>
      <c r="E673" s="3">
        <f t="shared" si="43"/>
        <v>4072.43</v>
      </c>
      <c r="F673" s="3">
        <f>MAX($E$2:E673)</f>
        <v>4796.5600000000004</v>
      </c>
      <c r="G673" s="3">
        <f t="shared" si="40"/>
        <v>-15.096861083776716</v>
      </c>
      <c r="I673" s="2">
        <v>44502</v>
      </c>
      <c r="J673" s="3">
        <f>IFERROR(VLOOKUP(I673,$A$1:$G$1610,3,FALSE),J672)</f>
        <v>16.03</v>
      </c>
      <c r="K673" s="3">
        <f>IFERROR(VLOOKUP(I673,$A$1:$G$1610,7,FALSE),K672)</f>
        <v>0</v>
      </c>
      <c r="L673" s="5">
        <f t="shared" si="41"/>
        <v>0</v>
      </c>
    </row>
    <row r="674" spans="1:12" x14ac:dyDescent="0.25">
      <c r="A674" s="2">
        <v>44771</v>
      </c>
      <c r="B674" s="3">
        <v>21.33</v>
      </c>
      <c r="C674" s="3">
        <f t="shared" si="42"/>
        <v>21.33</v>
      </c>
      <c r="D674" s="3">
        <v>4130.29</v>
      </c>
      <c r="E674" s="3">
        <f t="shared" si="43"/>
        <v>4130.29</v>
      </c>
      <c r="F674" s="3">
        <f>MAX($E$2:E674)</f>
        <v>4796.5600000000004</v>
      </c>
      <c r="G674" s="3">
        <f t="shared" si="40"/>
        <v>-13.890579915606194</v>
      </c>
      <c r="I674" s="2">
        <v>44503</v>
      </c>
      <c r="J674" s="3">
        <f>IFERROR(VLOOKUP(I674,$A$1:$G$1610,3,FALSE),J673)</f>
        <v>15.1</v>
      </c>
      <c r="K674" s="3">
        <f>IFERROR(VLOOKUP(I674,$A$1:$G$1610,7,FALSE),K673)</f>
        <v>0</v>
      </c>
      <c r="L674" s="5">
        <f t="shared" si="41"/>
        <v>0</v>
      </c>
    </row>
    <row r="675" spans="1:12" x14ac:dyDescent="0.25">
      <c r="A675" s="2">
        <v>44774</v>
      </c>
      <c r="B675" s="3">
        <v>22.84</v>
      </c>
      <c r="C675" s="3">
        <f t="shared" si="42"/>
        <v>22.84</v>
      </c>
      <c r="D675" s="3">
        <v>4118.63</v>
      </c>
      <c r="E675" s="3">
        <f t="shared" si="43"/>
        <v>4118.63</v>
      </c>
      <c r="F675" s="3">
        <f>MAX($E$2:E675)</f>
        <v>4796.5600000000004</v>
      </c>
      <c r="G675" s="3">
        <f t="shared" si="40"/>
        <v>-14.133670797404813</v>
      </c>
      <c r="I675" s="2">
        <v>44504</v>
      </c>
      <c r="J675" s="3">
        <f>IFERROR(VLOOKUP(I675,$A$1:$G$1610,3,FALSE),J674)</f>
        <v>15.44</v>
      </c>
      <c r="K675" s="3">
        <f>IFERROR(VLOOKUP(I675,$A$1:$G$1610,7,FALSE),K674)</f>
        <v>0</v>
      </c>
      <c r="L675" s="5">
        <f t="shared" si="41"/>
        <v>0</v>
      </c>
    </row>
    <row r="676" spans="1:12" x14ac:dyDescent="0.25">
      <c r="A676" s="2">
        <v>44775</v>
      </c>
      <c r="B676" s="3">
        <v>23.93</v>
      </c>
      <c r="C676" s="3">
        <f t="shared" si="42"/>
        <v>23.93</v>
      </c>
      <c r="D676" s="3">
        <v>4091.19</v>
      </c>
      <c r="E676" s="3">
        <f t="shared" si="43"/>
        <v>4091.19</v>
      </c>
      <c r="F676" s="3">
        <f>MAX($E$2:E676)</f>
        <v>4796.5600000000004</v>
      </c>
      <c r="G676" s="3">
        <f t="shared" si="40"/>
        <v>-14.70574745234085</v>
      </c>
      <c r="I676" s="2">
        <v>44505</v>
      </c>
      <c r="J676" s="3">
        <f>IFERROR(VLOOKUP(I676,$A$1:$G$1610,3,FALSE),J675)</f>
        <v>16.48</v>
      </c>
      <c r="K676" s="3">
        <f>IFERROR(VLOOKUP(I676,$A$1:$G$1610,7,FALSE),K675)</f>
        <v>0</v>
      </c>
      <c r="L676" s="5">
        <f t="shared" si="41"/>
        <v>0</v>
      </c>
    </row>
    <row r="677" spans="1:12" x14ac:dyDescent="0.25">
      <c r="A677" s="2">
        <v>44776</v>
      </c>
      <c r="B677" s="3">
        <v>21.95</v>
      </c>
      <c r="C677" s="3">
        <f t="shared" si="42"/>
        <v>21.95</v>
      </c>
      <c r="D677" s="3">
        <v>4155.17</v>
      </c>
      <c r="E677" s="3">
        <f t="shared" si="43"/>
        <v>4155.17</v>
      </c>
      <c r="F677" s="3">
        <f>MAX($E$2:E677)</f>
        <v>4796.5600000000004</v>
      </c>
      <c r="G677" s="3">
        <f t="shared" si="40"/>
        <v>-13.371874843637945</v>
      </c>
      <c r="I677" s="2">
        <v>44506</v>
      </c>
      <c r="J677" s="3">
        <f>IFERROR(VLOOKUP(I677,$A$1:$G$1610,3,FALSE),J676)</f>
        <v>16.48</v>
      </c>
      <c r="K677" s="3">
        <f>IFERROR(VLOOKUP(I677,$A$1:$G$1610,7,FALSE),K676)</f>
        <v>0</v>
      </c>
      <c r="L677" s="5">
        <f t="shared" si="41"/>
        <v>0</v>
      </c>
    </row>
    <row r="678" spans="1:12" x14ac:dyDescent="0.25">
      <c r="A678" s="2">
        <v>44777</v>
      </c>
      <c r="B678" s="3">
        <v>21.44</v>
      </c>
      <c r="C678" s="3">
        <f t="shared" si="42"/>
        <v>21.44</v>
      </c>
      <c r="D678" s="3">
        <v>4151.9399999999996</v>
      </c>
      <c r="E678" s="3">
        <f t="shared" si="43"/>
        <v>4151.9399999999996</v>
      </c>
      <c r="F678" s="3">
        <f>MAX($E$2:E678)</f>
        <v>4796.5600000000004</v>
      </c>
      <c r="G678" s="3">
        <f t="shared" si="40"/>
        <v>-13.439214770585602</v>
      </c>
      <c r="I678" s="2">
        <v>44507</v>
      </c>
      <c r="J678" s="3">
        <f>IFERROR(VLOOKUP(I678,$A$1:$G$1610,3,FALSE),J677)</f>
        <v>16.48</v>
      </c>
      <c r="K678" s="3">
        <f>IFERROR(VLOOKUP(I678,$A$1:$G$1610,7,FALSE),K677)</f>
        <v>0</v>
      </c>
      <c r="L678" s="5">
        <f t="shared" si="41"/>
        <v>0</v>
      </c>
    </row>
    <row r="679" spans="1:12" x14ac:dyDescent="0.25">
      <c r="A679" s="2">
        <v>44778</v>
      </c>
      <c r="B679" s="3">
        <v>21.15</v>
      </c>
      <c r="C679" s="3">
        <f t="shared" si="42"/>
        <v>21.15</v>
      </c>
      <c r="D679" s="3">
        <v>4145.1899999999996</v>
      </c>
      <c r="E679" s="3">
        <f t="shared" si="43"/>
        <v>4145.1899999999996</v>
      </c>
      <c r="F679" s="3">
        <f>MAX($E$2:E679)</f>
        <v>4796.5600000000004</v>
      </c>
      <c r="G679" s="3">
        <f t="shared" si="40"/>
        <v>-13.579940624113965</v>
      </c>
      <c r="I679" s="2">
        <v>44508</v>
      </c>
      <c r="J679" s="3">
        <f>IFERROR(VLOOKUP(I679,$A$1:$G$1610,3,FALSE),J678)</f>
        <v>17.22</v>
      </c>
      <c r="K679" s="3">
        <f>IFERROR(VLOOKUP(I679,$A$1:$G$1610,7,FALSE),K678)</f>
        <v>0</v>
      </c>
      <c r="L679" s="5">
        <f t="shared" si="41"/>
        <v>0</v>
      </c>
    </row>
    <row r="680" spans="1:12" x14ac:dyDescent="0.25">
      <c r="A680" s="2">
        <v>44781</v>
      </c>
      <c r="B680" s="3">
        <v>21.29</v>
      </c>
      <c r="C680" s="3">
        <f t="shared" si="42"/>
        <v>21.29</v>
      </c>
      <c r="D680" s="3">
        <v>4140.0600000000004</v>
      </c>
      <c r="E680" s="3">
        <f t="shared" si="43"/>
        <v>4140.0600000000004</v>
      </c>
      <c r="F680" s="3">
        <f>MAX($E$2:E680)</f>
        <v>4796.5600000000004</v>
      </c>
      <c r="G680" s="3">
        <f t="shared" si="40"/>
        <v>-13.686892272795504</v>
      </c>
      <c r="I680" s="2">
        <v>44509</v>
      </c>
      <c r="J680" s="3">
        <f>IFERROR(VLOOKUP(I680,$A$1:$G$1610,3,FALSE),J679)</f>
        <v>17.78</v>
      </c>
      <c r="K680" s="3">
        <f>IFERROR(VLOOKUP(I680,$A$1:$G$1610,7,FALSE),K679)</f>
        <v>-0.34987345002870918</v>
      </c>
      <c r="L680" s="5">
        <f t="shared" si="41"/>
        <v>0</v>
      </c>
    </row>
    <row r="681" spans="1:12" x14ac:dyDescent="0.25">
      <c r="A681" s="2">
        <v>44782</v>
      </c>
      <c r="B681" s="3">
        <v>21.77</v>
      </c>
      <c r="C681" s="3">
        <f t="shared" si="42"/>
        <v>21.77</v>
      </c>
      <c r="D681" s="3">
        <v>4122.47</v>
      </c>
      <c r="E681" s="3">
        <f t="shared" si="43"/>
        <v>4122.47</v>
      </c>
      <c r="F681" s="3">
        <f>MAX($E$2:E681)</f>
        <v>4796.5600000000004</v>
      </c>
      <c r="G681" s="3">
        <f t="shared" si="40"/>
        <v>-14.053613422953118</v>
      </c>
      <c r="I681" s="2">
        <v>44510</v>
      </c>
      <c r="J681" s="3">
        <f>IFERROR(VLOOKUP(I681,$A$1:$G$1610,3,FALSE),J680)</f>
        <v>18.73</v>
      </c>
      <c r="K681" s="3">
        <f>IFERROR(VLOOKUP(I681,$A$1:$G$1610,7,FALSE),K680)</f>
        <v>-1.1695769615245504</v>
      </c>
      <c r="L681" s="5">
        <f t="shared" si="41"/>
        <v>0</v>
      </c>
    </row>
    <row r="682" spans="1:12" x14ac:dyDescent="0.25">
      <c r="A682" s="2">
        <v>44783</v>
      </c>
      <c r="B682" s="3">
        <v>19.739999999999998</v>
      </c>
      <c r="C682" s="3">
        <f t="shared" si="42"/>
        <v>19.739999999999998</v>
      </c>
      <c r="D682" s="3">
        <v>4210.24</v>
      </c>
      <c r="E682" s="3">
        <f t="shared" si="43"/>
        <v>4210.24</v>
      </c>
      <c r="F682" s="3">
        <f>MAX($E$2:E682)</f>
        <v>4796.5600000000004</v>
      </c>
      <c r="G682" s="3">
        <f t="shared" si="40"/>
        <v>-12.223760361592486</v>
      </c>
      <c r="I682" s="2">
        <v>44511</v>
      </c>
      <c r="J682" s="3">
        <f>IFERROR(VLOOKUP(I682,$A$1:$G$1610,3,FALSE),J681)</f>
        <v>17.66</v>
      </c>
      <c r="K682" s="3">
        <f>IFERROR(VLOOKUP(I682,$A$1:$G$1610,7,FALSE),K681)</f>
        <v>-1.115128570517034</v>
      </c>
      <c r="L682" s="5">
        <f t="shared" si="41"/>
        <v>0</v>
      </c>
    </row>
    <row r="683" spans="1:12" x14ac:dyDescent="0.25">
      <c r="A683" s="2">
        <v>44784</v>
      </c>
      <c r="B683" s="3">
        <v>20.2</v>
      </c>
      <c r="C683" s="3">
        <f t="shared" si="42"/>
        <v>20.2</v>
      </c>
      <c r="D683" s="3">
        <v>4207.2700000000004</v>
      </c>
      <c r="E683" s="3">
        <f t="shared" si="43"/>
        <v>4207.2700000000004</v>
      </c>
      <c r="F683" s="3">
        <f>MAX($E$2:E683)</f>
        <v>4796.5600000000004</v>
      </c>
      <c r="G683" s="3">
        <f t="shared" si="40"/>
        <v>-12.285679737144953</v>
      </c>
      <c r="I683" s="2">
        <v>44512</v>
      </c>
      <c r="J683" s="3">
        <f>IFERROR(VLOOKUP(I683,$A$1:$G$1610,3,FALSE),J682)</f>
        <v>16.29</v>
      </c>
      <c r="K683" s="3">
        <f>IFERROR(VLOOKUP(I683,$A$1:$G$1610,7,FALSE),K682)</f>
        <v>-0.40091881659824008</v>
      </c>
      <c r="L683" s="5">
        <f t="shared" si="41"/>
        <v>0</v>
      </c>
    </row>
    <row r="684" spans="1:12" x14ac:dyDescent="0.25">
      <c r="A684" s="2">
        <v>44785</v>
      </c>
      <c r="B684" s="3">
        <v>19.53</v>
      </c>
      <c r="C684" s="3">
        <f t="shared" si="42"/>
        <v>19.53</v>
      </c>
      <c r="D684" s="3">
        <v>4280.1499999999996</v>
      </c>
      <c r="E684" s="3">
        <f t="shared" si="43"/>
        <v>4280.1499999999996</v>
      </c>
      <c r="F684" s="3">
        <f>MAX($E$2:E684)</f>
        <v>4796.5600000000004</v>
      </c>
      <c r="G684" s="3">
        <f t="shared" si="40"/>
        <v>-10.766257484530595</v>
      </c>
      <c r="I684" s="2">
        <v>44513</v>
      </c>
      <c r="J684" s="3">
        <f>IFERROR(VLOOKUP(I684,$A$1:$G$1610,3,FALSE),J683)</f>
        <v>16.29</v>
      </c>
      <c r="K684" s="3">
        <f>IFERROR(VLOOKUP(I684,$A$1:$G$1610,7,FALSE),K683)</f>
        <v>-0.40091881659824008</v>
      </c>
      <c r="L684" s="5">
        <f t="shared" si="41"/>
        <v>0</v>
      </c>
    </row>
    <row r="685" spans="1:12" x14ac:dyDescent="0.25">
      <c r="A685" s="2">
        <v>44788</v>
      </c>
      <c r="B685" s="3">
        <v>19.95</v>
      </c>
      <c r="C685" s="3">
        <f t="shared" si="42"/>
        <v>19.95</v>
      </c>
      <c r="D685" s="3">
        <v>4297.1400000000003</v>
      </c>
      <c r="E685" s="3">
        <f t="shared" si="43"/>
        <v>4297.1400000000003</v>
      </c>
      <c r="F685" s="3">
        <f>MAX($E$2:E685)</f>
        <v>4796.5600000000004</v>
      </c>
      <c r="G685" s="3">
        <f t="shared" si="40"/>
        <v>-10.412045299131044</v>
      </c>
      <c r="I685" s="2">
        <v>44514</v>
      </c>
      <c r="J685" s="3">
        <f>IFERROR(VLOOKUP(I685,$A$1:$G$1610,3,FALSE),J684)</f>
        <v>16.29</v>
      </c>
      <c r="K685" s="3">
        <f>IFERROR(VLOOKUP(I685,$A$1:$G$1610,7,FALSE),K684)</f>
        <v>-0.40091881659824008</v>
      </c>
      <c r="L685" s="5">
        <f t="shared" si="41"/>
        <v>0</v>
      </c>
    </row>
    <row r="686" spans="1:12" x14ac:dyDescent="0.25">
      <c r="A686" s="2">
        <v>44789</v>
      </c>
      <c r="B686" s="3">
        <v>19.690000000000001</v>
      </c>
      <c r="C686" s="3">
        <f t="shared" si="42"/>
        <v>19.690000000000001</v>
      </c>
      <c r="D686" s="3">
        <v>4305.2</v>
      </c>
      <c r="E686" s="3">
        <f t="shared" si="43"/>
        <v>4305.2</v>
      </c>
      <c r="F686" s="3">
        <f>MAX($E$2:E686)</f>
        <v>4796.5600000000004</v>
      </c>
      <c r="G686" s="3">
        <f t="shared" si="40"/>
        <v>-10.244008205880894</v>
      </c>
      <c r="I686" s="2">
        <v>44515</v>
      </c>
      <c r="J686" s="3">
        <f>IFERROR(VLOOKUP(I686,$A$1:$G$1610,3,FALSE),J685)</f>
        <v>16.489999999999998</v>
      </c>
      <c r="K686" s="3">
        <f>IFERROR(VLOOKUP(I686,$A$1:$G$1610,7,FALSE),K685)</f>
        <v>-0.40198226173510943</v>
      </c>
      <c r="L686" s="5">
        <f t="shared" si="41"/>
        <v>0</v>
      </c>
    </row>
    <row r="687" spans="1:12" x14ac:dyDescent="0.25">
      <c r="A687" s="2">
        <v>44790</v>
      </c>
      <c r="B687" s="3">
        <v>19.899999999999999</v>
      </c>
      <c r="C687" s="3">
        <f t="shared" si="42"/>
        <v>19.899999999999999</v>
      </c>
      <c r="D687" s="3">
        <v>4274.04</v>
      </c>
      <c r="E687" s="3">
        <f t="shared" si="43"/>
        <v>4274.04</v>
      </c>
      <c r="F687" s="3">
        <f>MAX($E$2:E687)</f>
        <v>4796.5600000000004</v>
      </c>
      <c r="G687" s="3">
        <f t="shared" si="40"/>
        <v>-10.893640442317002</v>
      </c>
      <c r="I687" s="2">
        <v>44516</v>
      </c>
      <c r="J687" s="3">
        <f>IFERROR(VLOOKUP(I687,$A$1:$G$1610,3,FALSE),J686)</f>
        <v>16.37</v>
      </c>
      <c r="K687" s="3">
        <f>IFERROR(VLOOKUP(I687,$A$1:$G$1610,7,FALSE),K686)</f>
        <v>-1.7015122189850095E-2</v>
      </c>
      <c r="L687" s="5">
        <f t="shared" si="41"/>
        <v>0</v>
      </c>
    </row>
    <row r="688" spans="1:12" x14ac:dyDescent="0.25">
      <c r="A688" s="2">
        <v>44791</v>
      </c>
      <c r="B688" s="3">
        <v>19.559999999999999</v>
      </c>
      <c r="C688" s="3">
        <f t="shared" si="42"/>
        <v>19.559999999999999</v>
      </c>
      <c r="D688" s="3">
        <v>4283.74</v>
      </c>
      <c r="E688" s="3">
        <f t="shared" si="43"/>
        <v>4283.74</v>
      </c>
      <c r="F688" s="3">
        <f>MAX($E$2:E688)</f>
        <v>4796.5600000000004</v>
      </c>
      <c r="G688" s="3">
        <f t="shared" si="40"/>
        <v>-10.6914121787281</v>
      </c>
      <c r="I688" s="2">
        <v>44517</v>
      </c>
      <c r="J688" s="3">
        <f>IFERROR(VLOOKUP(I688,$A$1:$G$1610,3,FALSE),J687)</f>
        <v>17.11</v>
      </c>
      <c r="K688" s="3">
        <f>IFERROR(VLOOKUP(I688,$A$1:$G$1610,7,FALSE),K687)</f>
        <v>-0.27713380266711501</v>
      </c>
      <c r="L688" s="5">
        <f t="shared" si="41"/>
        <v>0</v>
      </c>
    </row>
    <row r="689" spans="1:12" x14ac:dyDescent="0.25">
      <c r="A689" s="2">
        <v>44792</v>
      </c>
      <c r="B689" s="3">
        <v>20.6</v>
      </c>
      <c r="C689" s="3">
        <f t="shared" si="42"/>
        <v>20.6</v>
      </c>
      <c r="D689" s="3">
        <v>4228.4799999999996</v>
      </c>
      <c r="E689" s="3">
        <f t="shared" si="43"/>
        <v>4228.4799999999996</v>
      </c>
      <c r="F689" s="3">
        <f>MAX($E$2:E689)</f>
        <v>4796.5600000000004</v>
      </c>
      <c r="G689" s="3">
        <f t="shared" si="40"/>
        <v>-11.843487832946961</v>
      </c>
      <c r="I689" s="2">
        <v>44518</v>
      </c>
      <c r="J689" s="3">
        <f>IFERROR(VLOOKUP(I689,$A$1:$G$1610,3,FALSE),J688)</f>
        <v>17.59</v>
      </c>
      <c r="K689" s="3">
        <f>IFERROR(VLOOKUP(I689,$A$1:$G$1610,7,FALSE),K688)</f>
        <v>0</v>
      </c>
      <c r="L689" s="5">
        <f t="shared" si="41"/>
        <v>0</v>
      </c>
    </row>
    <row r="690" spans="1:12" x14ac:dyDescent="0.25">
      <c r="A690" s="2">
        <v>44795</v>
      </c>
      <c r="B690" s="3">
        <v>23.8</v>
      </c>
      <c r="C690" s="3">
        <f t="shared" si="42"/>
        <v>23.8</v>
      </c>
      <c r="D690" s="3">
        <v>4137.99</v>
      </c>
      <c r="E690" s="3">
        <f t="shared" si="43"/>
        <v>4137.99</v>
      </c>
      <c r="F690" s="3">
        <f>MAX($E$2:E690)</f>
        <v>4796.5600000000004</v>
      </c>
      <c r="G690" s="3">
        <f t="shared" si="40"/>
        <v>-13.730048201210879</v>
      </c>
      <c r="I690" s="2">
        <v>44519</v>
      </c>
      <c r="J690" s="3">
        <f>IFERROR(VLOOKUP(I690,$A$1:$G$1610,3,FALSE),J689)</f>
        <v>17.91</v>
      </c>
      <c r="K690" s="3">
        <f>IFERROR(VLOOKUP(I690,$A$1:$G$1610,7,FALSE),K689)</f>
        <v>-0.13986489646171416</v>
      </c>
      <c r="L690" s="5">
        <f t="shared" si="41"/>
        <v>0</v>
      </c>
    </row>
    <row r="691" spans="1:12" x14ac:dyDescent="0.25">
      <c r="A691" s="2">
        <v>44796</v>
      </c>
      <c r="B691" s="3">
        <v>24.11</v>
      </c>
      <c r="C691" s="3">
        <f t="shared" si="42"/>
        <v>24.11</v>
      </c>
      <c r="D691" s="3">
        <v>4128.7299999999996</v>
      </c>
      <c r="E691" s="3">
        <f t="shared" si="43"/>
        <v>4128.7299999999996</v>
      </c>
      <c r="F691" s="3">
        <f>MAX($E$2:E691)</f>
        <v>4796.5600000000004</v>
      </c>
      <c r="G691" s="3">
        <f t="shared" si="40"/>
        <v>-13.923103223977201</v>
      </c>
      <c r="I691" s="2">
        <v>44520</v>
      </c>
      <c r="J691" s="3">
        <f>IFERROR(VLOOKUP(I691,$A$1:$G$1610,3,FALSE),J690)</f>
        <v>17.91</v>
      </c>
      <c r="K691" s="3">
        <f>IFERROR(VLOOKUP(I691,$A$1:$G$1610,7,FALSE),K690)</f>
        <v>-0.13986489646171416</v>
      </c>
      <c r="L691" s="5">
        <f t="shared" si="41"/>
        <v>0</v>
      </c>
    </row>
    <row r="692" spans="1:12" x14ac:dyDescent="0.25">
      <c r="A692" s="2">
        <v>44797</v>
      </c>
      <c r="B692" s="3">
        <v>22.82</v>
      </c>
      <c r="C692" s="3">
        <f t="shared" si="42"/>
        <v>22.82</v>
      </c>
      <c r="D692" s="3">
        <v>4140.7700000000004</v>
      </c>
      <c r="E692" s="3">
        <f t="shared" si="43"/>
        <v>4140.7700000000004</v>
      </c>
      <c r="F692" s="3">
        <f>MAX($E$2:E692)</f>
        <v>4796.5600000000004</v>
      </c>
      <c r="G692" s="3">
        <f t="shared" si="40"/>
        <v>-13.672089997831776</v>
      </c>
      <c r="I692" s="2">
        <v>44521</v>
      </c>
      <c r="J692" s="3">
        <f>IFERROR(VLOOKUP(I692,$A$1:$G$1610,3,FALSE),J691)</f>
        <v>17.91</v>
      </c>
      <c r="K692" s="3">
        <f>IFERROR(VLOOKUP(I692,$A$1:$G$1610,7,FALSE),K691)</f>
        <v>-0.13986489646171416</v>
      </c>
      <c r="L692" s="5">
        <f t="shared" si="41"/>
        <v>0</v>
      </c>
    </row>
    <row r="693" spans="1:12" x14ac:dyDescent="0.25">
      <c r="A693" s="2">
        <v>44798</v>
      </c>
      <c r="B693" s="3">
        <v>21.78</v>
      </c>
      <c r="C693" s="3">
        <f t="shared" si="42"/>
        <v>21.78</v>
      </c>
      <c r="D693" s="3">
        <v>4199.12</v>
      </c>
      <c r="E693" s="3">
        <f t="shared" si="43"/>
        <v>4199.12</v>
      </c>
      <c r="F693" s="3">
        <f>MAX($E$2:E693)</f>
        <v>4796.5600000000004</v>
      </c>
      <c r="G693" s="3">
        <f t="shared" si="40"/>
        <v>-12.455593175108838</v>
      </c>
      <c r="I693" s="2">
        <v>44522</v>
      </c>
      <c r="J693" s="3">
        <f>IFERROR(VLOOKUP(I693,$A$1:$G$1610,3,FALSE),J692)</f>
        <v>19.170000000000002</v>
      </c>
      <c r="K693" s="3">
        <f>IFERROR(VLOOKUP(I693,$A$1:$G$1610,7,FALSE),K692)</f>
        <v>-0.45913096710837537</v>
      </c>
      <c r="L693" s="5">
        <f t="shared" si="41"/>
        <v>0</v>
      </c>
    </row>
    <row r="694" spans="1:12" x14ac:dyDescent="0.25">
      <c r="A694" s="2">
        <v>44799</v>
      </c>
      <c r="B694" s="3">
        <v>25.56</v>
      </c>
      <c r="C694" s="3">
        <f t="shared" si="42"/>
        <v>25.56</v>
      </c>
      <c r="D694" s="3">
        <v>4057.66</v>
      </c>
      <c r="E694" s="3">
        <f t="shared" si="43"/>
        <v>4057.66</v>
      </c>
      <c r="F694" s="3">
        <f>MAX($E$2:E694)</f>
        <v>4796.5600000000004</v>
      </c>
      <c r="G694" s="3">
        <f t="shared" si="40"/>
        <v>-15.40479009957137</v>
      </c>
      <c r="I694" s="2">
        <v>44523</v>
      </c>
      <c r="J694" s="3">
        <f>IFERROR(VLOOKUP(I694,$A$1:$G$1610,3,FALSE),J693)</f>
        <v>19.38</v>
      </c>
      <c r="K694" s="3">
        <f>IFERROR(VLOOKUP(I694,$A$1:$G$1610,7,FALSE),K693)</f>
        <v>-0.29418391596203125</v>
      </c>
      <c r="L694" s="5">
        <f t="shared" si="41"/>
        <v>0</v>
      </c>
    </row>
    <row r="695" spans="1:12" x14ac:dyDescent="0.25">
      <c r="A695" s="2">
        <v>44802</v>
      </c>
      <c r="B695" s="3">
        <v>26.21</v>
      </c>
      <c r="C695" s="3">
        <f t="shared" si="42"/>
        <v>26.21</v>
      </c>
      <c r="D695" s="3">
        <v>4030.61</v>
      </c>
      <c r="E695" s="3">
        <f t="shared" si="43"/>
        <v>4030.61</v>
      </c>
      <c r="F695" s="3">
        <f>MAX($E$2:E695)</f>
        <v>4796.5600000000004</v>
      </c>
      <c r="G695" s="3">
        <f t="shared" si="40"/>
        <v>-15.968735927414651</v>
      </c>
      <c r="I695" s="2">
        <v>44524</v>
      </c>
      <c r="J695" s="3">
        <f>IFERROR(VLOOKUP(I695,$A$1:$G$1610,3,FALSE),J694)</f>
        <v>18.579999999999998</v>
      </c>
      <c r="K695" s="3">
        <f>IFERROR(VLOOKUP(I695,$A$1:$G$1610,7,FALSE),K694)</f>
        <v>-6.5468674939524948E-2</v>
      </c>
      <c r="L695" s="5">
        <f t="shared" si="41"/>
        <v>0</v>
      </c>
    </row>
    <row r="696" spans="1:12" x14ac:dyDescent="0.25">
      <c r="A696" s="2">
        <v>44803</v>
      </c>
      <c r="B696" s="3">
        <v>26.21</v>
      </c>
      <c r="C696" s="3">
        <f t="shared" si="42"/>
        <v>26.21</v>
      </c>
      <c r="D696" s="3">
        <v>3986.16</v>
      </c>
      <c r="E696" s="3">
        <f t="shared" si="43"/>
        <v>3986.16</v>
      </c>
      <c r="F696" s="3">
        <f>MAX($E$2:E696)</f>
        <v>4796.5600000000004</v>
      </c>
      <c r="G696" s="3">
        <f t="shared" si="40"/>
        <v>-16.895441733242166</v>
      </c>
      <c r="I696" s="2">
        <v>44525</v>
      </c>
      <c r="J696" s="3">
        <f>IFERROR(VLOOKUP(I696,$A$1:$G$1610,3,FALSE),J695)</f>
        <v>18.579999999999998</v>
      </c>
      <c r="K696" s="3">
        <f>IFERROR(VLOOKUP(I696,$A$1:$G$1610,7,FALSE),K695)</f>
        <v>-6.5468674939524948E-2</v>
      </c>
      <c r="L696" s="5">
        <f t="shared" si="41"/>
        <v>0</v>
      </c>
    </row>
    <row r="697" spans="1:12" x14ac:dyDescent="0.25">
      <c r="A697" s="2">
        <v>44804</v>
      </c>
      <c r="B697" s="3">
        <v>25.87</v>
      </c>
      <c r="C697" s="3">
        <f t="shared" si="42"/>
        <v>25.87</v>
      </c>
      <c r="D697" s="3">
        <v>3955</v>
      </c>
      <c r="E697" s="3">
        <f t="shared" si="43"/>
        <v>3955</v>
      </c>
      <c r="F697" s="3">
        <f>MAX($E$2:E697)</f>
        <v>4796.5600000000004</v>
      </c>
      <c r="G697" s="3">
        <f t="shared" si="40"/>
        <v>-17.545073969678278</v>
      </c>
      <c r="I697" s="2">
        <v>44526</v>
      </c>
      <c r="J697" s="3">
        <f>IFERROR(VLOOKUP(I697,$A$1:$G$1610,3,FALSE),J696)</f>
        <v>28.62</v>
      </c>
      <c r="K697" s="3">
        <f>IFERROR(VLOOKUP(I697,$A$1:$G$1610,7,FALSE),K696)</f>
        <v>-2.3364664770625838</v>
      </c>
      <c r="L697" s="5">
        <f t="shared" si="41"/>
        <v>0</v>
      </c>
    </row>
    <row r="698" spans="1:12" x14ac:dyDescent="0.25">
      <c r="A698" s="2">
        <v>44805</v>
      </c>
      <c r="B698" s="3">
        <v>25.56</v>
      </c>
      <c r="C698" s="3">
        <f t="shared" si="42"/>
        <v>25.56</v>
      </c>
      <c r="D698" s="3">
        <v>3966.85</v>
      </c>
      <c r="E698" s="3">
        <f t="shared" si="43"/>
        <v>3966.85</v>
      </c>
      <c r="F698" s="3">
        <f>MAX($E$2:E698)</f>
        <v>4796.5600000000004</v>
      </c>
      <c r="G698" s="3">
        <f t="shared" si="40"/>
        <v>-17.298021915706265</v>
      </c>
      <c r="I698" s="2">
        <v>44527</v>
      </c>
      <c r="J698" s="3">
        <f>IFERROR(VLOOKUP(I698,$A$1:$G$1610,3,FALSE),J697)</f>
        <v>28.62</v>
      </c>
      <c r="K698" s="3">
        <f>IFERROR(VLOOKUP(I698,$A$1:$G$1610,7,FALSE),K697)</f>
        <v>-2.3364664770625838</v>
      </c>
      <c r="L698" s="5">
        <f t="shared" si="41"/>
        <v>0</v>
      </c>
    </row>
    <row r="699" spans="1:12" x14ac:dyDescent="0.25">
      <c r="A699" s="2">
        <v>44806</v>
      </c>
      <c r="B699" s="3">
        <v>25.47</v>
      </c>
      <c r="C699" s="3">
        <f t="shared" si="42"/>
        <v>25.47</v>
      </c>
      <c r="D699" s="3">
        <v>3924.26</v>
      </c>
      <c r="E699" s="3">
        <f t="shared" si="43"/>
        <v>3924.26</v>
      </c>
      <c r="F699" s="3">
        <f>MAX($E$2:E699)</f>
        <v>4796.5600000000004</v>
      </c>
      <c r="G699" s="3">
        <f t="shared" si="40"/>
        <v>-18.185949930783732</v>
      </c>
      <c r="I699" s="2">
        <v>44528</v>
      </c>
      <c r="J699" s="3">
        <f>IFERROR(VLOOKUP(I699,$A$1:$G$1610,3,FALSE),J698)</f>
        <v>28.62</v>
      </c>
      <c r="K699" s="3">
        <f>IFERROR(VLOOKUP(I699,$A$1:$G$1610,7,FALSE),K698)</f>
        <v>-2.3364664770625838</v>
      </c>
      <c r="L699" s="5">
        <f t="shared" si="41"/>
        <v>0</v>
      </c>
    </row>
    <row r="700" spans="1:12" x14ac:dyDescent="0.25">
      <c r="A700" s="2">
        <v>44809</v>
      </c>
      <c r="B700" s="3">
        <v>25.99</v>
      </c>
      <c r="C700" s="3">
        <f t="shared" si="42"/>
        <v>25.99</v>
      </c>
      <c r="E700" s="3">
        <f t="shared" si="43"/>
        <v>3924.26</v>
      </c>
      <c r="F700" s="3">
        <f>MAX($E$2:E700)</f>
        <v>4796.5600000000004</v>
      </c>
      <c r="G700" s="3">
        <f t="shared" si="40"/>
        <v>-18.185949930783732</v>
      </c>
      <c r="I700" s="2">
        <v>44529</v>
      </c>
      <c r="J700" s="3">
        <f>IFERROR(VLOOKUP(I700,$A$1:$G$1610,3,FALSE),J699)</f>
        <v>22.96</v>
      </c>
      <c r="K700" s="3">
        <f>IFERROR(VLOOKUP(I700,$A$1:$G$1610,7,FALSE),K699)</f>
        <v>-1.0472862383994934</v>
      </c>
      <c r="L700" s="5">
        <f t="shared" si="41"/>
        <v>0</v>
      </c>
    </row>
    <row r="701" spans="1:12" x14ac:dyDescent="0.25">
      <c r="A701" s="2">
        <v>44810</v>
      </c>
      <c r="B701" s="3">
        <v>26.91</v>
      </c>
      <c r="C701" s="3">
        <f t="shared" si="42"/>
        <v>26.91</v>
      </c>
      <c r="D701" s="3">
        <v>3908.19</v>
      </c>
      <c r="E701" s="3">
        <f t="shared" si="43"/>
        <v>3908.19</v>
      </c>
      <c r="F701" s="3">
        <f>MAX($E$2:E701)</f>
        <v>4796.5600000000004</v>
      </c>
      <c r="G701" s="3">
        <f t="shared" si="40"/>
        <v>-18.52098170355422</v>
      </c>
      <c r="I701" s="2">
        <v>44530</v>
      </c>
      <c r="J701" s="3">
        <f>IFERROR(VLOOKUP(I701,$A$1:$G$1610,3,FALSE),J700)</f>
        <v>27.19</v>
      </c>
      <c r="K701" s="3">
        <f>IFERROR(VLOOKUP(I701,$A$1:$G$1610,7,FALSE),K700)</f>
        <v>-2.9235589451891144</v>
      </c>
      <c r="L701" s="5">
        <f t="shared" si="41"/>
        <v>0</v>
      </c>
    </row>
    <row r="702" spans="1:12" x14ac:dyDescent="0.25">
      <c r="A702" s="2">
        <v>44811</v>
      </c>
      <c r="B702" s="3">
        <v>24.64</v>
      </c>
      <c r="C702" s="3">
        <f t="shared" si="42"/>
        <v>24.64</v>
      </c>
      <c r="D702" s="3">
        <v>3979.87</v>
      </c>
      <c r="E702" s="3">
        <f t="shared" si="43"/>
        <v>3979.87</v>
      </c>
      <c r="F702" s="3">
        <f>MAX($E$2:E702)</f>
        <v>4796.5600000000004</v>
      </c>
      <c r="G702" s="3">
        <f t="shared" si="40"/>
        <v>-17.026577380456004</v>
      </c>
      <c r="I702" s="2">
        <v>44531</v>
      </c>
      <c r="J702" s="3">
        <f>IFERROR(VLOOKUP(I702,$A$1:$G$1610,3,FALSE),J701)</f>
        <v>31.12</v>
      </c>
      <c r="K702" s="3">
        <f>IFERROR(VLOOKUP(I702,$A$1:$G$1610,7,FALSE),K701)</f>
        <v>-4.0705361204283523</v>
      </c>
      <c r="L702" s="5">
        <f t="shared" si="41"/>
        <v>1</v>
      </c>
    </row>
    <row r="703" spans="1:12" x14ac:dyDescent="0.25">
      <c r="A703" s="2">
        <v>44812</v>
      </c>
      <c r="B703" s="3">
        <v>23.61</v>
      </c>
      <c r="C703" s="3">
        <f t="shared" si="42"/>
        <v>23.61</v>
      </c>
      <c r="D703" s="3">
        <v>4006.18</v>
      </c>
      <c r="E703" s="3">
        <f t="shared" si="43"/>
        <v>4006.18</v>
      </c>
      <c r="F703" s="3">
        <f>MAX($E$2:E703)</f>
        <v>4796.5600000000004</v>
      </c>
      <c r="G703" s="3">
        <f t="shared" si="40"/>
        <v>-16.478059275814346</v>
      </c>
      <c r="I703" s="2">
        <v>44532</v>
      </c>
      <c r="J703" s="3">
        <f>IFERROR(VLOOKUP(I703,$A$1:$G$1610,3,FALSE),J702)</f>
        <v>27.95</v>
      </c>
      <c r="K703" s="3">
        <f>IFERROR(VLOOKUP(I703,$A$1:$G$1610,7,FALSE),K702)</f>
        <v>-2.7088727059393607</v>
      </c>
      <c r="L703" s="5">
        <f t="shared" si="41"/>
        <v>0</v>
      </c>
    </row>
    <row r="704" spans="1:12" x14ac:dyDescent="0.25">
      <c r="A704" s="2">
        <v>44813</v>
      </c>
      <c r="B704" s="3">
        <v>22.79</v>
      </c>
      <c r="C704" s="3">
        <f t="shared" si="42"/>
        <v>22.79</v>
      </c>
      <c r="D704" s="3">
        <v>4067.36</v>
      </c>
      <c r="E704" s="3">
        <f t="shared" si="43"/>
        <v>4067.36</v>
      </c>
      <c r="F704" s="3">
        <f>MAX($E$2:E704)</f>
        <v>4796.5600000000004</v>
      </c>
      <c r="G704" s="3">
        <f t="shared" si="40"/>
        <v>-15.202561835982459</v>
      </c>
      <c r="I704" s="2">
        <v>44533</v>
      </c>
      <c r="J704" s="3">
        <f>IFERROR(VLOOKUP(I704,$A$1:$G$1610,3,FALSE),J703)</f>
        <v>30.67</v>
      </c>
      <c r="K704" s="3">
        <f>IFERROR(VLOOKUP(I704,$A$1:$G$1610,7,FALSE),K703)</f>
        <v>-3.5308446734430925</v>
      </c>
      <c r="L704" s="5">
        <f t="shared" si="41"/>
        <v>1</v>
      </c>
    </row>
    <row r="705" spans="1:12" x14ac:dyDescent="0.25">
      <c r="A705" s="2">
        <v>44816</v>
      </c>
      <c r="B705" s="3">
        <v>23.87</v>
      </c>
      <c r="C705" s="3">
        <f t="shared" si="42"/>
        <v>23.87</v>
      </c>
      <c r="D705" s="3">
        <v>4110.41</v>
      </c>
      <c r="E705" s="3">
        <f t="shared" si="43"/>
        <v>4110.41</v>
      </c>
      <c r="F705" s="3">
        <f>MAX($E$2:E705)</f>
        <v>4796.5600000000004</v>
      </c>
      <c r="G705" s="3">
        <f t="shared" si="40"/>
        <v>-14.305043614590469</v>
      </c>
      <c r="I705" s="2">
        <v>44534</v>
      </c>
      <c r="J705" s="3">
        <f>IFERROR(VLOOKUP(I705,$A$1:$G$1610,3,FALSE),J704)</f>
        <v>30.67</v>
      </c>
      <c r="K705" s="3">
        <f>IFERROR(VLOOKUP(I705,$A$1:$G$1610,7,FALSE),K704)</f>
        <v>-3.5308446734430925</v>
      </c>
      <c r="L705" s="5">
        <f t="shared" si="41"/>
        <v>1</v>
      </c>
    </row>
    <row r="706" spans="1:12" x14ac:dyDescent="0.25">
      <c r="A706" s="2">
        <v>44817</v>
      </c>
      <c r="B706" s="3">
        <v>27.27</v>
      </c>
      <c r="C706" s="3">
        <f t="shared" si="42"/>
        <v>27.27</v>
      </c>
      <c r="D706" s="3">
        <v>3932.69</v>
      </c>
      <c r="E706" s="3">
        <f t="shared" si="43"/>
        <v>3932.69</v>
      </c>
      <c r="F706" s="3">
        <f>MAX($E$2:E706)</f>
        <v>4796.5600000000004</v>
      </c>
      <c r="G706" s="3">
        <f t="shared" ref="G706:G769" si="44">(E706-F706)/F706*100</f>
        <v>-18.010198975932756</v>
      </c>
      <c r="I706" s="2">
        <v>44535</v>
      </c>
      <c r="J706" s="3">
        <f>IFERROR(VLOOKUP(I706,$A$1:$G$1610,3,FALSE),J705)</f>
        <v>30.67</v>
      </c>
      <c r="K706" s="3">
        <f>IFERROR(VLOOKUP(I706,$A$1:$G$1610,7,FALSE),K705)</f>
        <v>-3.5308446734430925</v>
      </c>
      <c r="L706" s="5">
        <f t="shared" ref="L706:L769" si="45">IF(OR(J706&gt;=30,K706&lt;-10),1,0)</f>
        <v>1</v>
      </c>
    </row>
    <row r="707" spans="1:12" x14ac:dyDescent="0.25">
      <c r="A707" s="2">
        <v>44818</v>
      </c>
      <c r="B707" s="3">
        <v>26.16</v>
      </c>
      <c r="C707" s="3">
        <f t="shared" ref="C707:C770" si="46">IF(B707="",B706,B707)</f>
        <v>26.16</v>
      </c>
      <c r="D707" s="3">
        <v>3946.01</v>
      </c>
      <c r="E707" s="3">
        <f t="shared" si="43"/>
        <v>3946.01</v>
      </c>
      <c r="F707" s="3">
        <f>MAX($E$2:E707)</f>
        <v>4796.5600000000004</v>
      </c>
      <c r="G707" s="3">
        <f t="shared" si="44"/>
        <v>-17.732499958303453</v>
      </c>
      <c r="I707" s="2">
        <v>44536</v>
      </c>
      <c r="J707" s="3">
        <f>IFERROR(VLOOKUP(I707,$A$1:$G$1610,3,FALSE),J706)</f>
        <v>27.18</v>
      </c>
      <c r="K707" s="3">
        <f>IFERROR(VLOOKUP(I707,$A$1:$G$1610,7,FALSE),K706)</f>
        <v>-2.3991718637741393</v>
      </c>
      <c r="L707" s="5">
        <f t="shared" si="45"/>
        <v>0</v>
      </c>
    </row>
    <row r="708" spans="1:12" x14ac:dyDescent="0.25">
      <c r="A708" s="2">
        <v>44819</v>
      </c>
      <c r="B708" s="3">
        <v>26.27</v>
      </c>
      <c r="C708" s="3">
        <f t="shared" si="46"/>
        <v>26.27</v>
      </c>
      <c r="D708" s="3">
        <v>3901.35</v>
      </c>
      <c r="E708" s="3">
        <f t="shared" si="43"/>
        <v>3901.35</v>
      </c>
      <c r="F708" s="3">
        <f>MAX($E$2:E708)</f>
        <v>4796.5600000000004</v>
      </c>
      <c r="G708" s="3">
        <f t="shared" si="44"/>
        <v>-18.663583901796297</v>
      </c>
      <c r="I708" s="2">
        <v>44537</v>
      </c>
      <c r="J708" s="3">
        <f>IFERROR(VLOOKUP(I708,$A$1:$G$1610,3,FALSE),J707)</f>
        <v>21.89</v>
      </c>
      <c r="K708" s="3">
        <f>IFERROR(VLOOKUP(I708,$A$1:$G$1610,7,FALSE),K707)</f>
        <v>-0.37814536596564091</v>
      </c>
      <c r="L708" s="5">
        <f t="shared" si="45"/>
        <v>0</v>
      </c>
    </row>
    <row r="709" spans="1:12" x14ac:dyDescent="0.25">
      <c r="A709" s="2">
        <v>44820</v>
      </c>
      <c r="B709" s="3">
        <v>26.3</v>
      </c>
      <c r="C709" s="3">
        <f t="shared" si="46"/>
        <v>26.3</v>
      </c>
      <c r="D709" s="3">
        <v>3873.33</v>
      </c>
      <c r="E709" s="3">
        <f t="shared" ref="E709:E772" si="47">IF(D709="",D708,D709)</f>
        <v>3873.33</v>
      </c>
      <c r="F709" s="3">
        <f>MAX($E$2:E709)</f>
        <v>4796.5600000000004</v>
      </c>
      <c r="G709" s="3">
        <f t="shared" si="44"/>
        <v>-19.247752555998474</v>
      </c>
      <c r="I709" s="2">
        <v>44538</v>
      </c>
      <c r="J709" s="3">
        <f>IFERROR(VLOOKUP(I709,$A$1:$G$1610,3,FALSE),J708)</f>
        <v>19.899999999999999</v>
      </c>
      <c r="K709" s="3">
        <f>IFERROR(VLOOKUP(I709,$A$1:$G$1610,7,FALSE),K708)</f>
        <v>-7.0782690762538472E-2</v>
      </c>
      <c r="L709" s="5">
        <f t="shared" si="45"/>
        <v>0</v>
      </c>
    </row>
    <row r="710" spans="1:12" x14ac:dyDescent="0.25">
      <c r="A710" s="2">
        <v>44823</v>
      </c>
      <c r="B710" s="3">
        <v>25.76</v>
      </c>
      <c r="C710" s="3">
        <f t="shared" si="46"/>
        <v>25.76</v>
      </c>
      <c r="D710" s="3">
        <v>3899.89</v>
      </c>
      <c r="E710" s="3">
        <f t="shared" si="47"/>
        <v>3899.89</v>
      </c>
      <c r="F710" s="3">
        <f>MAX($E$2:E710)</f>
        <v>4796.5600000000004</v>
      </c>
      <c r="G710" s="3">
        <f t="shared" si="44"/>
        <v>-18.694022382707619</v>
      </c>
      <c r="I710" s="2">
        <v>44539</v>
      </c>
      <c r="J710" s="3">
        <f>IFERROR(VLOOKUP(I710,$A$1:$G$1610,3,FALSE),J709)</f>
        <v>21.58</v>
      </c>
      <c r="K710" s="3">
        <f>IFERROR(VLOOKUP(I710,$A$1:$G$1610,7,FALSE),K709)</f>
        <v>-0.78838738750228821</v>
      </c>
      <c r="L710" s="5">
        <f t="shared" si="45"/>
        <v>0</v>
      </c>
    </row>
    <row r="711" spans="1:12" x14ac:dyDescent="0.25">
      <c r="A711" s="2">
        <v>44824</v>
      </c>
      <c r="B711" s="3">
        <v>27.16</v>
      </c>
      <c r="C711" s="3">
        <f t="shared" si="46"/>
        <v>27.16</v>
      </c>
      <c r="D711" s="3">
        <v>3855.93</v>
      </c>
      <c r="E711" s="3">
        <f t="shared" si="47"/>
        <v>3855.93</v>
      </c>
      <c r="F711" s="3">
        <f>MAX($E$2:E711)</f>
        <v>4796.5600000000004</v>
      </c>
      <c r="G711" s="3">
        <f t="shared" si="44"/>
        <v>-19.610512533982696</v>
      </c>
      <c r="I711" s="2">
        <v>44540</v>
      </c>
      <c r="J711" s="3">
        <f>IFERROR(VLOOKUP(I711,$A$1:$G$1610,3,FALSE),J710)</f>
        <v>18.690000000000001</v>
      </c>
      <c r="K711" s="3">
        <f>IFERROR(VLOOKUP(I711,$A$1:$G$1610,7,FALSE),K710)</f>
        <v>0</v>
      </c>
      <c r="L711" s="5">
        <f t="shared" si="45"/>
        <v>0</v>
      </c>
    </row>
    <row r="712" spans="1:12" x14ac:dyDescent="0.25">
      <c r="A712" s="2">
        <v>44825</v>
      </c>
      <c r="B712" s="3">
        <v>27.99</v>
      </c>
      <c r="C712" s="3">
        <f t="shared" si="46"/>
        <v>27.99</v>
      </c>
      <c r="D712" s="3">
        <v>3789.93</v>
      </c>
      <c r="E712" s="3">
        <f t="shared" si="47"/>
        <v>3789.93</v>
      </c>
      <c r="F712" s="3">
        <f>MAX($E$2:E712)</f>
        <v>4796.5600000000004</v>
      </c>
      <c r="G712" s="3">
        <f t="shared" si="44"/>
        <v>-20.986498657371126</v>
      </c>
      <c r="I712" s="2">
        <v>44541</v>
      </c>
      <c r="J712" s="3">
        <f>IFERROR(VLOOKUP(I712,$A$1:$G$1610,3,FALSE),J711)</f>
        <v>18.690000000000001</v>
      </c>
      <c r="K712" s="3">
        <f>IFERROR(VLOOKUP(I712,$A$1:$G$1610,7,FALSE),K711)</f>
        <v>0</v>
      </c>
      <c r="L712" s="5">
        <f t="shared" si="45"/>
        <v>0</v>
      </c>
    </row>
    <row r="713" spans="1:12" x14ac:dyDescent="0.25">
      <c r="A713" s="2">
        <v>44826</v>
      </c>
      <c r="B713" s="3">
        <v>27.35</v>
      </c>
      <c r="C713" s="3">
        <f t="shared" si="46"/>
        <v>27.35</v>
      </c>
      <c r="D713" s="3">
        <v>3757.99</v>
      </c>
      <c r="E713" s="3">
        <f t="shared" si="47"/>
        <v>3757.99</v>
      </c>
      <c r="F713" s="3">
        <f>MAX($E$2:E713)</f>
        <v>4796.5600000000004</v>
      </c>
      <c r="G713" s="3">
        <f t="shared" si="44"/>
        <v>-21.65239254799274</v>
      </c>
      <c r="I713" s="2">
        <v>44542</v>
      </c>
      <c r="J713" s="3">
        <f>IFERROR(VLOOKUP(I713,$A$1:$G$1610,3,FALSE),J712)</f>
        <v>18.690000000000001</v>
      </c>
      <c r="K713" s="3">
        <f>IFERROR(VLOOKUP(I713,$A$1:$G$1610,7,FALSE),K712)</f>
        <v>0</v>
      </c>
      <c r="L713" s="5">
        <f t="shared" si="45"/>
        <v>0</v>
      </c>
    </row>
    <row r="714" spans="1:12" x14ac:dyDescent="0.25">
      <c r="A714" s="2">
        <v>44827</v>
      </c>
      <c r="B714" s="3">
        <v>29.92</v>
      </c>
      <c r="C714" s="3">
        <f t="shared" si="46"/>
        <v>29.92</v>
      </c>
      <c r="D714" s="3">
        <v>3693.23</v>
      </c>
      <c r="E714" s="3">
        <f t="shared" si="47"/>
        <v>3693.23</v>
      </c>
      <c r="F714" s="3">
        <f>MAX($E$2:E714)</f>
        <v>4796.5600000000004</v>
      </c>
      <c r="G714" s="3">
        <f t="shared" si="44"/>
        <v>-23.00252681088114</v>
      </c>
      <c r="I714" s="2">
        <v>44543</v>
      </c>
      <c r="J714" s="3">
        <f>IFERROR(VLOOKUP(I714,$A$1:$G$1610,3,FALSE),J713)</f>
        <v>20.309999999999999</v>
      </c>
      <c r="K714" s="3">
        <f>IFERROR(VLOOKUP(I714,$A$1:$G$1610,7,FALSE),K713)</f>
        <v>-0.91362090992822986</v>
      </c>
      <c r="L714" s="5">
        <f t="shared" si="45"/>
        <v>0</v>
      </c>
    </row>
    <row r="715" spans="1:12" x14ac:dyDescent="0.25">
      <c r="A715" s="2">
        <v>44830</v>
      </c>
      <c r="B715" s="3">
        <v>32.26</v>
      </c>
      <c r="C715" s="3">
        <f t="shared" si="46"/>
        <v>32.26</v>
      </c>
      <c r="D715" s="3">
        <v>3655.04</v>
      </c>
      <c r="E715" s="3">
        <f t="shared" si="47"/>
        <v>3655.04</v>
      </c>
      <c r="F715" s="3">
        <f>MAX($E$2:E715)</f>
        <v>4796.5600000000004</v>
      </c>
      <c r="G715" s="3">
        <f t="shared" si="44"/>
        <v>-23.798722417732716</v>
      </c>
      <c r="I715" s="2">
        <v>44544</v>
      </c>
      <c r="J715" s="3">
        <f>IFERROR(VLOOKUP(I715,$A$1:$G$1610,3,FALSE),J714)</f>
        <v>21.89</v>
      </c>
      <c r="K715" s="3">
        <f>IFERROR(VLOOKUP(I715,$A$1:$G$1610,7,FALSE),K714)</f>
        <v>-1.6538554590175822</v>
      </c>
      <c r="L715" s="5">
        <f t="shared" si="45"/>
        <v>0</v>
      </c>
    </row>
    <row r="716" spans="1:12" x14ac:dyDescent="0.25">
      <c r="A716" s="2">
        <v>44831</v>
      </c>
      <c r="B716" s="3">
        <v>32.6</v>
      </c>
      <c r="C716" s="3">
        <f t="shared" si="46"/>
        <v>32.6</v>
      </c>
      <c r="D716" s="3">
        <v>3647.29</v>
      </c>
      <c r="E716" s="3">
        <f t="shared" si="47"/>
        <v>3647.29</v>
      </c>
      <c r="F716" s="3">
        <f>MAX($E$2:E716)</f>
        <v>4796.5600000000004</v>
      </c>
      <c r="G716" s="3">
        <f t="shared" si="44"/>
        <v>-23.960296545857872</v>
      </c>
      <c r="I716" s="2">
        <v>44545</v>
      </c>
      <c r="J716" s="3">
        <f>IFERROR(VLOOKUP(I716,$A$1:$G$1610,3,FALSE),J715)</f>
        <v>19.29</v>
      </c>
      <c r="K716" s="3">
        <f>IFERROR(VLOOKUP(I716,$A$1:$G$1610,7,FALSE),K715)</f>
        <v>-4.6052436110204806E-2</v>
      </c>
      <c r="L716" s="5">
        <f t="shared" si="45"/>
        <v>0</v>
      </c>
    </row>
    <row r="717" spans="1:12" x14ac:dyDescent="0.25">
      <c r="A717" s="2">
        <v>44832</v>
      </c>
      <c r="B717" s="3">
        <v>30.18</v>
      </c>
      <c r="C717" s="3">
        <f t="shared" si="46"/>
        <v>30.18</v>
      </c>
      <c r="D717" s="3">
        <v>3719.04</v>
      </c>
      <c r="E717" s="3">
        <f t="shared" si="47"/>
        <v>3719.04</v>
      </c>
      <c r="F717" s="3">
        <f>MAX($E$2:E717)</f>
        <v>4796.5600000000004</v>
      </c>
      <c r="G717" s="3">
        <f t="shared" si="44"/>
        <v>-22.464432843537878</v>
      </c>
      <c r="I717" s="2">
        <v>44546</v>
      </c>
      <c r="J717" s="3">
        <f>IFERROR(VLOOKUP(I717,$A$1:$G$1610,3,FALSE),J716)</f>
        <v>20.57</v>
      </c>
      <c r="K717" s="3">
        <f>IFERROR(VLOOKUP(I717,$A$1:$G$1610,7,FALSE),K716)</f>
        <v>-0.91998760616466735</v>
      </c>
      <c r="L717" s="5">
        <f t="shared" si="45"/>
        <v>0</v>
      </c>
    </row>
    <row r="718" spans="1:12" x14ac:dyDescent="0.25">
      <c r="A718" s="2">
        <v>44833</v>
      </c>
      <c r="B718" s="3">
        <v>31.84</v>
      </c>
      <c r="C718" s="3">
        <f t="shared" si="46"/>
        <v>31.84</v>
      </c>
      <c r="D718" s="3">
        <v>3640.47</v>
      </c>
      <c r="E718" s="3">
        <f t="shared" si="47"/>
        <v>3640.47</v>
      </c>
      <c r="F718" s="3">
        <f>MAX($E$2:E718)</f>
        <v>4796.5600000000004</v>
      </c>
      <c r="G718" s="3">
        <f t="shared" si="44"/>
        <v>-24.102481778608013</v>
      </c>
      <c r="I718" s="2">
        <v>44547</v>
      </c>
      <c r="J718" s="3">
        <f>IFERROR(VLOOKUP(I718,$A$1:$G$1610,3,FALSE),J717)</f>
        <v>21.57</v>
      </c>
      <c r="K718" s="3">
        <f>IFERROR(VLOOKUP(I718,$A$1:$G$1610,7,FALSE),K717)</f>
        <v>-1.9392956736176863</v>
      </c>
      <c r="L718" s="5">
        <f t="shared" si="45"/>
        <v>0</v>
      </c>
    </row>
    <row r="719" spans="1:12" x14ac:dyDescent="0.25">
      <c r="A719" s="2">
        <v>44834</v>
      </c>
      <c r="B719" s="3">
        <v>31.62</v>
      </c>
      <c r="C719" s="3">
        <f t="shared" si="46"/>
        <v>31.62</v>
      </c>
      <c r="D719" s="3">
        <v>3585.62</v>
      </c>
      <c r="E719" s="3">
        <f t="shared" si="47"/>
        <v>3585.62</v>
      </c>
      <c r="F719" s="3">
        <f>MAX($E$2:E719)</f>
        <v>4796.5600000000004</v>
      </c>
      <c r="G719" s="3">
        <f t="shared" si="44"/>
        <v>-25.246009640242185</v>
      </c>
      <c r="I719" s="2">
        <v>44548</v>
      </c>
      <c r="J719" s="3">
        <f>IFERROR(VLOOKUP(I719,$A$1:$G$1610,3,FALSE),J718)</f>
        <v>21.57</v>
      </c>
      <c r="K719" s="3">
        <f>IFERROR(VLOOKUP(I719,$A$1:$G$1610,7,FALSE),K718)</f>
        <v>-1.9392956736176863</v>
      </c>
      <c r="L719" s="5">
        <f t="shared" si="45"/>
        <v>0</v>
      </c>
    </row>
    <row r="720" spans="1:12" x14ac:dyDescent="0.25">
      <c r="A720" s="2">
        <v>44837</v>
      </c>
      <c r="B720" s="3">
        <v>30.1</v>
      </c>
      <c r="C720" s="3">
        <f t="shared" si="46"/>
        <v>30.1</v>
      </c>
      <c r="D720" s="3">
        <v>3678.43</v>
      </c>
      <c r="E720" s="3">
        <f t="shared" si="47"/>
        <v>3678.43</v>
      </c>
      <c r="F720" s="3">
        <f>MAX($E$2:E720)</f>
        <v>4796.5600000000004</v>
      </c>
      <c r="G720" s="3">
        <f t="shared" si="44"/>
        <v>-23.311081274913697</v>
      </c>
      <c r="I720" s="2">
        <v>44549</v>
      </c>
      <c r="J720" s="3">
        <f>IFERROR(VLOOKUP(I720,$A$1:$G$1610,3,FALSE),J719)</f>
        <v>21.57</v>
      </c>
      <c r="K720" s="3">
        <f>IFERROR(VLOOKUP(I720,$A$1:$G$1610,7,FALSE),K719)</f>
        <v>-1.9392956736176863</v>
      </c>
      <c r="L720" s="5">
        <f t="shared" si="45"/>
        <v>0</v>
      </c>
    </row>
    <row r="721" spans="1:12" x14ac:dyDescent="0.25">
      <c r="A721" s="2">
        <v>44838</v>
      </c>
      <c r="B721" s="3">
        <v>29.07</v>
      </c>
      <c r="C721" s="3">
        <f t="shared" si="46"/>
        <v>29.07</v>
      </c>
      <c r="D721" s="3">
        <v>3790.93</v>
      </c>
      <c r="E721" s="3">
        <f t="shared" si="47"/>
        <v>3790.93</v>
      </c>
      <c r="F721" s="3">
        <f>MAX($E$2:E721)</f>
        <v>4796.5600000000004</v>
      </c>
      <c r="G721" s="3">
        <f t="shared" si="44"/>
        <v>-20.965650382774331</v>
      </c>
      <c r="I721" s="2">
        <v>44550</v>
      </c>
      <c r="J721" s="3">
        <f>IFERROR(VLOOKUP(I721,$A$1:$G$1610,3,FALSE),J720)</f>
        <v>22.87</v>
      </c>
      <c r="K721" s="3">
        <f>IFERROR(VLOOKUP(I721,$A$1:$G$1610,7,FALSE),K720)</f>
        <v>-3.0560141934881426</v>
      </c>
      <c r="L721" s="5">
        <f t="shared" si="45"/>
        <v>0</v>
      </c>
    </row>
    <row r="722" spans="1:12" x14ac:dyDescent="0.25">
      <c r="A722" s="2">
        <v>44839</v>
      </c>
      <c r="B722" s="3">
        <v>28.55</v>
      </c>
      <c r="C722" s="3">
        <f t="shared" si="46"/>
        <v>28.55</v>
      </c>
      <c r="D722" s="3">
        <v>3783.28</v>
      </c>
      <c r="E722" s="3">
        <f t="shared" si="47"/>
        <v>3783.28</v>
      </c>
      <c r="F722" s="3">
        <f>MAX($E$2:E722)</f>
        <v>4796.5600000000004</v>
      </c>
      <c r="G722" s="3">
        <f t="shared" si="44"/>
        <v>-21.125139683439802</v>
      </c>
      <c r="I722" s="2">
        <v>44551</v>
      </c>
      <c r="J722" s="3">
        <f>IFERROR(VLOOKUP(I722,$A$1:$G$1610,3,FALSE),J721)</f>
        <v>21.01</v>
      </c>
      <c r="K722" s="3">
        <f>IFERROR(VLOOKUP(I722,$A$1:$G$1610,7,FALSE),K721)</f>
        <v>-1.3325495222855774</v>
      </c>
      <c r="L722" s="5">
        <f t="shared" si="45"/>
        <v>0</v>
      </c>
    </row>
    <row r="723" spans="1:12" x14ac:dyDescent="0.25">
      <c r="A723" s="2">
        <v>44840</v>
      </c>
      <c r="B723" s="3">
        <v>30.52</v>
      </c>
      <c r="C723" s="3">
        <f t="shared" si="46"/>
        <v>30.52</v>
      </c>
      <c r="D723" s="3">
        <v>3744.52</v>
      </c>
      <c r="E723" s="3">
        <f t="shared" si="47"/>
        <v>3744.52</v>
      </c>
      <c r="F723" s="3">
        <f>MAX($E$2:E723)</f>
        <v>4796.5600000000004</v>
      </c>
      <c r="G723" s="3">
        <f t="shared" si="44"/>
        <v>-21.933218806811556</v>
      </c>
      <c r="I723" s="2">
        <v>44552</v>
      </c>
      <c r="J723" s="3">
        <f>IFERROR(VLOOKUP(I723,$A$1:$G$1610,3,FALSE),J722)</f>
        <v>18.63</v>
      </c>
      <c r="K723" s="3">
        <f>IFERROR(VLOOKUP(I723,$A$1:$G$1610,7,FALSE),K722)</f>
        <v>-0.3280970793842139</v>
      </c>
      <c r="L723" s="5">
        <f t="shared" si="45"/>
        <v>0</v>
      </c>
    </row>
    <row r="724" spans="1:12" x14ac:dyDescent="0.25">
      <c r="A724" s="2">
        <v>44841</v>
      </c>
      <c r="B724" s="3">
        <v>31.36</v>
      </c>
      <c r="C724" s="3">
        <f t="shared" si="46"/>
        <v>31.36</v>
      </c>
      <c r="D724" s="3">
        <v>3639.66</v>
      </c>
      <c r="E724" s="3">
        <f t="shared" si="47"/>
        <v>3639.66</v>
      </c>
      <c r="F724" s="3">
        <f>MAX($E$2:E724)</f>
        <v>4796.5600000000004</v>
      </c>
      <c r="G724" s="3">
        <f t="shared" si="44"/>
        <v>-24.119368881031413</v>
      </c>
      <c r="I724" s="2">
        <v>44553</v>
      </c>
      <c r="J724" s="3">
        <f>IFERROR(VLOOKUP(I724,$A$1:$G$1610,3,FALSE),J723)</f>
        <v>17.96</v>
      </c>
      <c r="K724" s="3">
        <f>IFERROR(VLOOKUP(I724,$A$1:$G$1610,7,FALSE),K723)</f>
        <v>0</v>
      </c>
      <c r="L724" s="5">
        <f t="shared" si="45"/>
        <v>0</v>
      </c>
    </row>
    <row r="725" spans="1:12" x14ac:dyDescent="0.25">
      <c r="A725" s="2">
        <v>44844</v>
      </c>
      <c r="B725" s="3">
        <v>32.450000000000003</v>
      </c>
      <c r="C725" s="3">
        <f t="shared" si="46"/>
        <v>32.450000000000003</v>
      </c>
      <c r="D725" s="3">
        <v>3612.39</v>
      </c>
      <c r="E725" s="3">
        <f t="shared" si="47"/>
        <v>3612.39</v>
      </c>
      <c r="F725" s="3">
        <f>MAX($E$2:E725)</f>
        <v>4796.5600000000004</v>
      </c>
      <c r="G725" s="3">
        <f t="shared" si="44"/>
        <v>-24.687901329285996</v>
      </c>
      <c r="I725" s="2">
        <v>44554</v>
      </c>
      <c r="J725" s="3">
        <f>IFERROR(VLOOKUP(I725,$A$1:$G$1610,3,FALSE),J724)</f>
        <v>17.96</v>
      </c>
      <c r="K725" s="3">
        <f>IFERROR(VLOOKUP(I725,$A$1:$G$1610,7,FALSE),K724)</f>
        <v>0</v>
      </c>
      <c r="L725" s="5">
        <f t="shared" si="45"/>
        <v>0</v>
      </c>
    </row>
    <row r="726" spans="1:12" x14ac:dyDescent="0.25">
      <c r="A726" s="2">
        <v>44845</v>
      </c>
      <c r="B726" s="3">
        <v>33.630000000000003</v>
      </c>
      <c r="C726" s="3">
        <f t="shared" si="46"/>
        <v>33.630000000000003</v>
      </c>
      <c r="D726" s="3">
        <v>3588.84</v>
      </c>
      <c r="E726" s="3">
        <f t="shared" si="47"/>
        <v>3588.84</v>
      </c>
      <c r="F726" s="3">
        <f>MAX($E$2:E726)</f>
        <v>4796.5600000000004</v>
      </c>
      <c r="G726" s="3">
        <f t="shared" si="44"/>
        <v>-25.1788781960405</v>
      </c>
      <c r="I726" s="2">
        <v>44555</v>
      </c>
      <c r="J726" s="3">
        <f>IFERROR(VLOOKUP(I726,$A$1:$G$1610,3,FALSE),J725)</f>
        <v>17.96</v>
      </c>
      <c r="K726" s="3">
        <f>IFERROR(VLOOKUP(I726,$A$1:$G$1610,7,FALSE),K725)</f>
        <v>0</v>
      </c>
      <c r="L726" s="5">
        <f t="shared" si="45"/>
        <v>0</v>
      </c>
    </row>
    <row r="727" spans="1:12" x14ac:dyDescent="0.25">
      <c r="A727" s="2">
        <v>44846</v>
      </c>
      <c r="B727" s="3">
        <v>33.57</v>
      </c>
      <c r="C727" s="3">
        <f t="shared" si="46"/>
        <v>33.57</v>
      </c>
      <c r="D727" s="3">
        <v>3577.03</v>
      </c>
      <c r="E727" s="3">
        <f t="shared" si="47"/>
        <v>3577.03</v>
      </c>
      <c r="F727" s="3">
        <f>MAX($E$2:E727)</f>
        <v>4796.5600000000004</v>
      </c>
      <c r="G727" s="3">
        <f t="shared" si="44"/>
        <v>-25.42509631902864</v>
      </c>
      <c r="I727" s="2">
        <v>44556</v>
      </c>
      <c r="J727" s="3">
        <f>IFERROR(VLOOKUP(I727,$A$1:$G$1610,3,FALSE),J726)</f>
        <v>17.96</v>
      </c>
      <c r="K727" s="3">
        <f>IFERROR(VLOOKUP(I727,$A$1:$G$1610,7,FALSE),K726)</f>
        <v>0</v>
      </c>
      <c r="L727" s="5">
        <f t="shared" si="45"/>
        <v>0</v>
      </c>
    </row>
    <row r="728" spans="1:12" x14ac:dyDescent="0.25">
      <c r="A728" s="2">
        <v>44847</v>
      </c>
      <c r="B728" s="3">
        <v>31.94</v>
      </c>
      <c r="C728" s="3">
        <f t="shared" si="46"/>
        <v>31.94</v>
      </c>
      <c r="D728" s="3">
        <v>3669.91</v>
      </c>
      <c r="E728" s="3">
        <f t="shared" si="47"/>
        <v>3669.91</v>
      </c>
      <c r="F728" s="3">
        <f>MAX($E$2:E728)</f>
        <v>4796.5600000000004</v>
      </c>
      <c r="G728" s="3">
        <f t="shared" si="44"/>
        <v>-23.488708574478387</v>
      </c>
      <c r="I728" s="2">
        <v>44557</v>
      </c>
      <c r="J728" s="3">
        <f>IFERROR(VLOOKUP(I728,$A$1:$G$1610,3,FALSE),J727)</f>
        <v>17.68</v>
      </c>
      <c r="K728" s="3">
        <f>IFERROR(VLOOKUP(I728,$A$1:$G$1610,7,FALSE),K727)</f>
        <v>0</v>
      </c>
      <c r="L728" s="5">
        <f t="shared" si="45"/>
        <v>0</v>
      </c>
    </row>
    <row r="729" spans="1:12" x14ac:dyDescent="0.25">
      <c r="A729" s="2">
        <v>44848</v>
      </c>
      <c r="B729" s="3">
        <v>32.020000000000003</v>
      </c>
      <c r="C729" s="3">
        <f t="shared" si="46"/>
        <v>32.020000000000003</v>
      </c>
      <c r="D729" s="3">
        <v>3583.07</v>
      </c>
      <c r="E729" s="3">
        <f t="shared" si="47"/>
        <v>3583.07</v>
      </c>
      <c r="F729" s="3">
        <f>MAX($E$2:E729)</f>
        <v>4796.5600000000004</v>
      </c>
      <c r="G729" s="3">
        <f t="shared" si="44"/>
        <v>-25.299172740464005</v>
      </c>
      <c r="I729" s="2">
        <v>44558</v>
      </c>
      <c r="J729" s="3">
        <f>IFERROR(VLOOKUP(I729,$A$1:$G$1610,3,FALSE),J728)</f>
        <v>17.54</v>
      </c>
      <c r="K729" s="3">
        <f>IFERROR(VLOOKUP(I729,$A$1:$G$1610,7,FALSE),K728)</f>
        <v>-0.10101874482120801</v>
      </c>
      <c r="L729" s="5">
        <f t="shared" si="45"/>
        <v>0</v>
      </c>
    </row>
    <row r="730" spans="1:12" x14ac:dyDescent="0.25">
      <c r="A730" s="2">
        <v>44851</v>
      </c>
      <c r="B730" s="3">
        <v>31.37</v>
      </c>
      <c r="C730" s="3">
        <f t="shared" si="46"/>
        <v>31.37</v>
      </c>
      <c r="D730" s="3">
        <v>3677.95</v>
      </c>
      <c r="E730" s="3">
        <f t="shared" si="47"/>
        <v>3677.95</v>
      </c>
      <c r="F730" s="3">
        <f>MAX($E$2:E730)</f>
        <v>4796.5600000000004</v>
      </c>
      <c r="G730" s="3">
        <f t="shared" si="44"/>
        <v>-23.321088446720157</v>
      </c>
      <c r="I730" s="2">
        <v>44559</v>
      </c>
      <c r="J730" s="3">
        <f>IFERROR(VLOOKUP(I730,$A$1:$G$1610,3,FALSE),J729)</f>
        <v>16.95</v>
      </c>
      <c r="K730" s="3">
        <f>IFERROR(VLOOKUP(I730,$A$1:$G$1610,7,FALSE),K729)</f>
        <v>0</v>
      </c>
      <c r="L730" s="5">
        <f t="shared" si="45"/>
        <v>0</v>
      </c>
    </row>
    <row r="731" spans="1:12" x14ac:dyDescent="0.25">
      <c r="A731" s="2">
        <v>44852</v>
      </c>
      <c r="B731" s="3">
        <v>30.5</v>
      </c>
      <c r="C731" s="3">
        <f t="shared" si="46"/>
        <v>30.5</v>
      </c>
      <c r="D731" s="3">
        <v>3719.98</v>
      </c>
      <c r="E731" s="3">
        <f t="shared" si="47"/>
        <v>3719.98</v>
      </c>
      <c r="F731" s="3">
        <f>MAX($E$2:E731)</f>
        <v>4796.5600000000004</v>
      </c>
      <c r="G731" s="3">
        <f t="shared" si="44"/>
        <v>-22.444835465416887</v>
      </c>
      <c r="I731" s="2">
        <v>44560</v>
      </c>
      <c r="J731" s="3">
        <f>IFERROR(VLOOKUP(I731,$A$1:$G$1610,3,FALSE),J730)</f>
        <v>17.329999999999998</v>
      </c>
      <c r="K731" s="3">
        <f>IFERROR(VLOOKUP(I731,$A$1:$G$1610,7,FALSE),K730)</f>
        <v>-0.29897393314502291</v>
      </c>
      <c r="L731" s="5">
        <f t="shared" si="45"/>
        <v>0</v>
      </c>
    </row>
    <row r="732" spans="1:12" x14ac:dyDescent="0.25">
      <c r="A732" s="2">
        <v>44853</v>
      </c>
      <c r="B732" s="3">
        <v>30.76</v>
      </c>
      <c r="C732" s="3">
        <f t="shared" si="46"/>
        <v>30.76</v>
      </c>
      <c r="D732" s="3">
        <v>3695.16</v>
      </c>
      <c r="E732" s="3">
        <f t="shared" si="47"/>
        <v>3695.16</v>
      </c>
      <c r="F732" s="3">
        <f>MAX($E$2:E732)</f>
        <v>4796.5600000000004</v>
      </c>
      <c r="G732" s="3">
        <f t="shared" si="44"/>
        <v>-22.962289640909329</v>
      </c>
      <c r="I732" s="2">
        <v>44561</v>
      </c>
      <c r="J732" s="3">
        <f>IFERROR(VLOOKUP(I732,$A$1:$G$1610,3,FALSE),J731)</f>
        <v>17.22</v>
      </c>
      <c r="K732" s="3">
        <f>IFERROR(VLOOKUP(I732,$A$1:$G$1610,7,FALSE),K731)</f>
        <v>-0.56081083900472983</v>
      </c>
      <c r="L732" s="5">
        <f t="shared" si="45"/>
        <v>0</v>
      </c>
    </row>
    <row r="733" spans="1:12" x14ac:dyDescent="0.25">
      <c r="A733" s="2">
        <v>44854</v>
      </c>
      <c r="B733" s="3">
        <v>29.98</v>
      </c>
      <c r="C733" s="3">
        <f t="shared" si="46"/>
        <v>29.98</v>
      </c>
      <c r="D733" s="3">
        <v>3665.78</v>
      </c>
      <c r="E733" s="3">
        <f t="shared" si="47"/>
        <v>3665.78</v>
      </c>
      <c r="F733" s="3">
        <f>MAX($E$2:E733)</f>
        <v>4796.5600000000004</v>
      </c>
      <c r="G733" s="3">
        <f t="shared" si="44"/>
        <v>-23.574811948563141</v>
      </c>
      <c r="I733" s="2">
        <v>44562</v>
      </c>
      <c r="J733" s="3">
        <f>IFERROR(VLOOKUP(I733,$A$1:$G$1610,3,FALSE),J732)</f>
        <v>17.22</v>
      </c>
      <c r="K733" s="3">
        <f>IFERROR(VLOOKUP(I733,$A$1:$G$1610,7,FALSE),K732)</f>
        <v>-0.56081083900472983</v>
      </c>
      <c r="L733" s="5">
        <f t="shared" si="45"/>
        <v>0</v>
      </c>
    </row>
    <row r="734" spans="1:12" x14ac:dyDescent="0.25">
      <c r="A734" s="2">
        <v>44855</v>
      </c>
      <c r="B734" s="3">
        <v>29.69</v>
      </c>
      <c r="C734" s="3">
        <f t="shared" si="46"/>
        <v>29.69</v>
      </c>
      <c r="D734" s="3">
        <v>3752.75</v>
      </c>
      <c r="E734" s="3">
        <f t="shared" si="47"/>
        <v>3752.75</v>
      </c>
      <c r="F734" s="3">
        <f>MAX($E$2:E734)</f>
        <v>4796.5600000000004</v>
      </c>
      <c r="G734" s="3">
        <f t="shared" si="44"/>
        <v>-21.761637506879939</v>
      </c>
      <c r="I734" s="2">
        <v>44563</v>
      </c>
      <c r="J734" s="3">
        <f>IFERROR(VLOOKUP(I734,$A$1:$G$1610,3,FALSE),J733)</f>
        <v>17.22</v>
      </c>
      <c r="K734" s="3">
        <f>IFERROR(VLOOKUP(I734,$A$1:$G$1610,7,FALSE),K733)</f>
        <v>-0.56081083900472983</v>
      </c>
      <c r="L734" s="5">
        <f t="shared" si="45"/>
        <v>0</v>
      </c>
    </row>
    <row r="735" spans="1:12" x14ac:dyDescent="0.25">
      <c r="A735" s="2">
        <v>44858</v>
      </c>
      <c r="B735" s="3">
        <v>29.85</v>
      </c>
      <c r="C735" s="3">
        <f t="shared" si="46"/>
        <v>29.85</v>
      </c>
      <c r="D735" s="3">
        <v>3797.34</v>
      </c>
      <c r="E735" s="3">
        <f t="shared" si="47"/>
        <v>3797.34</v>
      </c>
      <c r="F735" s="3">
        <f>MAX($E$2:E735)</f>
        <v>4796.5600000000004</v>
      </c>
      <c r="G735" s="3">
        <f t="shared" si="44"/>
        <v>-20.832012942608873</v>
      </c>
      <c r="I735" s="2">
        <v>44564</v>
      </c>
      <c r="J735" s="3">
        <f>IFERROR(VLOOKUP(I735,$A$1:$G$1610,3,FALSE),J734)</f>
        <v>16.600000000000001</v>
      </c>
      <c r="K735" s="3">
        <f>IFERROR(VLOOKUP(I735,$A$1:$G$1610,7,FALSE),K734)</f>
        <v>0</v>
      </c>
      <c r="L735" s="5">
        <f t="shared" si="45"/>
        <v>0</v>
      </c>
    </row>
    <row r="736" spans="1:12" x14ac:dyDescent="0.25">
      <c r="A736" s="2">
        <v>44859</v>
      </c>
      <c r="B736" s="3">
        <v>28.46</v>
      </c>
      <c r="C736" s="3">
        <f t="shared" si="46"/>
        <v>28.46</v>
      </c>
      <c r="D736" s="3">
        <v>3859.11</v>
      </c>
      <c r="E736" s="3">
        <f t="shared" si="47"/>
        <v>3859.11</v>
      </c>
      <c r="F736" s="3">
        <f>MAX($E$2:E736)</f>
        <v>4796.5600000000004</v>
      </c>
      <c r="G736" s="3">
        <f t="shared" si="44"/>
        <v>-19.544215020764884</v>
      </c>
      <c r="I736" s="2">
        <v>44565</v>
      </c>
      <c r="J736" s="3">
        <f>IFERROR(VLOOKUP(I736,$A$1:$G$1610,3,FALSE),J735)</f>
        <v>16.91</v>
      </c>
      <c r="K736" s="3">
        <f>IFERROR(VLOOKUP(I736,$A$1:$G$1610,7,FALSE),K735)</f>
        <v>-6.2961789282328082E-2</v>
      </c>
      <c r="L736" s="5">
        <f t="shared" si="45"/>
        <v>0</v>
      </c>
    </row>
    <row r="737" spans="1:12" x14ac:dyDescent="0.25">
      <c r="A737" s="2">
        <v>44860</v>
      </c>
      <c r="B737" s="3">
        <v>27.28</v>
      </c>
      <c r="C737" s="3">
        <f t="shared" si="46"/>
        <v>27.28</v>
      </c>
      <c r="D737" s="3">
        <v>3830.6</v>
      </c>
      <c r="E737" s="3">
        <f t="shared" si="47"/>
        <v>3830.6</v>
      </c>
      <c r="F737" s="3">
        <f>MAX($E$2:E737)</f>
        <v>4796.5600000000004</v>
      </c>
      <c r="G737" s="3">
        <f t="shared" si="44"/>
        <v>-20.138599329519497</v>
      </c>
      <c r="I737" s="2">
        <v>44566</v>
      </c>
      <c r="J737" s="3">
        <f>IFERROR(VLOOKUP(I737,$A$1:$G$1610,3,FALSE),J736)</f>
        <v>19.73</v>
      </c>
      <c r="K737" s="3">
        <f>IFERROR(VLOOKUP(I737,$A$1:$G$1610,7,FALSE),K736)</f>
        <v>-2.001017395800333</v>
      </c>
      <c r="L737" s="5">
        <f t="shared" si="45"/>
        <v>0</v>
      </c>
    </row>
    <row r="738" spans="1:12" x14ac:dyDescent="0.25">
      <c r="A738" s="2">
        <v>44861</v>
      </c>
      <c r="B738" s="3">
        <v>27.39</v>
      </c>
      <c r="C738" s="3">
        <f t="shared" si="46"/>
        <v>27.39</v>
      </c>
      <c r="D738" s="3">
        <v>3807.3</v>
      </c>
      <c r="E738" s="3">
        <f t="shared" si="47"/>
        <v>3807.3</v>
      </c>
      <c r="F738" s="3">
        <f>MAX($E$2:E738)</f>
        <v>4796.5600000000004</v>
      </c>
      <c r="G738" s="3">
        <f t="shared" si="44"/>
        <v>-20.624364127624801</v>
      </c>
      <c r="I738" s="2">
        <v>44567</v>
      </c>
      <c r="J738" s="3">
        <f>IFERROR(VLOOKUP(I738,$A$1:$G$1610,3,FALSE),J737)</f>
        <v>19.61</v>
      </c>
      <c r="K738" s="3">
        <f>IFERROR(VLOOKUP(I738,$A$1:$G$1610,7,FALSE),K737)</f>
        <v>-2.0954600797238063</v>
      </c>
      <c r="L738" s="5">
        <f t="shared" si="45"/>
        <v>0</v>
      </c>
    </row>
    <row r="739" spans="1:12" x14ac:dyDescent="0.25">
      <c r="A739" s="2">
        <v>44862</v>
      </c>
      <c r="B739" s="3">
        <v>25.75</v>
      </c>
      <c r="C739" s="3">
        <f t="shared" si="46"/>
        <v>25.75</v>
      </c>
      <c r="D739" s="3">
        <v>3901.06</v>
      </c>
      <c r="E739" s="3">
        <f t="shared" si="47"/>
        <v>3901.06</v>
      </c>
      <c r="F739" s="3">
        <f>MAX($E$2:E739)</f>
        <v>4796.5600000000004</v>
      </c>
      <c r="G739" s="3">
        <f t="shared" si="44"/>
        <v>-18.669629901429367</v>
      </c>
      <c r="I739" s="2">
        <v>44568</v>
      </c>
      <c r="J739" s="3">
        <f>IFERROR(VLOOKUP(I739,$A$1:$G$1610,3,FALSE),J738)</f>
        <v>18.760000000000002</v>
      </c>
      <c r="K739" s="3">
        <f>IFERROR(VLOOKUP(I739,$A$1:$G$1610,7,FALSE),K738)</f>
        <v>-2.4919942625548441</v>
      </c>
      <c r="L739" s="5">
        <f t="shared" si="45"/>
        <v>0</v>
      </c>
    </row>
    <row r="740" spans="1:12" x14ac:dyDescent="0.25">
      <c r="A740" s="2">
        <v>44865</v>
      </c>
      <c r="B740" s="3">
        <v>25.88</v>
      </c>
      <c r="C740" s="3">
        <f t="shared" si="46"/>
        <v>25.88</v>
      </c>
      <c r="D740" s="3">
        <v>3871.98</v>
      </c>
      <c r="E740" s="3">
        <f t="shared" si="47"/>
        <v>3871.98</v>
      </c>
      <c r="F740" s="3">
        <f>MAX($E$2:E740)</f>
        <v>4796.5600000000004</v>
      </c>
      <c r="G740" s="3">
        <f t="shared" si="44"/>
        <v>-19.275897726704144</v>
      </c>
      <c r="I740" s="2">
        <v>44569</v>
      </c>
      <c r="J740" s="3">
        <f>IFERROR(VLOOKUP(I740,$A$1:$G$1610,3,FALSE),J739)</f>
        <v>18.760000000000002</v>
      </c>
      <c r="K740" s="3">
        <f>IFERROR(VLOOKUP(I740,$A$1:$G$1610,7,FALSE),K739)</f>
        <v>-2.4919942625548441</v>
      </c>
      <c r="L740" s="5">
        <f t="shared" si="45"/>
        <v>0</v>
      </c>
    </row>
    <row r="741" spans="1:12" x14ac:dyDescent="0.25">
      <c r="A741" s="2">
        <v>44866</v>
      </c>
      <c r="B741" s="3">
        <v>25.81</v>
      </c>
      <c r="C741" s="3">
        <f t="shared" si="46"/>
        <v>25.81</v>
      </c>
      <c r="D741" s="3">
        <v>3856.1</v>
      </c>
      <c r="E741" s="3">
        <f t="shared" si="47"/>
        <v>3856.1</v>
      </c>
      <c r="F741" s="3">
        <f>MAX($E$2:E741)</f>
        <v>4796.5600000000004</v>
      </c>
      <c r="G741" s="3">
        <f t="shared" si="44"/>
        <v>-19.606968327301242</v>
      </c>
      <c r="I741" s="2">
        <v>44570</v>
      </c>
      <c r="J741" s="3">
        <f>IFERROR(VLOOKUP(I741,$A$1:$G$1610,3,FALSE),J740)</f>
        <v>18.760000000000002</v>
      </c>
      <c r="K741" s="3">
        <f>IFERROR(VLOOKUP(I741,$A$1:$G$1610,7,FALSE),K740)</f>
        <v>-2.4919942625548441</v>
      </c>
      <c r="L741" s="5">
        <f t="shared" si="45"/>
        <v>0</v>
      </c>
    </row>
    <row r="742" spans="1:12" x14ac:dyDescent="0.25">
      <c r="A742" s="2">
        <v>44867</v>
      </c>
      <c r="B742" s="3">
        <v>25.86</v>
      </c>
      <c r="C742" s="3">
        <f t="shared" si="46"/>
        <v>25.86</v>
      </c>
      <c r="D742" s="3">
        <v>3759.69</v>
      </c>
      <c r="E742" s="3">
        <f t="shared" si="47"/>
        <v>3759.69</v>
      </c>
      <c r="F742" s="3">
        <f>MAX($E$2:E742)</f>
        <v>4796.5600000000004</v>
      </c>
      <c r="G742" s="3">
        <f t="shared" si="44"/>
        <v>-21.616950481178183</v>
      </c>
      <c r="I742" s="2">
        <v>44571</v>
      </c>
      <c r="J742" s="3">
        <f>IFERROR(VLOOKUP(I742,$A$1:$G$1610,3,FALSE),J741)</f>
        <v>19.399999999999999</v>
      </c>
      <c r="K742" s="3">
        <f>IFERROR(VLOOKUP(I742,$A$1:$G$1610,7,FALSE),K741)</f>
        <v>-2.6325116333372338</v>
      </c>
      <c r="L742" s="5">
        <f t="shared" si="45"/>
        <v>0</v>
      </c>
    </row>
    <row r="743" spans="1:12" x14ac:dyDescent="0.25">
      <c r="A743" s="2">
        <v>44868</v>
      </c>
      <c r="B743" s="3">
        <v>25.3</v>
      </c>
      <c r="C743" s="3">
        <f t="shared" si="46"/>
        <v>25.3</v>
      </c>
      <c r="D743" s="3">
        <v>3719.89</v>
      </c>
      <c r="E743" s="3">
        <f t="shared" si="47"/>
        <v>3719.89</v>
      </c>
      <c r="F743" s="3">
        <f>MAX($E$2:E743)</f>
        <v>4796.5600000000004</v>
      </c>
      <c r="G743" s="3">
        <f t="shared" si="44"/>
        <v>-22.446711810130605</v>
      </c>
      <c r="I743" s="2">
        <v>44572</v>
      </c>
      <c r="J743" s="3">
        <f>IFERROR(VLOOKUP(I743,$A$1:$G$1610,3,FALSE),J742)</f>
        <v>18.41</v>
      </c>
      <c r="K743" s="3">
        <f>IFERROR(VLOOKUP(I743,$A$1:$G$1610,7,FALSE),K742)</f>
        <v>-1.7406224460863762</v>
      </c>
      <c r="L743" s="5">
        <f t="shared" si="45"/>
        <v>0</v>
      </c>
    </row>
    <row r="744" spans="1:12" x14ac:dyDescent="0.25">
      <c r="A744" s="2">
        <v>44869</v>
      </c>
      <c r="B744" s="3">
        <v>24.55</v>
      </c>
      <c r="C744" s="3">
        <f t="shared" si="46"/>
        <v>24.55</v>
      </c>
      <c r="D744" s="3">
        <v>3770.55</v>
      </c>
      <c r="E744" s="3">
        <f t="shared" si="47"/>
        <v>3770.55</v>
      </c>
      <c r="F744" s="3">
        <f>MAX($E$2:E744)</f>
        <v>4796.5600000000004</v>
      </c>
      <c r="G744" s="3">
        <f t="shared" si="44"/>
        <v>-21.390538219056992</v>
      </c>
      <c r="I744" s="2">
        <v>44573</v>
      </c>
      <c r="J744" s="3">
        <f>IFERROR(VLOOKUP(I744,$A$1:$G$1610,3,FALSE),J743)</f>
        <v>17.62</v>
      </c>
      <c r="K744" s="3">
        <f>IFERROR(VLOOKUP(I744,$A$1:$G$1610,7,FALSE),K743)</f>
        <v>-1.4637573594409334</v>
      </c>
      <c r="L744" s="5">
        <f t="shared" si="45"/>
        <v>0</v>
      </c>
    </row>
    <row r="745" spans="1:12" x14ac:dyDescent="0.25">
      <c r="A745" s="2">
        <v>44872</v>
      </c>
      <c r="B745" s="3">
        <v>24.35</v>
      </c>
      <c r="C745" s="3">
        <f t="shared" si="46"/>
        <v>24.35</v>
      </c>
      <c r="D745" s="3">
        <v>3806.8</v>
      </c>
      <c r="E745" s="3">
        <f t="shared" si="47"/>
        <v>3806.8</v>
      </c>
      <c r="F745" s="3">
        <f>MAX($E$2:E745)</f>
        <v>4796.5600000000004</v>
      </c>
      <c r="G745" s="3">
        <f t="shared" si="44"/>
        <v>-20.634788264923198</v>
      </c>
      <c r="I745" s="2">
        <v>44574</v>
      </c>
      <c r="J745" s="3">
        <f>IFERROR(VLOOKUP(I745,$A$1:$G$1610,3,FALSE),J744)</f>
        <v>20.309999999999999</v>
      </c>
      <c r="K745" s="3">
        <f>IFERROR(VLOOKUP(I745,$A$1:$G$1610,7,FALSE),K744)</f>
        <v>-2.8672632052971427</v>
      </c>
      <c r="L745" s="5">
        <f t="shared" si="45"/>
        <v>0</v>
      </c>
    </row>
    <row r="746" spans="1:12" x14ac:dyDescent="0.25">
      <c r="A746" s="2">
        <v>44873</v>
      </c>
      <c r="B746" s="3">
        <v>25.54</v>
      </c>
      <c r="C746" s="3">
        <f t="shared" si="46"/>
        <v>25.54</v>
      </c>
      <c r="D746" s="3">
        <v>3828.11</v>
      </c>
      <c r="E746" s="3">
        <f t="shared" si="47"/>
        <v>3828.11</v>
      </c>
      <c r="F746" s="3">
        <f>MAX($E$2:E746)</f>
        <v>4796.5600000000004</v>
      </c>
      <c r="G746" s="3">
        <f t="shared" si="44"/>
        <v>-20.190511533265511</v>
      </c>
      <c r="I746" s="2">
        <v>44575</v>
      </c>
      <c r="J746" s="3">
        <f>IFERROR(VLOOKUP(I746,$A$1:$G$1610,3,FALSE),J745)</f>
        <v>19.190000000000001</v>
      </c>
      <c r="K746" s="3">
        <f>IFERROR(VLOOKUP(I746,$A$1:$G$1610,7,FALSE),K745)</f>
        <v>-2.7876227963373754</v>
      </c>
      <c r="L746" s="5">
        <f t="shared" si="45"/>
        <v>0</v>
      </c>
    </row>
    <row r="747" spans="1:12" x14ac:dyDescent="0.25">
      <c r="A747" s="2">
        <v>44874</v>
      </c>
      <c r="B747" s="3">
        <v>26.09</v>
      </c>
      <c r="C747" s="3">
        <f t="shared" si="46"/>
        <v>26.09</v>
      </c>
      <c r="D747" s="3">
        <v>3748.57</v>
      </c>
      <c r="E747" s="3">
        <f t="shared" si="47"/>
        <v>3748.57</v>
      </c>
      <c r="F747" s="3">
        <f>MAX($E$2:E747)</f>
        <v>4796.5600000000004</v>
      </c>
      <c r="G747" s="3">
        <f t="shared" si="44"/>
        <v>-21.848783294694535</v>
      </c>
      <c r="I747" s="2">
        <v>44576</v>
      </c>
      <c r="J747" s="3">
        <f>IFERROR(VLOOKUP(I747,$A$1:$G$1610,3,FALSE),J746)</f>
        <v>19.190000000000001</v>
      </c>
      <c r="K747" s="3">
        <f>IFERROR(VLOOKUP(I747,$A$1:$G$1610,7,FALSE),K746)</f>
        <v>-2.7876227963373754</v>
      </c>
      <c r="L747" s="5">
        <f t="shared" si="45"/>
        <v>0</v>
      </c>
    </row>
    <row r="748" spans="1:12" x14ac:dyDescent="0.25">
      <c r="A748" s="2">
        <v>44875</v>
      </c>
      <c r="B748" s="3">
        <v>23.53</v>
      </c>
      <c r="C748" s="3">
        <f t="shared" si="46"/>
        <v>23.53</v>
      </c>
      <c r="D748" s="3">
        <v>3956.37</v>
      </c>
      <c r="E748" s="3">
        <f t="shared" si="47"/>
        <v>3956.37</v>
      </c>
      <c r="F748" s="3">
        <f>MAX($E$2:E748)</f>
        <v>4796.5600000000004</v>
      </c>
      <c r="G748" s="3">
        <f t="shared" si="44"/>
        <v>-17.516511833480671</v>
      </c>
      <c r="I748" s="2">
        <v>44577</v>
      </c>
      <c r="J748" s="3">
        <f>IFERROR(VLOOKUP(I748,$A$1:$G$1610,3,FALSE),J747)</f>
        <v>19.190000000000001</v>
      </c>
      <c r="K748" s="3">
        <f>IFERROR(VLOOKUP(I748,$A$1:$G$1610,7,FALSE),K747)</f>
        <v>-2.7876227963373754</v>
      </c>
      <c r="L748" s="5">
        <f t="shared" si="45"/>
        <v>0</v>
      </c>
    </row>
    <row r="749" spans="1:12" x14ac:dyDescent="0.25">
      <c r="A749" s="2">
        <v>44876</v>
      </c>
      <c r="B749" s="3">
        <v>22.52</v>
      </c>
      <c r="C749" s="3">
        <f t="shared" si="46"/>
        <v>22.52</v>
      </c>
      <c r="D749" s="3">
        <v>3992.93</v>
      </c>
      <c r="E749" s="3">
        <f t="shared" si="47"/>
        <v>3992.93</v>
      </c>
      <c r="F749" s="3">
        <f>MAX($E$2:E749)</f>
        <v>4796.5600000000004</v>
      </c>
      <c r="G749" s="3">
        <f t="shared" si="44"/>
        <v>-16.75429891422187</v>
      </c>
      <c r="I749" s="2">
        <v>44578</v>
      </c>
      <c r="J749" s="3">
        <f>IFERROR(VLOOKUP(I749,$A$1:$G$1610,3,FALSE),J748)</f>
        <v>19.190000000000001</v>
      </c>
      <c r="K749" s="3">
        <f>IFERROR(VLOOKUP(I749,$A$1:$G$1610,7,FALSE),K748)</f>
        <v>-2.7876227963373754</v>
      </c>
      <c r="L749" s="5">
        <f t="shared" si="45"/>
        <v>0</v>
      </c>
    </row>
    <row r="750" spans="1:12" x14ac:dyDescent="0.25">
      <c r="A750" s="2">
        <v>44879</v>
      </c>
      <c r="B750" s="3">
        <v>23.73</v>
      </c>
      <c r="C750" s="3">
        <f t="shared" si="46"/>
        <v>23.73</v>
      </c>
      <c r="D750" s="3">
        <v>3957.25</v>
      </c>
      <c r="E750" s="3">
        <f t="shared" si="47"/>
        <v>3957.25</v>
      </c>
      <c r="F750" s="3">
        <f>MAX($E$2:E750)</f>
        <v>4796.5600000000004</v>
      </c>
      <c r="G750" s="3">
        <f t="shared" si="44"/>
        <v>-17.498165351835489</v>
      </c>
      <c r="I750" s="2">
        <v>44579</v>
      </c>
      <c r="J750" s="3">
        <f>IFERROR(VLOOKUP(I750,$A$1:$G$1610,3,FALSE),J749)</f>
        <v>22.79</v>
      </c>
      <c r="K750" s="3">
        <f>IFERROR(VLOOKUP(I750,$A$1:$G$1610,7,FALSE),K749)</f>
        <v>-4.5751538602665391</v>
      </c>
      <c r="L750" s="5">
        <f t="shared" si="45"/>
        <v>0</v>
      </c>
    </row>
    <row r="751" spans="1:12" x14ac:dyDescent="0.25">
      <c r="A751" s="2">
        <v>44880</v>
      </c>
      <c r="B751" s="3">
        <v>24.54</v>
      </c>
      <c r="C751" s="3">
        <f t="shared" si="46"/>
        <v>24.54</v>
      </c>
      <c r="D751" s="3">
        <v>3991.73</v>
      </c>
      <c r="E751" s="3">
        <f t="shared" si="47"/>
        <v>3991.73</v>
      </c>
      <c r="F751" s="3">
        <f>MAX($E$2:E751)</f>
        <v>4796.5600000000004</v>
      </c>
      <c r="G751" s="3">
        <f t="shared" si="44"/>
        <v>-16.77931684373802</v>
      </c>
      <c r="I751" s="2">
        <v>44580</v>
      </c>
      <c r="J751" s="3">
        <f>IFERROR(VLOOKUP(I751,$A$1:$G$1610,3,FALSE),J750)</f>
        <v>23.85</v>
      </c>
      <c r="K751" s="3">
        <f>IFERROR(VLOOKUP(I751,$A$1:$G$1610,7,FALSE),K750)</f>
        <v>-5.4997748386343579</v>
      </c>
      <c r="L751" s="5">
        <f t="shared" si="45"/>
        <v>0</v>
      </c>
    </row>
    <row r="752" spans="1:12" x14ac:dyDescent="0.25">
      <c r="A752" s="2">
        <v>44881</v>
      </c>
      <c r="B752" s="3">
        <v>24.11</v>
      </c>
      <c r="C752" s="3">
        <f t="shared" si="46"/>
        <v>24.11</v>
      </c>
      <c r="D752" s="3">
        <v>3958.79</v>
      </c>
      <c r="E752" s="3">
        <f t="shared" si="47"/>
        <v>3958.79</v>
      </c>
      <c r="F752" s="3">
        <f>MAX($E$2:E752)</f>
        <v>4796.5600000000004</v>
      </c>
      <c r="G752" s="3">
        <f t="shared" si="44"/>
        <v>-17.466059008956428</v>
      </c>
      <c r="I752" s="2">
        <v>44581</v>
      </c>
      <c r="J752" s="3">
        <f>IFERROR(VLOOKUP(I752,$A$1:$G$1610,3,FALSE),J751)</f>
        <v>25.59</v>
      </c>
      <c r="K752" s="3">
        <f>IFERROR(VLOOKUP(I752,$A$1:$G$1610,7,FALSE),K751)</f>
        <v>-6.5428140167119935</v>
      </c>
      <c r="L752" s="5">
        <f t="shared" si="45"/>
        <v>0</v>
      </c>
    </row>
    <row r="753" spans="1:12" x14ac:dyDescent="0.25">
      <c r="A753" s="2">
        <v>44882</v>
      </c>
      <c r="B753" s="3">
        <v>23.93</v>
      </c>
      <c r="C753" s="3">
        <f t="shared" si="46"/>
        <v>23.93</v>
      </c>
      <c r="D753" s="3">
        <v>3946.56</v>
      </c>
      <c r="E753" s="3">
        <f t="shared" si="47"/>
        <v>3946.56</v>
      </c>
      <c r="F753" s="3">
        <f>MAX($E$2:E753)</f>
        <v>4796.5600000000004</v>
      </c>
      <c r="G753" s="3">
        <f t="shared" si="44"/>
        <v>-17.721033407275222</v>
      </c>
      <c r="I753" s="2">
        <v>44582</v>
      </c>
      <c r="J753" s="3">
        <f>IFERROR(VLOOKUP(I753,$A$1:$G$1610,3,FALSE),J752)</f>
        <v>28.85</v>
      </c>
      <c r="K753" s="3">
        <f>IFERROR(VLOOKUP(I753,$A$1:$G$1610,7,FALSE),K752)</f>
        <v>-8.3105392197741885</v>
      </c>
      <c r="L753" s="5">
        <f t="shared" si="45"/>
        <v>0</v>
      </c>
    </row>
    <row r="754" spans="1:12" x14ac:dyDescent="0.25">
      <c r="A754" s="2">
        <v>44883</v>
      </c>
      <c r="B754" s="3">
        <v>23.12</v>
      </c>
      <c r="C754" s="3">
        <f t="shared" si="46"/>
        <v>23.12</v>
      </c>
      <c r="D754" s="3">
        <v>3965.34</v>
      </c>
      <c r="E754" s="3">
        <f t="shared" si="47"/>
        <v>3965.34</v>
      </c>
      <c r="F754" s="3">
        <f>MAX($E$2:E754)</f>
        <v>4796.5600000000004</v>
      </c>
      <c r="G754" s="3">
        <f t="shared" si="44"/>
        <v>-17.329502810347421</v>
      </c>
      <c r="I754" s="2">
        <v>44583</v>
      </c>
      <c r="J754" s="3">
        <f>IFERROR(VLOOKUP(I754,$A$1:$G$1610,3,FALSE),J753)</f>
        <v>28.85</v>
      </c>
      <c r="K754" s="3">
        <f>IFERROR(VLOOKUP(I754,$A$1:$G$1610,7,FALSE),K753)</f>
        <v>-8.3105392197741885</v>
      </c>
      <c r="L754" s="5">
        <f t="shared" si="45"/>
        <v>0</v>
      </c>
    </row>
    <row r="755" spans="1:12" x14ac:dyDescent="0.25">
      <c r="A755" s="2">
        <v>44886</v>
      </c>
      <c r="B755" s="3">
        <v>22.36</v>
      </c>
      <c r="C755" s="3">
        <f t="shared" si="46"/>
        <v>22.36</v>
      </c>
      <c r="D755" s="3">
        <v>3949.94</v>
      </c>
      <c r="E755" s="3">
        <f t="shared" si="47"/>
        <v>3949.94</v>
      </c>
      <c r="F755" s="3">
        <f>MAX($E$2:E755)</f>
        <v>4796.5600000000004</v>
      </c>
      <c r="G755" s="3">
        <f t="shared" si="44"/>
        <v>-17.650566239138055</v>
      </c>
      <c r="I755" s="2">
        <v>44584</v>
      </c>
      <c r="J755" s="3">
        <f>IFERROR(VLOOKUP(I755,$A$1:$G$1610,3,FALSE),J754)</f>
        <v>28.85</v>
      </c>
      <c r="K755" s="3">
        <f>IFERROR(VLOOKUP(I755,$A$1:$G$1610,7,FALSE),K754)</f>
        <v>-8.3105392197741885</v>
      </c>
      <c r="L755" s="5">
        <f t="shared" si="45"/>
        <v>0</v>
      </c>
    </row>
    <row r="756" spans="1:12" x14ac:dyDescent="0.25">
      <c r="A756" s="2">
        <v>44887</v>
      </c>
      <c r="B756" s="3">
        <v>21.29</v>
      </c>
      <c r="C756" s="3">
        <f t="shared" si="46"/>
        <v>21.29</v>
      </c>
      <c r="D756" s="3">
        <v>4003.58</v>
      </c>
      <c r="E756" s="3">
        <f t="shared" si="47"/>
        <v>4003.58</v>
      </c>
      <c r="F756" s="3">
        <f>MAX($E$2:E756)</f>
        <v>4796.5600000000004</v>
      </c>
      <c r="G756" s="3">
        <f t="shared" si="44"/>
        <v>-16.532264789766007</v>
      </c>
      <c r="I756" s="2">
        <v>44585</v>
      </c>
      <c r="J756" s="3">
        <f>IFERROR(VLOOKUP(I756,$A$1:$G$1610,3,FALSE),J755)</f>
        <v>29.9</v>
      </c>
      <c r="K756" s="3">
        <f>IFERROR(VLOOKUP(I756,$A$1:$G$1610,7,FALSE),K755)</f>
        <v>-8.0563987524392537</v>
      </c>
      <c r="L756" s="5">
        <f t="shared" si="45"/>
        <v>0</v>
      </c>
    </row>
    <row r="757" spans="1:12" x14ac:dyDescent="0.25">
      <c r="A757" s="2">
        <v>44888</v>
      </c>
      <c r="B757" s="3">
        <v>20.350000000000001</v>
      </c>
      <c r="C757" s="3">
        <f t="shared" si="46"/>
        <v>20.350000000000001</v>
      </c>
      <c r="D757" s="3">
        <v>4027.26</v>
      </c>
      <c r="E757" s="3">
        <f t="shared" si="47"/>
        <v>4027.26</v>
      </c>
      <c r="F757" s="3">
        <f>MAX($E$2:E757)</f>
        <v>4796.5600000000004</v>
      </c>
      <c r="G757" s="3">
        <f t="shared" si="44"/>
        <v>-16.038577647313911</v>
      </c>
      <c r="I757" s="2">
        <v>44586</v>
      </c>
      <c r="J757" s="3">
        <f>IFERROR(VLOOKUP(I757,$A$1:$G$1610,3,FALSE),J756)</f>
        <v>31.16</v>
      </c>
      <c r="K757" s="3">
        <f>IFERROR(VLOOKUP(I757,$A$1:$G$1610,7,FALSE),K756)</f>
        <v>-9.17553413279518</v>
      </c>
      <c r="L757" s="5">
        <f t="shared" si="45"/>
        <v>1</v>
      </c>
    </row>
    <row r="758" spans="1:12" x14ac:dyDescent="0.25">
      <c r="A758" s="2">
        <v>44889</v>
      </c>
      <c r="B758" s="3">
        <v>20.420000000000002</v>
      </c>
      <c r="C758" s="3">
        <f t="shared" si="46"/>
        <v>20.420000000000002</v>
      </c>
      <c r="E758" s="3">
        <f t="shared" si="47"/>
        <v>4027.26</v>
      </c>
      <c r="F758" s="3">
        <f>MAX($E$2:E758)</f>
        <v>4796.5600000000004</v>
      </c>
      <c r="G758" s="3">
        <f t="shared" si="44"/>
        <v>-16.038577647313911</v>
      </c>
      <c r="I758" s="2">
        <v>44587</v>
      </c>
      <c r="J758" s="3">
        <f>IFERROR(VLOOKUP(I758,$A$1:$G$1610,3,FALSE),J757)</f>
        <v>31.96</v>
      </c>
      <c r="K758" s="3">
        <f>IFERROR(VLOOKUP(I758,$A$1:$G$1610,7,FALSE),K757)</f>
        <v>-9.3114648831662699</v>
      </c>
      <c r="L758" s="5">
        <f t="shared" si="45"/>
        <v>1</v>
      </c>
    </row>
    <row r="759" spans="1:12" x14ac:dyDescent="0.25">
      <c r="A759" s="2">
        <v>44890</v>
      </c>
      <c r="B759" s="3">
        <v>20.5</v>
      </c>
      <c r="C759" s="3">
        <f t="shared" si="46"/>
        <v>20.5</v>
      </c>
      <c r="D759" s="3">
        <v>4026.12</v>
      </c>
      <c r="E759" s="3">
        <f t="shared" si="47"/>
        <v>4026.12</v>
      </c>
      <c r="F759" s="3">
        <f>MAX($E$2:E759)</f>
        <v>4796.5600000000004</v>
      </c>
      <c r="G759" s="3">
        <f t="shared" si="44"/>
        <v>-16.062344680354261</v>
      </c>
      <c r="I759" s="2">
        <v>44588</v>
      </c>
      <c r="J759" s="3">
        <f>IFERROR(VLOOKUP(I759,$A$1:$G$1610,3,FALSE),J758)</f>
        <v>30.49</v>
      </c>
      <c r="K759" s="3">
        <f>IFERROR(VLOOKUP(I759,$A$1:$G$1610,7,FALSE),K758)</f>
        <v>-9.7997314742231953</v>
      </c>
      <c r="L759" s="5">
        <f t="shared" si="45"/>
        <v>1</v>
      </c>
    </row>
    <row r="760" spans="1:12" x14ac:dyDescent="0.25">
      <c r="A760" s="2">
        <v>44893</v>
      </c>
      <c r="B760" s="3">
        <v>22.21</v>
      </c>
      <c r="C760" s="3">
        <f t="shared" si="46"/>
        <v>22.21</v>
      </c>
      <c r="D760" s="3">
        <v>3963.94</v>
      </c>
      <c r="E760" s="3">
        <f t="shared" si="47"/>
        <v>3963.94</v>
      </c>
      <c r="F760" s="3">
        <f>MAX($E$2:E760)</f>
        <v>4796.5600000000004</v>
      </c>
      <c r="G760" s="3">
        <f t="shared" si="44"/>
        <v>-17.358690394782933</v>
      </c>
      <c r="I760" s="2">
        <v>44589</v>
      </c>
      <c r="J760" s="3">
        <f>IFERROR(VLOOKUP(I760,$A$1:$G$1610,3,FALSE),J759)</f>
        <v>27.66</v>
      </c>
      <c r="K760" s="3">
        <f>IFERROR(VLOOKUP(I760,$A$1:$G$1610,7,FALSE),K759)</f>
        <v>-7.6035742281968748</v>
      </c>
      <c r="L760" s="5">
        <f t="shared" si="45"/>
        <v>0</v>
      </c>
    </row>
    <row r="761" spans="1:12" x14ac:dyDescent="0.25">
      <c r="A761" s="2">
        <v>44894</v>
      </c>
      <c r="B761" s="3">
        <v>21.89</v>
      </c>
      <c r="C761" s="3">
        <f t="shared" si="46"/>
        <v>21.89</v>
      </c>
      <c r="D761" s="3">
        <v>3957.63</v>
      </c>
      <c r="E761" s="3">
        <f t="shared" si="47"/>
        <v>3957.63</v>
      </c>
      <c r="F761" s="3">
        <f>MAX($E$2:E761)</f>
        <v>4796.5600000000004</v>
      </c>
      <c r="G761" s="3">
        <f t="shared" si="44"/>
        <v>-17.490243007488704</v>
      </c>
      <c r="I761" s="2">
        <v>44590</v>
      </c>
      <c r="J761" s="3">
        <f>IFERROR(VLOOKUP(I761,$A$1:$G$1610,3,FALSE),J760)</f>
        <v>27.66</v>
      </c>
      <c r="K761" s="3">
        <f>IFERROR(VLOOKUP(I761,$A$1:$G$1610,7,FALSE),K760)</f>
        <v>-7.6035742281968748</v>
      </c>
      <c r="L761" s="5">
        <f t="shared" si="45"/>
        <v>0</v>
      </c>
    </row>
    <row r="762" spans="1:12" x14ac:dyDescent="0.25">
      <c r="A762" s="2">
        <v>44895</v>
      </c>
      <c r="B762" s="3">
        <v>20.58</v>
      </c>
      <c r="C762" s="3">
        <f t="shared" si="46"/>
        <v>20.58</v>
      </c>
      <c r="D762" s="3">
        <v>4080.11</v>
      </c>
      <c r="E762" s="3">
        <f t="shared" si="47"/>
        <v>4080.11</v>
      </c>
      <c r="F762" s="3">
        <f>MAX($E$2:E762)</f>
        <v>4796.5600000000004</v>
      </c>
      <c r="G762" s="3">
        <f t="shared" si="44"/>
        <v>-14.93674633487333</v>
      </c>
      <c r="I762" s="2">
        <v>44591</v>
      </c>
      <c r="J762" s="3">
        <f>IFERROR(VLOOKUP(I762,$A$1:$G$1610,3,FALSE),J761)</f>
        <v>27.66</v>
      </c>
      <c r="K762" s="3">
        <f>IFERROR(VLOOKUP(I762,$A$1:$G$1610,7,FALSE),K761)</f>
        <v>-7.6035742281968748</v>
      </c>
      <c r="L762" s="5">
        <f t="shared" si="45"/>
        <v>0</v>
      </c>
    </row>
    <row r="763" spans="1:12" x14ac:dyDescent="0.25">
      <c r="A763" s="2">
        <v>44896</v>
      </c>
      <c r="B763" s="3">
        <v>19.84</v>
      </c>
      <c r="C763" s="3">
        <f t="shared" si="46"/>
        <v>19.84</v>
      </c>
      <c r="D763" s="3">
        <v>4076.57</v>
      </c>
      <c r="E763" s="3">
        <f t="shared" si="47"/>
        <v>4076.57</v>
      </c>
      <c r="F763" s="3">
        <f>MAX($E$2:E763)</f>
        <v>4796.5600000000004</v>
      </c>
      <c r="G763" s="3">
        <f t="shared" si="44"/>
        <v>-15.010549226945983</v>
      </c>
      <c r="I763" s="2">
        <v>44592</v>
      </c>
      <c r="J763" s="3">
        <f>IFERROR(VLOOKUP(I763,$A$1:$G$1610,3,FALSE),J762)</f>
        <v>24.83</v>
      </c>
      <c r="K763" s="3">
        <f>IFERROR(VLOOKUP(I763,$A$1:$G$1610,7,FALSE),K762)</f>
        <v>-5.8585736444451895</v>
      </c>
      <c r="L763" s="5">
        <f t="shared" si="45"/>
        <v>0</v>
      </c>
    </row>
    <row r="764" spans="1:12" x14ac:dyDescent="0.25">
      <c r="A764" s="2">
        <v>44897</v>
      </c>
      <c r="B764" s="3">
        <v>19.059999999999999</v>
      </c>
      <c r="C764" s="3">
        <f t="shared" si="46"/>
        <v>19.059999999999999</v>
      </c>
      <c r="D764" s="3">
        <v>4071.7</v>
      </c>
      <c r="E764" s="3">
        <f t="shared" si="47"/>
        <v>4071.7</v>
      </c>
      <c r="F764" s="3">
        <f>MAX($E$2:E764)</f>
        <v>4796.5600000000004</v>
      </c>
      <c r="G764" s="3">
        <f t="shared" si="44"/>
        <v>-15.112080324232377</v>
      </c>
      <c r="I764" s="2">
        <v>44593</v>
      </c>
      <c r="J764" s="3">
        <f>IFERROR(VLOOKUP(I764,$A$1:$G$1610,3,FALSE),J763)</f>
        <v>21.96</v>
      </c>
      <c r="K764" s="3">
        <f>IFERROR(VLOOKUP(I764,$A$1:$G$1610,7,FALSE),K763)</f>
        <v>-5.2124856146905367</v>
      </c>
      <c r="L764" s="5">
        <f t="shared" si="45"/>
        <v>0</v>
      </c>
    </row>
    <row r="765" spans="1:12" x14ac:dyDescent="0.25">
      <c r="A765" s="2">
        <v>44900</v>
      </c>
      <c r="B765" s="3">
        <v>20.75</v>
      </c>
      <c r="C765" s="3">
        <f t="shared" si="46"/>
        <v>20.75</v>
      </c>
      <c r="D765" s="3">
        <v>3998.84</v>
      </c>
      <c r="E765" s="3">
        <f t="shared" si="47"/>
        <v>3998.84</v>
      </c>
      <c r="F765" s="3">
        <f>MAX($E$2:E765)</f>
        <v>4796.5600000000004</v>
      </c>
      <c r="G765" s="3">
        <f t="shared" si="44"/>
        <v>-16.631085611354809</v>
      </c>
      <c r="I765" s="2">
        <v>44594</v>
      </c>
      <c r="J765" s="3">
        <f>IFERROR(VLOOKUP(I765,$A$1:$G$1610,3,FALSE),J764)</f>
        <v>22.09</v>
      </c>
      <c r="K765" s="3">
        <f>IFERROR(VLOOKUP(I765,$A$1:$G$1610,7,FALSE),K764)</f>
        <v>-4.3193455309638633</v>
      </c>
      <c r="L765" s="5">
        <f t="shared" si="45"/>
        <v>0</v>
      </c>
    </row>
    <row r="766" spans="1:12" x14ac:dyDescent="0.25">
      <c r="A766" s="2">
        <v>44901</v>
      </c>
      <c r="B766" s="3">
        <v>22.17</v>
      </c>
      <c r="C766" s="3">
        <f t="shared" si="46"/>
        <v>22.17</v>
      </c>
      <c r="D766" s="3">
        <v>3941.26</v>
      </c>
      <c r="E766" s="3">
        <f t="shared" si="47"/>
        <v>3941.26</v>
      </c>
      <c r="F766" s="3">
        <f>MAX($E$2:E766)</f>
        <v>4796.5600000000004</v>
      </c>
      <c r="G766" s="3">
        <f t="shared" si="44"/>
        <v>-17.831529262638227</v>
      </c>
      <c r="I766" s="2">
        <v>44595</v>
      </c>
      <c r="J766" s="3">
        <f>IFERROR(VLOOKUP(I766,$A$1:$G$1610,3,FALSE),J765)</f>
        <v>24.35</v>
      </c>
      <c r="K766" s="3">
        <f>IFERROR(VLOOKUP(I766,$A$1:$G$1610,7,FALSE),K765)</f>
        <v>-6.6531013893290361</v>
      </c>
      <c r="L766" s="5">
        <f t="shared" si="45"/>
        <v>0</v>
      </c>
    </row>
    <row r="767" spans="1:12" x14ac:dyDescent="0.25">
      <c r="A767" s="2">
        <v>44902</v>
      </c>
      <c r="B767" s="3">
        <v>22.68</v>
      </c>
      <c r="C767" s="3">
        <f t="shared" si="46"/>
        <v>22.68</v>
      </c>
      <c r="D767" s="3">
        <v>3933.92</v>
      </c>
      <c r="E767" s="3">
        <f t="shared" si="47"/>
        <v>3933.92</v>
      </c>
      <c r="F767" s="3">
        <f>MAX($E$2:E767)</f>
        <v>4796.5600000000004</v>
      </c>
      <c r="G767" s="3">
        <f t="shared" si="44"/>
        <v>-17.984555598178702</v>
      </c>
      <c r="I767" s="2">
        <v>44596</v>
      </c>
      <c r="J767" s="3">
        <f>IFERROR(VLOOKUP(I767,$A$1:$G$1610,3,FALSE),J766)</f>
        <v>23.22</v>
      </c>
      <c r="K767" s="3">
        <f>IFERROR(VLOOKUP(I767,$A$1:$G$1610,7,FALSE),K766)</f>
        <v>-6.1717147288890501</v>
      </c>
      <c r="L767" s="5">
        <f t="shared" si="45"/>
        <v>0</v>
      </c>
    </row>
    <row r="768" spans="1:12" x14ac:dyDescent="0.25">
      <c r="A768" s="2">
        <v>44903</v>
      </c>
      <c r="B768" s="3">
        <v>22.29</v>
      </c>
      <c r="C768" s="3">
        <f t="shared" si="46"/>
        <v>22.29</v>
      </c>
      <c r="D768" s="3">
        <v>3963.51</v>
      </c>
      <c r="E768" s="3">
        <f t="shared" si="47"/>
        <v>3963.51</v>
      </c>
      <c r="F768" s="3">
        <f>MAX($E$2:E768)</f>
        <v>4796.5600000000004</v>
      </c>
      <c r="G768" s="3">
        <f t="shared" si="44"/>
        <v>-17.367655152859552</v>
      </c>
      <c r="I768" s="2">
        <v>44597</v>
      </c>
      <c r="J768" s="3">
        <f>IFERROR(VLOOKUP(I768,$A$1:$G$1610,3,FALSE),J767)</f>
        <v>23.22</v>
      </c>
      <c r="K768" s="3">
        <f>IFERROR(VLOOKUP(I768,$A$1:$G$1610,7,FALSE),K767)</f>
        <v>-6.1717147288890501</v>
      </c>
      <c r="L768" s="5">
        <f t="shared" si="45"/>
        <v>0</v>
      </c>
    </row>
    <row r="769" spans="1:12" x14ac:dyDescent="0.25">
      <c r="A769" s="2">
        <v>44904</v>
      </c>
      <c r="B769" s="3">
        <v>22.83</v>
      </c>
      <c r="C769" s="3">
        <f t="shared" si="46"/>
        <v>22.83</v>
      </c>
      <c r="D769" s="3">
        <v>3934.38</v>
      </c>
      <c r="E769" s="3">
        <f t="shared" si="47"/>
        <v>3934.38</v>
      </c>
      <c r="F769" s="3">
        <f>MAX($E$2:E769)</f>
        <v>4796.5600000000004</v>
      </c>
      <c r="G769" s="3">
        <f t="shared" si="44"/>
        <v>-17.974965391864174</v>
      </c>
      <c r="I769" s="2">
        <v>44598</v>
      </c>
      <c r="J769" s="3">
        <f>IFERROR(VLOOKUP(I769,$A$1:$G$1610,3,FALSE),J768)</f>
        <v>23.22</v>
      </c>
      <c r="K769" s="3">
        <f>IFERROR(VLOOKUP(I769,$A$1:$G$1610,7,FALSE),K768)</f>
        <v>-6.1717147288890501</v>
      </c>
      <c r="L769" s="5">
        <f t="shared" si="45"/>
        <v>0</v>
      </c>
    </row>
    <row r="770" spans="1:12" x14ac:dyDescent="0.25">
      <c r="A770" s="2">
        <v>44907</v>
      </c>
      <c r="B770" s="3">
        <v>25</v>
      </c>
      <c r="C770" s="3">
        <f t="shared" si="46"/>
        <v>25</v>
      </c>
      <c r="D770" s="3">
        <v>3990.56</v>
      </c>
      <c r="E770" s="3">
        <f t="shared" si="47"/>
        <v>3990.56</v>
      </c>
      <c r="F770" s="3">
        <f>MAX($E$2:E770)</f>
        <v>4796.5600000000004</v>
      </c>
      <c r="G770" s="3">
        <f t="shared" ref="G770:G833" si="48">(E770-F770)/F770*100</f>
        <v>-16.803709325016271</v>
      </c>
      <c r="I770" s="2">
        <v>44599</v>
      </c>
      <c r="J770" s="3">
        <f>IFERROR(VLOOKUP(I770,$A$1:$G$1610,3,FALSE),J769)</f>
        <v>22.86</v>
      </c>
      <c r="K770" s="3">
        <f>IFERROR(VLOOKUP(I770,$A$1:$G$1610,7,FALSE),K769)</f>
        <v>-6.5190469836716423</v>
      </c>
      <c r="L770" s="5">
        <f t="shared" ref="L770:L833" si="49">IF(OR(J770&gt;=30,K770&lt;-10),1,0)</f>
        <v>0</v>
      </c>
    </row>
    <row r="771" spans="1:12" x14ac:dyDescent="0.25">
      <c r="A771" s="2">
        <v>44908</v>
      </c>
      <c r="B771" s="3">
        <v>22.55</v>
      </c>
      <c r="C771" s="3">
        <f t="shared" ref="C771:C834" si="50">IF(B771="",B770,B771)</f>
        <v>22.55</v>
      </c>
      <c r="D771" s="3">
        <v>4019.65</v>
      </c>
      <c r="E771" s="3">
        <f t="shared" si="47"/>
        <v>4019.65</v>
      </c>
      <c r="F771" s="3">
        <f>MAX($E$2:E771)</f>
        <v>4796.5600000000004</v>
      </c>
      <c r="G771" s="3">
        <f t="shared" si="48"/>
        <v>-16.197233016995519</v>
      </c>
      <c r="I771" s="2">
        <v>44600</v>
      </c>
      <c r="J771" s="3">
        <f>IFERROR(VLOOKUP(I771,$A$1:$G$1610,3,FALSE),J770)</f>
        <v>21.44</v>
      </c>
      <c r="K771" s="3">
        <f>IFERROR(VLOOKUP(I771,$A$1:$G$1610,7,FALSE),K770)</f>
        <v>-5.7336924796103954</v>
      </c>
      <c r="L771" s="5">
        <f t="shared" si="49"/>
        <v>0</v>
      </c>
    </row>
    <row r="772" spans="1:12" x14ac:dyDescent="0.25">
      <c r="A772" s="2">
        <v>44909</v>
      </c>
      <c r="B772" s="3">
        <v>21.14</v>
      </c>
      <c r="C772" s="3">
        <f t="shared" si="50"/>
        <v>21.14</v>
      </c>
      <c r="D772" s="3">
        <v>3995.32</v>
      </c>
      <c r="E772" s="3">
        <f t="shared" si="47"/>
        <v>3995.32</v>
      </c>
      <c r="F772" s="3">
        <f>MAX($E$2:E772)</f>
        <v>4796.5600000000004</v>
      </c>
      <c r="G772" s="3">
        <f t="shared" si="48"/>
        <v>-16.704471537935525</v>
      </c>
      <c r="I772" s="2">
        <v>44601</v>
      </c>
      <c r="J772" s="3">
        <f>IFERROR(VLOOKUP(I772,$A$1:$G$1610,3,FALSE),J771)</f>
        <v>19.96</v>
      </c>
      <c r="K772" s="3">
        <f>IFERROR(VLOOKUP(I772,$A$1:$G$1610,7,FALSE),K771)</f>
        <v>-4.3652117350768069</v>
      </c>
      <c r="L772" s="5">
        <f t="shared" si="49"/>
        <v>0</v>
      </c>
    </row>
    <row r="773" spans="1:12" x14ac:dyDescent="0.25">
      <c r="A773" s="2">
        <v>44910</v>
      </c>
      <c r="B773" s="3">
        <v>22.83</v>
      </c>
      <c r="C773" s="3">
        <f t="shared" si="50"/>
        <v>22.83</v>
      </c>
      <c r="D773" s="3">
        <v>3895.75</v>
      </c>
      <c r="E773" s="3">
        <f t="shared" ref="E773:E836" si="51">IF(D773="",D772,D773)</f>
        <v>3895.75</v>
      </c>
      <c r="F773" s="3">
        <f>MAX($E$2:E773)</f>
        <v>4796.5600000000004</v>
      </c>
      <c r="G773" s="3">
        <f t="shared" si="48"/>
        <v>-18.780334239538345</v>
      </c>
      <c r="I773" s="2">
        <v>44602</v>
      </c>
      <c r="J773" s="3">
        <f>IFERROR(VLOOKUP(I773,$A$1:$G$1610,3,FALSE),J772)</f>
        <v>23.91</v>
      </c>
      <c r="K773" s="3">
        <f>IFERROR(VLOOKUP(I773,$A$1:$G$1610,7,FALSE),K772)</f>
        <v>-6.0977033540704264</v>
      </c>
      <c r="L773" s="5">
        <f t="shared" si="49"/>
        <v>0</v>
      </c>
    </row>
    <row r="774" spans="1:12" x14ac:dyDescent="0.25">
      <c r="A774" s="2">
        <v>44911</v>
      </c>
      <c r="B774" s="3">
        <v>22.62</v>
      </c>
      <c r="C774" s="3">
        <f t="shared" si="50"/>
        <v>22.62</v>
      </c>
      <c r="D774" s="3">
        <v>3852.36</v>
      </c>
      <c r="E774" s="3">
        <f t="shared" si="51"/>
        <v>3852.36</v>
      </c>
      <c r="F774" s="3">
        <f>MAX($E$2:E774)</f>
        <v>4796.5600000000004</v>
      </c>
      <c r="G774" s="3">
        <f t="shared" si="48"/>
        <v>-19.684940874293247</v>
      </c>
      <c r="I774" s="2">
        <v>44603</v>
      </c>
      <c r="J774" s="3">
        <f>IFERROR(VLOOKUP(I774,$A$1:$G$1610,3,FALSE),J773)</f>
        <v>27.36</v>
      </c>
      <c r="K774" s="3">
        <f>IFERROR(VLOOKUP(I774,$A$1:$G$1610,7,FALSE),K773)</f>
        <v>-7.8789799356205297</v>
      </c>
      <c r="L774" s="5">
        <f t="shared" si="49"/>
        <v>0</v>
      </c>
    </row>
    <row r="775" spans="1:12" x14ac:dyDescent="0.25">
      <c r="A775" s="2">
        <v>44914</v>
      </c>
      <c r="B775" s="3">
        <v>22.42</v>
      </c>
      <c r="C775" s="3">
        <f t="shared" si="50"/>
        <v>22.42</v>
      </c>
      <c r="D775" s="3">
        <v>3817.66</v>
      </c>
      <c r="E775" s="3">
        <f t="shared" si="51"/>
        <v>3817.66</v>
      </c>
      <c r="F775" s="3">
        <f>MAX($E$2:E775)</f>
        <v>4796.5600000000004</v>
      </c>
      <c r="G775" s="3">
        <f t="shared" si="48"/>
        <v>-20.408376002802019</v>
      </c>
      <c r="I775" s="2">
        <v>44604</v>
      </c>
      <c r="J775" s="3">
        <f>IFERROR(VLOOKUP(I775,$A$1:$G$1610,3,FALSE),J774)</f>
        <v>27.36</v>
      </c>
      <c r="K775" s="3">
        <f>IFERROR(VLOOKUP(I775,$A$1:$G$1610,7,FALSE),K774)</f>
        <v>-7.8789799356205297</v>
      </c>
      <c r="L775" s="5">
        <f t="shared" si="49"/>
        <v>0</v>
      </c>
    </row>
    <row r="776" spans="1:12" x14ac:dyDescent="0.25">
      <c r="A776" s="2">
        <v>44915</v>
      </c>
      <c r="B776" s="3">
        <v>21.48</v>
      </c>
      <c r="C776" s="3">
        <f t="shared" si="50"/>
        <v>21.48</v>
      </c>
      <c r="D776" s="3">
        <v>3821.62</v>
      </c>
      <c r="E776" s="3">
        <f t="shared" si="51"/>
        <v>3821.62</v>
      </c>
      <c r="F776" s="3">
        <f>MAX($E$2:E776)</f>
        <v>4796.5600000000004</v>
      </c>
      <c r="G776" s="3">
        <f t="shared" si="48"/>
        <v>-20.325816835398712</v>
      </c>
      <c r="I776" s="2">
        <v>44605</v>
      </c>
      <c r="J776" s="3">
        <f>IFERROR(VLOOKUP(I776,$A$1:$G$1610,3,FALSE),J775)</f>
        <v>27.36</v>
      </c>
      <c r="K776" s="3">
        <f>IFERROR(VLOOKUP(I776,$A$1:$G$1610,7,FALSE),K775)</f>
        <v>-7.8789799356205297</v>
      </c>
      <c r="L776" s="5">
        <f t="shared" si="49"/>
        <v>0</v>
      </c>
    </row>
    <row r="777" spans="1:12" x14ac:dyDescent="0.25">
      <c r="A777" s="2">
        <v>44916</v>
      </c>
      <c r="B777" s="3">
        <v>20.07</v>
      </c>
      <c r="C777" s="3">
        <f t="shared" si="50"/>
        <v>20.07</v>
      </c>
      <c r="D777" s="3">
        <v>3878.44</v>
      </c>
      <c r="E777" s="3">
        <f t="shared" si="51"/>
        <v>3878.44</v>
      </c>
      <c r="F777" s="3">
        <f>MAX($E$2:E777)</f>
        <v>4796.5600000000004</v>
      </c>
      <c r="G777" s="3">
        <f t="shared" si="48"/>
        <v>-19.141217872808852</v>
      </c>
      <c r="I777" s="2">
        <v>44606</v>
      </c>
      <c r="J777" s="3">
        <f>IFERROR(VLOOKUP(I777,$A$1:$G$1610,3,FALSE),J776)</f>
        <v>28.33</v>
      </c>
      <c r="K777" s="3">
        <f>IFERROR(VLOOKUP(I777,$A$1:$G$1610,7,FALSE),K776)</f>
        <v>-8.2327751555281345</v>
      </c>
      <c r="L777" s="5">
        <f t="shared" si="49"/>
        <v>0</v>
      </c>
    </row>
    <row r="778" spans="1:12" x14ac:dyDescent="0.25">
      <c r="A778" s="2">
        <v>44917</v>
      </c>
      <c r="B778" s="3">
        <v>21.97</v>
      </c>
      <c r="C778" s="3">
        <f t="shared" si="50"/>
        <v>21.97</v>
      </c>
      <c r="D778" s="3">
        <v>3822.39</v>
      </c>
      <c r="E778" s="3">
        <f t="shared" si="51"/>
        <v>3822.39</v>
      </c>
      <c r="F778" s="3">
        <f>MAX($E$2:E778)</f>
        <v>4796.5600000000004</v>
      </c>
      <c r="G778" s="3">
        <f t="shared" si="48"/>
        <v>-20.309763663959181</v>
      </c>
      <c r="I778" s="2">
        <v>44607</v>
      </c>
      <c r="J778" s="3">
        <f>IFERROR(VLOOKUP(I778,$A$1:$G$1610,3,FALSE),J777)</f>
        <v>25.7</v>
      </c>
      <c r="K778" s="3">
        <f>IFERROR(VLOOKUP(I778,$A$1:$G$1610,7,FALSE),K777)</f>
        <v>-6.785904898510613</v>
      </c>
      <c r="L778" s="5">
        <f t="shared" si="49"/>
        <v>0</v>
      </c>
    </row>
    <row r="779" spans="1:12" x14ac:dyDescent="0.25">
      <c r="A779" s="2">
        <v>44918</v>
      </c>
      <c r="B779" s="3">
        <v>20.87</v>
      </c>
      <c r="C779" s="3">
        <f t="shared" si="50"/>
        <v>20.87</v>
      </c>
      <c r="D779" s="3">
        <v>3844.82</v>
      </c>
      <c r="E779" s="3">
        <f t="shared" si="51"/>
        <v>3844.82</v>
      </c>
      <c r="F779" s="3">
        <f>MAX($E$2:E779)</f>
        <v>4796.5600000000004</v>
      </c>
      <c r="G779" s="3">
        <f t="shared" si="48"/>
        <v>-19.842136864753076</v>
      </c>
      <c r="I779" s="2">
        <v>44608</v>
      </c>
      <c r="J779" s="3">
        <f>IFERROR(VLOOKUP(I779,$A$1:$G$1610,3,FALSE),J778)</f>
        <v>24.29</v>
      </c>
      <c r="K779" s="3">
        <f>IFERROR(VLOOKUP(I779,$A$1:$G$1610,7,FALSE),K778)</f>
        <v>-6.7037626965992327</v>
      </c>
      <c r="L779" s="5">
        <f t="shared" si="49"/>
        <v>0</v>
      </c>
    </row>
    <row r="780" spans="1:12" x14ac:dyDescent="0.25">
      <c r="A780" s="2">
        <v>44921</v>
      </c>
      <c r="C780" s="3">
        <f t="shared" si="50"/>
        <v>20.87</v>
      </c>
      <c r="E780" s="3">
        <f t="shared" si="51"/>
        <v>3844.82</v>
      </c>
      <c r="F780" s="3">
        <f>MAX($E$2:E780)</f>
        <v>4796.5600000000004</v>
      </c>
      <c r="G780" s="3">
        <f t="shared" si="48"/>
        <v>-19.842136864753076</v>
      </c>
      <c r="I780" s="2">
        <v>44609</v>
      </c>
      <c r="J780" s="3">
        <f>IFERROR(VLOOKUP(I780,$A$1:$G$1610,3,FALSE),J779)</f>
        <v>28.11</v>
      </c>
      <c r="K780" s="3">
        <f>IFERROR(VLOOKUP(I780,$A$1:$G$1610,7,FALSE),K779)</f>
        <v>-8.6791367146454999</v>
      </c>
      <c r="L780" s="5">
        <f t="shared" si="49"/>
        <v>0</v>
      </c>
    </row>
    <row r="781" spans="1:12" x14ac:dyDescent="0.25">
      <c r="A781" s="2">
        <v>44922</v>
      </c>
      <c r="B781" s="3">
        <v>21.65</v>
      </c>
      <c r="C781" s="3">
        <f t="shared" si="50"/>
        <v>21.65</v>
      </c>
      <c r="D781" s="3">
        <v>3829.25</v>
      </c>
      <c r="E781" s="3">
        <f t="shared" si="51"/>
        <v>3829.25</v>
      </c>
      <c r="F781" s="3">
        <f>MAX($E$2:E781)</f>
        <v>4796.5600000000004</v>
      </c>
      <c r="G781" s="3">
        <f t="shared" si="48"/>
        <v>-20.166744500225168</v>
      </c>
      <c r="I781" s="2">
        <v>44610</v>
      </c>
      <c r="J781" s="3">
        <f>IFERROR(VLOOKUP(I781,$A$1:$G$1610,3,FALSE),J780)</f>
        <v>27.75</v>
      </c>
      <c r="K781" s="3">
        <f>IFERROR(VLOOKUP(I781,$A$1:$G$1610,7,FALSE),K780)</f>
        <v>-9.3335640542388809</v>
      </c>
      <c r="L781" s="5">
        <f t="shared" si="49"/>
        <v>0</v>
      </c>
    </row>
    <row r="782" spans="1:12" x14ac:dyDescent="0.25">
      <c r="A782" s="2">
        <v>44923</v>
      </c>
      <c r="B782" s="3">
        <v>22.14</v>
      </c>
      <c r="C782" s="3">
        <f t="shared" si="50"/>
        <v>22.14</v>
      </c>
      <c r="D782" s="3">
        <v>3783.22</v>
      </c>
      <c r="E782" s="3">
        <f t="shared" si="51"/>
        <v>3783.22</v>
      </c>
      <c r="F782" s="3">
        <f>MAX($E$2:E782)</f>
        <v>4796.5600000000004</v>
      </c>
      <c r="G782" s="3">
        <f t="shared" si="48"/>
        <v>-21.126390579915615</v>
      </c>
      <c r="I782" s="2">
        <v>44611</v>
      </c>
      <c r="J782" s="3">
        <f>IFERROR(VLOOKUP(I782,$A$1:$G$1610,3,FALSE),J781)</f>
        <v>27.75</v>
      </c>
      <c r="K782" s="3">
        <f>IFERROR(VLOOKUP(I782,$A$1:$G$1610,7,FALSE),K781)</f>
        <v>-9.3335640542388809</v>
      </c>
      <c r="L782" s="5">
        <f t="shared" si="49"/>
        <v>0</v>
      </c>
    </row>
    <row r="783" spans="1:12" x14ac:dyDescent="0.25">
      <c r="A783" s="2">
        <v>44924</v>
      </c>
      <c r="B783" s="3">
        <v>21.44</v>
      </c>
      <c r="C783" s="3">
        <f t="shared" si="50"/>
        <v>21.44</v>
      </c>
      <c r="D783" s="3">
        <v>3849.28</v>
      </c>
      <c r="E783" s="3">
        <f t="shared" si="51"/>
        <v>3849.28</v>
      </c>
      <c r="F783" s="3">
        <f>MAX($E$2:E783)</f>
        <v>4796.5600000000004</v>
      </c>
      <c r="G783" s="3">
        <f t="shared" si="48"/>
        <v>-19.749153560051372</v>
      </c>
      <c r="I783" s="2">
        <v>44612</v>
      </c>
      <c r="J783" s="3">
        <f>IFERROR(VLOOKUP(I783,$A$1:$G$1610,3,FALSE),J782)</f>
        <v>27.75</v>
      </c>
      <c r="K783" s="3">
        <f>IFERROR(VLOOKUP(I783,$A$1:$G$1610,7,FALSE),K782)</f>
        <v>-9.3335640542388809</v>
      </c>
      <c r="L783" s="5">
        <f t="shared" si="49"/>
        <v>0</v>
      </c>
    </row>
    <row r="784" spans="1:12" x14ac:dyDescent="0.25">
      <c r="A784" s="2">
        <v>44925</v>
      </c>
      <c r="B784" s="3">
        <v>21.67</v>
      </c>
      <c r="C784" s="3">
        <f t="shared" si="50"/>
        <v>21.67</v>
      </c>
      <c r="D784" s="3">
        <v>3839.5</v>
      </c>
      <c r="E784" s="3">
        <f t="shared" si="51"/>
        <v>3839.5</v>
      </c>
      <c r="F784" s="3">
        <f>MAX($E$2:E784)</f>
        <v>4796.5600000000004</v>
      </c>
      <c r="G784" s="3">
        <f t="shared" si="48"/>
        <v>-19.953049685608025</v>
      </c>
      <c r="I784" s="2">
        <v>44613</v>
      </c>
      <c r="J784" s="3">
        <f>IFERROR(VLOOKUP(I784,$A$1:$G$1610,3,FALSE),J783)</f>
        <v>27.75</v>
      </c>
      <c r="K784" s="3">
        <f>IFERROR(VLOOKUP(I784,$A$1:$G$1610,7,FALSE),K783)</f>
        <v>-9.3335640542388809</v>
      </c>
      <c r="L784" s="5">
        <f t="shared" si="49"/>
        <v>0</v>
      </c>
    </row>
    <row r="785" spans="1:12" x14ac:dyDescent="0.25">
      <c r="A785" s="2">
        <v>44928</v>
      </c>
      <c r="C785" s="3">
        <f t="shared" si="50"/>
        <v>21.67</v>
      </c>
      <c r="E785" s="3">
        <f t="shared" si="51"/>
        <v>3839.5</v>
      </c>
      <c r="F785" s="3">
        <f>MAX($E$2:E785)</f>
        <v>4796.5600000000004</v>
      </c>
      <c r="G785" s="3">
        <f t="shared" si="48"/>
        <v>-19.953049685608025</v>
      </c>
      <c r="I785" s="2">
        <v>44614</v>
      </c>
      <c r="J785" s="3">
        <f>IFERROR(VLOOKUP(I785,$A$1:$G$1610,3,FALSE),J784)</f>
        <v>28.81</v>
      </c>
      <c r="K785" s="3">
        <f>IFERROR(VLOOKUP(I785,$A$1:$G$1610,7,FALSE),K784)</f>
        <v>-10.253181446703474</v>
      </c>
      <c r="L785" s="5">
        <f t="shared" si="49"/>
        <v>1</v>
      </c>
    </row>
    <row r="786" spans="1:12" x14ac:dyDescent="0.25">
      <c r="A786" s="2">
        <v>44929</v>
      </c>
      <c r="B786" s="3">
        <v>22.9</v>
      </c>
      <c r="C786" s="3">
        <f t="shared" si="50"/>
        <v>22.9</v>
      </c>
      <c r="D786" s="3">
        <v>3824.14</v>
      </c>
      <c r="E786" s="3">
        <f t="shared" si="51"/>
        <v>3824.14</v>
      </c>
      <c r="F786" s="3">
        <f>MAX($E$2:E786)</f>
        <v>4796.5600000000004</v>
      </c>
      <c r="G786" s="3">
        <f t="shared" si="48"/>
        <v>-20.27327918341479</v>
      </c>
      <c r="I786" s="2">
        <v>44615</v>
      </c>
      <c r="J786" s="3">
        <f>IFERROR(VLOOKUP(I786,$A$1:$G$1610,3,FALSE),J785)</f>
        <v>31.02</v>
      </c>
      <c r="K786" s="3">
        <f>IFERROR(VLOOKUP(I786,$A$1:$G$1610,7,FALSE),K785)</f>
        <v>-11.9056156912454</v>
      </c>
      <c r="L786" s="5">
        <f t="shared" si="49"/>
        <v>1</v>
      </c>
    </row>
    <row r="787" spans="1:12" x14ac:dyDescent="0.25">
      <c r="A787" s="2">
        <v>44930</v>
      </c>
      <c r="B787" s="3">
        <v>22.01</v>
      </c>
      <c r="C787" s="3">
        <f t="shared" si="50"/>
        <v>22.01</v>
      </c>
      <c r="D787" s="3">
        <v>3852.97</v>
      </c>
      <c r="E787" s="3">
        <f t="shared" si="51"/>
        <v>3852.97</v>
      </c>
      <c r="F787" s="3">
        <f>MAX($E$2:E787)</f>
        <v>4796.5600000000004</v>
      </c>
      <c r="G787" s="3">
        <f t="shared" si="48"/>
        <v>-19.672223426789209</v>
      </c>
      <c r="I787" s="2">
        <v>44616</v>
      </c>
      <c r="J787" s="3">
        <f>IFERROR(VLOOKUP(I787,$A$1:$G$1610,3,FALSE),J786)</f>
        <v>30.32</v>
      </c>
      <c r="K787" s="3">
        <f>IFERROR(VLOOKUP(I787,$A$1:$G$1610,7,FALSE),K786)</f>
        <v>-10.588004736728001</v>
      </c>
      <c r="L787" s="5">
        <f t="shared" si="49"/>
        <v>1</v>
      </c>
    </row>
    <row r="788" spans="1:12" x14ac:dyDescent="0.25">
      <c r="A788" s="2">
        <v>44931</v>
      </c>
      <c r="B788" s="3">
        <v>22.46</v>
      </c>
      <c r="C788" s="3">
        <f t="shared" si="50"/>
        <v>22.46</v>
      </c>
      <c r="D788" s="3">
        <v>3808.1</v>
      </c>
      <c r="E788" s="3">
        <f t="shared" si="51"/>
        <v>3808.1</v>
      </c>
      <c r="F788" s="3">
        <f>MAX($E$2:E788)</f>
        <v>4796.5600000000004</v>
      </c>
      <c r="G788" s="3">
        <f t="shared" si="48"/>
        <v>-20.60768550794737</v>
      </c>
      <c r="I788" s="2">
        <v>44617</v>
      </c>
      <c r="J788" s="3">
        <f>IFERROR(VLOOKUP(I788,$A$1:$G$1610,3,FALSE),J787)</f>
        <v>27.59</v>
      </c>
      <c r="K788" s="3">
        <f>IFERROR(VLOOKUP(I788,$A$1:$G$1610,7,FALSE),K787)</f>
        <v>-8.5876127891655845</v>
      </c>
      <c r="L788" s="5">
        <f t="shared" si="49"/>
        <v>0</v>
      </c>
    </row>
    <row r="789" spans="1:12" x14ac:dyDescent="0.25">
      <c r="A789" s="2">
        <v>44932</v>
      </c>
      <c r="B789" s="3">
        <v>21.13</v>
      </c>
      <c r="C789" s="3">
        <f t="shared" si="50"/>
        <v>21.13</v>
      </c>
      <c r="D789" s="3">
        <v>3895.08</v>
      </c>
      <c r="E789" s="3">
        <f t="shared" si="51"/>
        <v>3895.08</v>
      </c>
      <c r="F789" s="3">
        <f>MAX($E$2:E789)</f>
        <v>4796.5600000000004</v>
      </c>
      <c r="G789" s="3">
        <f t="shared" si="48"/>
        <v>-18.794302583518196</v>
      </c>
      <c r="I789" s="2">
        <v>44618</v>
      </c>
      <c r="J789" s="3">
        <f>IFERROR(VLOOKUP(I789,$A$1:$G$1610,3,FALSE),J788)</f>
        <v>27.59</v>
      </c>
      <c r="K789" s="3">
        <f>IFERROR(VLOOKUP(I789,$A$1:$G$1610,7,FALSE),K788)</f>
        <v>-8.5876127891655845</v>
      </c>
      <c r="L789" s="5">
        <f t="shared" si="49"/>
        <v>0</v>
      </c>
    </row>
    <row r="790" spans="1:12" x14ac:dyDescent="0.25">
      <c r="A790" s="2">
        <v>44935</v>
      </c>
      <c r="B790" s="3">
        <v>21.97</v>
      </c>
      <c r="C790" s="3">
        <f t="shared" si="50"/>
        <v>21.97</v>
      </c>
      <c r="D790" s="3">
        <v>3892.09</v>
      </c>
      <c r="E790" s="3">
        <f t="shared" si="51"/>
        <v>3892.09</v>
      </c>
      <c r="F790" s="3">
        <f>MAX($E$2:E790)</f>
        <v>4796.5600000000004</v>
      </c>
      <c r="G790" s="3">
        <f t="shared" si="48"/>
        <v>-18.856638924562606</v>
      </c>
      <c r="I790" s="2">
        <v>44619</v>
      </c>
      <c r="J790" s="3">
        <f>IFERROR(VLOOKUP(I790,$A$1:$G$1610,3,FALSE),J789)</f>
        <v>27.59</v>
      </c>
      <c r="K790" s="3">
        <f>IFERROR(VLOOKUP(I790,$A$1:$G$1610,7,FALSE),K789)</f>
        <v>-8.5876127891655845</v>
      </c>
      <c r="L790" s="5">
        <f t="shared" si="49"/>
        <v>0</v>
      </c>
    </row>
    <row r="791" spans="1:12" x14ac:dyDescent="0.25">
      <c r="A791" s="2">
        <v>44936</v>
      </c>
      <c r="B791" s="3">
        <v>20.58</v>
      </c>
      <c r="C791" s="3">
        <f t="shared" si="50"/>
        <v>20.58</v>
      </c>
      <c r="D791" s="3">
        <v>3919.25</v>
      </c>
      <c r="E791" s="3">
        <f t="shared" si="51"/>
        <v>3919.25</v>
      </c>
      <c r="F791" s="3">
        <f>MAX($E$2:E791)</f>
        <v>4796.5600000000004</v>
      </c>
      <c r="G791" s="3">
        <f t="shared" si="48"/>
        <v>-18.290399786513674</v>
      </c>
      <c r="I791" s="2">
        <v>44620</v>
      </c>
      <c r="J791" s="3">
        <f>IFERROR(VLOOKUP(I791,$A$1:$G$1610,3,FALSE),J790)</f>
        <v>30.15</v>
      </c>
      <c r="K791" s="3">
        <f>IFERROR(VLOOKUP(I791,$A$1:$G$1610,7,FALSE),K790)</f>
        <v>-8.8108978100972521</v>
      </c>
      <c r="L791" s="5">
        <f t="shared" si="49"/>
        <v>1</v>
      </c>
    </row>
    <row r="792" spans="1:12" x14ac:dyDescent="0.25">
      <c r="A792" s="2">
        <v>44937</v>
      </c>
      <c r="B792" s="3">
        <v>21.09</v>
      </c>
      <c r="C792" s="3">
        <f t="shared" si="50"/>
        <v>21.09</v>
      </c>
      <c r="D792" s="3">
        <v>3969.61</v>
      </c>
      <c r="E792" s="3">
        <f t="shared" si="51"/>
        <v>3969.61</v>
      </c>
      <c r="F792" s="3">
        <f>MAX($E$2:E792)</f>
        <v>4796.5600000000004</v>
      </c>
      <c r="G792" s="3">
        <f t="shared" si="48"/>
        <v>-17.240480677819107</v>
      </c>
      <c r="I792" s="2">
        <v>44621</v>
      </c>
      <c r="J792" s="3">
        <f>IFERROR(VLOOKUP(I792,$A$1:$G$1610,3,FALSE),J791)</f>
        <v>33.32</v>
      </c>
      <c r="K792" s="3">
        <f>IFERROR(VLOOKUP(I792,$A$1:$G$1610,7,FALSE),K791)</f>
        <v>-10.221909034808283</v>
      </c>
      <c r="L792" s="5">
        <f t="shared" si="49"/>
        <v>1</v>
      </c>
    </row>
    <row r="793" spans="1:12" x14ac:dyDescent="0.25">
      <c r="A793" s="2">
        <v>44938</v>
      </c>
      <c r="B793" s="3">
        <v>18.829999999999998</v>
      </c>
      <c r="C793" s="3">
        <f t="shared" si="50"/>
        <v>18.829999999999998</v>
      </c>
      <c r="D793" s="3">
        <v>3983.17</v>
      </c>
      <c r="E793" s="3">
        <f t="shared" si="51"/>
        <v>3983.17</v>
      </c>
      <c r="F793" s="3">
        <f>MAX($E$2:E793)</f>
        <v>4796.5600000000004</v>
      </c>
      <c r="G793" s="3">
        <f t="shared" si="48"/>
        <v>-16.95777807428658</v>
      </c>
      <c r="I793" s="2">
        <v>44622</v>
      </c>
      <c r="J793" s="3">
        <f>IFERROR(VLOOKUP(I793,$A$1:$G$1610,3,FALSE),J792)</f>
        <v>30.74</v>
      </c>
      <c r="K793" s="3">
        <f>IFERROR(VLOOKUP(I793,$A$1:$G$1610,7,FALSE),K792)</f>
        <v>-8.548209550177635</v>
      </c>
      <c r="L793" s="5">
        <f t="shared" si="49"/>
        <v>1</v>
      </c>
    </row>
    <row r="794" spans="1:12" x14ac:dyDescent="0.25">
      <c r="A794" s="2">
        <v>44939</v>
      </c>
      <c r="B794" s="3">
        <v>18.350000000000001</v>
      </c>
      <c r="C794" s="3">
        <f t="shared" si="50"/>
        <v>18.350000000000001</v>
      </c>
      <c r="D794" s="3">
        <v>3999.09</v>
      </c>
      <c r="E794" s="3">
        <f t="shared" si="51"/>
        <v>3999.09</v>
      </c>
      <c r="F794" s="3">
        <f>MAX($E$2:E794)</f>
        <v>4796.5600000000004</v>
      </c>
      <c r="G794" s="3">
        <f t="shared" si="48"/>
        <v>-16.625873542705609</v>
      </c>
      <c r="I794" s="2">
        <v>44623</v>
      </c>
      <c r="J794" s="3">
        <f>IFERROR(VLOOKUP(I794,$A$1:$G$1610,3,FALSE),J793)</f>
        <v>30.48</v>
      </c>
      <c r="K794" s="3">
        <f>IFERROR(VLOOKUP(I794,$A$1:$G$1610,7,FALSE),K793)</f>
        <v>-9.0287622796337494</v>
      </c>
      <c r="L794" s="5">
        <f t="shared" si="49"/>
        <v>1</v>
      </c>
    </row>
    <row r="795" spans="1:12" x14ac:dyDescent="0.25">
      <c r="A795" s="2">
        <v>44942</v>
      </c>
      <c r="B795" s="3">
        <v>19.489999999999998</v>
      </c>
      <c r="C795" s="3">
        <f t="shared" si="50"/>
        <v>19.489999999999998</v>
      </c>
      <c r="E795" s="3">
        <f t="shared" si="51"/>
        <v>3999.09</v>
      </c>
      <c r="F795" s="3">
        <f>MAX($E$2:E795)</f>
        <v>4796.5600000000004</v>
      </c>
      <c r="G795" s="3">
        <f t="shared" si="48"/>
        <v>-16.625873542705609</v>
      </c>
      <c r="I795" s="2">
        <v>44624</v>
      </c>
      <c r="J795" s="3">
        <f>IFERROR(VLOOKUP(I795,$A$1:$G$1610,3,FALSE),J794)</f>
        <v>31.98</v>
      </c>
      <c r="K795" s="3">
        <f>IFERROR(VLOOKUP(I795,$A$1:$G$1610,7,FALSE),K794)</f>
        <v>-9.7505295461747679</v>
      </c>
      <c r="L795" s="5">
        <f t="shared" si="49"/>
        <v>1</v>
      </c>
    </row>
    <row r="796" spans="1:12" x14ac:dyDescent="0.25">
      <c r="A796" s="2">
        <v>44943</v>
      </c>
      <c r="B796" s="3">
        <v>19.36</v>
      </c>
      <c r="C796" s="3">
        <f t="shared" si="50"/>
        <v>19.36</v>
      </c>
      <c r="D796" s="3">
        <v>3990.97</v>
      </c>
      <c r="E796" s="3">
        <f t="shared" si="51"/>
        <v>3990.97</v>
      </c>
      <c r="F796" s="3">
        <f>MAX($E$2:E796)</f>
        <v>4796.5600000000004</v>
      </c>
      <c r="G796" s="3">
        <f t="shared" si="48"/>
        <v>-16.795161532431589</v>
      </c>
      <c r="I796" s="2">
        <v>44625</v>
      </c>
      <c r="J796" s="3">
        <f>IFERROR(VLOOKUP(I796,$A$1:$G$1610,3,FALSE),J795)</f>
        <v>31.98</v>
      </c>
      <c r="K796" s="3">
        <f>IFERROR(VLOOKUP(I796,$A$1:$G$1610,7,FALSE),K795)</f>
        <v>-9.7505295461747679</v>
      </c>
      <c r="L796" s="5">
        <f t="shared" si="49"/>
        <v>1</v>
      </c>
    </row>
    <row r="797" spans="1:12" x14ac:dyDescent="0.25">
      <c r="A797" s="2">
        <v>44944</v>
      </c>
      <c r="B797" s="3">
        <v>20.34</v>
      </c>
      <c r="C797" s="3">
        <f t="shared" si="50"/>
        <v>20.34</v>
      </c>
      <c r="D797" s="3">
        <v>3928.86</v>
      </c>
      <c r="E797" s="3">
        <f t="shared" si="51"/>
        <v>3928.86</v>
      </c>
      <c r="F797" s="3">
        <f>MAX($E$2:E797)</f>
        <v>4796.5600000000004</v>
      </c>
      <c r="G797" s="3">
        <f t="shared" si="48"/>
        <v>-18.090047867638479</v>
      </c>
      <c r="I797" s="2">
        <v>44626</v>
      </c>
      <c r="J797" s="3">
        <f>IFERROR(VLOOKUP(I797,$A$1:$G$1610,3,FALSE),J796)</f>
        <v>31.98</v>
      </c>
      <c r="K797" s="3">
        <f>IFERROR(VLOOKUP(I797,$A$1:$G$1610,7,FALSE),K796)</f>
        <v>-9.7505295461747679</v>
      </c>
      <c r="L797" s="5">
        <f t="shared" si="49"/>
        <v>1</v>
      </c>
    </row>
    <row r="798" spans="1:12" x14ac:dyDescent="0.25">
      <c r="A798" s="2">
        <v>44945</v>
      </c>
      <c r="B798" s="3">
        <v>20.52</v>
      </c>
      <c r="C798" s="3">
        <f t="shared" si="50"/>
        <v>20.52</v>
      </c>
      <c r="D798" s="3">
        <v>3898.85</v>
      </c>
      <c r="E798" s="3">
        <f t="shared" si="51"/>
        <v>3898.85</v>
      </c>
      <c r="F798" s="3">
        <f>MAX($E$2:E798)</f>
        <v>4796.5600000000004</v>
      </c>
      <c r="G798" s="3">
        <f t="shared" si="48"/>
        <v>-18.715704588288283</v>
      </c>
      <c r="I798" s="2">
        <v>44627</v>
      </c>
      <c r="J798" s="3">
        <f>IFERROR(VLOOKUP(I798,$A$1:$G$1610,3,FALSE),J797)</f>
        <v>36.450000000000003</v>
      </c>
      <c r="K798" s="3">
        <f>IFERROR(VLOOKUP(I798,$A$1:$G$1610,7,FALSE),K797)</f>
        <v>-12.414522074153147</v>
      </c>
      <c r="L798" s="5">
        <f t="shared" si="49"/>
        <v>1</v>
      </c>
    </row>
    <row r="799" spans="1:12" x14ac:dyDescent="0.25">
      <c r="A799" s="2">
        <v>44946</v>
      </c>
      <c r="B799" s="3">
        <v>19.850000000000001</v>
      </c>
      <c r="C799" s="3">
        <f t="shared" si="50"/>
        <v>19.850000000000001</v>
      </c>
      <c r="D799" s="3">
        <v>3972.61</v>
      </c>
      <c r="E799" s="3">
        <f t="shared" si="51"/>
        <v>3972.61</v>
      </c>
      <c r="F799" s="3">
        <f>MAX($E$2:E799)</f>
        <v>4796.5600000000004</v>
      </c>
      <c r="G799" s="3">
        <f t="shared" si="48"/>
        <v>-17.177935854028725</v>
      </c>
      <c r="I799" s="2">
        <v>44628</v>
      </c>
      <c r="J799" s="3">
        <f>IFERROR(VLOOKUP(I799,$A$1:$G$1610,3,FALSE),J798)</f>
        <v>35.130000000000003</v>
      </c>
      <c r="K799" s="3">
        <f>IFERROR(VLOOKUP(I799,$A$1:$G$1610,7,FALSE),K798)</f>
        <v>-13.048101139149734</v>
      </c>
      <c r="L799" s="5">
        <f t="shared" si="49"/>
        <v>1</v>
      </c>
    </row>
    <row r="800" spans="1:12" x14ac:dyDescent="0.25">
      <c r="A800" s="2">
        <v>44949</v>
      </c>
      <c r="B800" s="3">
        <v>19.809999999999999</v>
      </c>
      <c r="C800" s="3">
        <f t="shared" si="50"/>
        <v>19.809999999999999</v>
      </c>
      <c r="D800" s="3">
        <v>4019.81</v>
      </c>
      <c r="E800" s="3">
        <f t="shared" si="51"/>
        <v>4019.81</v>
      </c>
      <c r="F800" s="3">
        <f>MAX($E$2:E800)</f>
        <v>4796.5600000000004</v>
      </c>
      <c r="G800" s="3">
        <f t="shared" si="48"/>
        <v>-16.193897293060033</v>
      </c>
      <c r="I800" s="2">
        <v>44629</v>
      </c>
      <c r="J800" s="3">
        <f>IFERROR(VLOOKUP(I800,$A$1:$G$1610,3,FALSE),J799)</f>
        <v>32.450000000000003</v>
      </c>
      <c r="K800" s="3">
        <f>IFERROR(VLOOKUP(I800,$A$1:$G$1610,7,FALSE),K799)</f>
        <v>-10.813583067865308</v>
      </c>
      <c r="L800" s="5">
        <f t="shared" si="49"/>
        <v>1</v>
      </c>
    </row>
    <row r="801" spans="1:12" x14ac:dyDescent="0.25">
      <c r="A801" s="2">
        <v>44950</v>
      </c>
      <c r="B801" s="3">
        <v>19.2</v>
      </c>
      <c r="C801" s="3">
        <f t="shared" si="50"/>
        <v>19.2</v>
      </c>
      <c r="D801" s="3">
        <v>4016.95</v>
      </c>
      <c r="E801" s="3">
        <f t="shared" si="51"/>
        <v>4016.95</v>
      </c>
      <c r="F801" s="3">
        <f>MAX($E$2:E801)</f>
        <v>4796.5600000000004</v>
      </c>
      <c r="G801" s="3">
        <f t="shared" si="48"/>
        <v>-16.25352335840687</v>
      </c>
      <c r="I801" s="2">
        <v>44630</v>
      </c>
      <c r="J801" s="3">
        <f>IFERROR(VLOOKUP(I801,$A$1:$G$1610,3,FALSE),J800)</f>
        <v>30.23</v>
      </c>
      <c r="K801" s="3">
        <f>IFERROR(VLOOKUP(I801,$A$1:$G$1610,7,FALSE),K800)</f>
        <v>-11.196357389462447</v>
      </c>
      <c r="L801" s="5">
        <f t="shared" si="49"/>
        <v>1</v>
      </c>
    </row>
    <row r="802" spans="1:12" x14ac:dyDescent="0.25">
      <c r="A802" s="2">
        <v>44951</v>
      </c>
      <c r="B802" s="3">
        <v>19.079999999999998</v>
      </c>
      <c r="C802" s="3">
        <f t="shared" si="50"/>
        <v>19.079999999999998</v>
      </c>
      <c r="D802" s="3">
        <v>4016.22</v>
      </c>
      <c r="E802" s="3">
        <f t="shared" si="51"/>
        <v>4016.22</v>
      </c>
      <c r="F802" s="3">
        <f>MAX($E$2:E802)</f>
        <v>4796.5600000000004</v>
      </c>
      <c r="G802" s="3">
        <f t="shared" si="48"/>
        <v>-16.268742598862531</v>
      </c>
      <c r="I802" s="2">
        <v>44631</v>
      </c>
      <c r="J802" s="3">
        <f>IFERROR(VLOOKUP(I802,$A$1:$G$1610,3,FALSE),J801)</f>
        <v>30.75</v>
      </c>
      <c r="K802" s="3">
        <f>IFERROR(VLOOKUP(I802,$A$1:$G$1610,7,FALSE),K801)</f>
        <v>-12.347390629951464</v>
      </c>
      <c r="L802" s="5">
        <f t="shared" si="49"/>
        <v>1</v>
      </c>
    </row>
    <row r="803" spans="1:12" x14ac:dyDescent="0.25">
      <c r="A803" s="2">
        <v>44952</v>
      </c>
      <c r="B803" s="3">
        <v>18.73</v>
      </c>
      <c r="C803" s="3">
        <f t="shared" si="50"/>
        <v>18.73</v>
      </c>
      <c r="D803" s="3">
        <v>4060.43</v>
      </c>
      <c r="E803" s="3">
        <f t="shared" si="51"/>
        <v>4060.43</v>
      </c>
      <c r="F803" s="3">
        <f>MAX($E$2:E803)</f>
        <v>4796.5600000000004</v>
      </c>
      <c r="G803" s="3">
        <f t="shared" si="48"/>
        <v>-15.347040378938251</v>
      </c>
      <c r="I803" s="2">
        <v>44632</v>
      </c>
      <c r="J803" s="3">
        <f>IFERROR(VLOOKUP(I803,$A$1:$G$1610,3,FALSE),J802)</f>
        <v>30.75</v>
      </c>
      <c r="K803" s="3">
        <f>IFERROR(VLOOKUP(I803,$A$1:$G$1610,7,FALSE),K802)</f>
        <v>-12.347390629951464</v>
      </c>
      <c r="L803" s="5">
        <f t="shared" si="49"/>
        <v>1</v>
      </c>
    </row>
    <row r="804" spans="1:12" x14ac:dyDescent="0.25">
      <c r="A804" s="2">
        <v>44953</v>
      </c>
      <c r="B804" s="3">
        <v>18.510000000000002</v>
      </c>
      <c r="C804" s="3">
        <f t="shared" si="50"/>
        <v>18.510000000000002</v>
      </c>
      <c r="D804" s="3">
        <v>4070.56</v>
      </c>
      <c r="E804" s="3">
        <f t="shared" si="51"/>
        <v>4070.56</v>
      </c>
      <c r="F804" s="3">
        <f>MAX($E$2:E804)</f>
        <v>4796.5600000000004</v>
      </c>
      <c r="G804" s="3">
        <f t="shared" si="48"/>
        <v>-15.13584735727272</v>
      </c>
      <c r="I804" s="2">
        <v>44633</v>
      </c>
      <c r="J804" s="3">
        <f>IFERROR(VLOOKUP(I804,$A$1:$G$1610,3,FALSE),J803)</f>
        <v>30.75</v>
      </c>
      <c r="K804" s="3">
        <f>IFERROR(VLOOKUP(I804,$A$1:$G$1610,7,FALSE),K803)</f>
        <v>-12.347390629951464</v>
      </c>
      <c r="L804" s="5">
        <f t="shared" si="49"/>
        <v>1</v>
      </c>
    </row>
    <row r="805" spans="1:12" x14ac:dyDescent="0.25">
      <c r="A805" s="2">
        <v>44956</v>
      </c>
      <c r="B805" s="3">
        <v>19.940000000000001</v>
      </c>
      <c r="C805" s="3">
        <f t="shared" si="50"/>
        <v>19.940000000000001</v>
      </c>
      <c r="D805" s="3">
        <v>4017.77</v>
      </c>
      <c r="E805" s="3">
        <f t="shared" si="51"/>
        <v>4017.77</v>
      </c>
      <c r="F805" s="3">
        <f>MAX($E$2:E805)</f>
        <v>4796.5600000000004</v>
      </c>
      <c r="G805" s="3">
        <f t="shared" si="48"/>
        <v>-16.236427773237494</v>
      </c>
      <c r="I805" s="2">
        <v>44634</v>
      </c>
      <c r="J805" s="3">
        <f>IFERROR(VLOOKUP(I805,$A$1:$G$1610,3,FALSE),J804)</f>
        <v>31.77</v>
      </c>
      <c r="K805" s="3">
        <f>IFERROR(VLOOKUP(I805,$A$1:$G$1610,7,FALSE),K804)</f>
        <v>-12.997856797371462</v>
      </c>
      <c r="L805" s="5">
        <f t="shared" si="49"/>
        <v>1</v>
      </c>
    </row>
    <row r="806" spans="1:12" x14ac:dyDescent="0.25">
      <c r="A806" s="2">
        <v>44957</v>
      </c>
      <c r="B806" s="3">
        <v>19.399999999999999</v>
      </c>
      <c r="C806" s="3">
        <f t="shared" si="50"/>
        <v>19.399999999999999</v>
      </c>
      <c r="D806" s="3">
        <v>4076.6</v>
      </c>
      <c r="E806" s="3">
        <f t="shared" si="51"/>
        <v>4076.6</v>
      </c>
      <c r="F806" s="3">
        <f>MAX($E$2:E806)</f>
        <v>4796.5600000000004</v>
      </c>
      <c r="G806" s="3">
        <f t="shared" si="48"/>
        <v>-15.009923778708083</v>
      </c>
      <c r="I806" s="2">
        <v>44635</v>
      </c>
      <c r="J806" s="3">
        <f>IFERROR(VLOOKUP(I806,$A$1:$G$1610,3,FALSE),J805)</f>
        <v>29.83</v>
      </c>
      <c r="K806" s="3">
        <f>IFERROR(VLOOKUP(I806,$A$1:$G$1610,7,FALSE),K805)</f>
        <v>-11.135271944893852</v>
      </c>
      <c r="L806" s="5">
        <f t="shared" si="49"/>
        <v>1</v>
      </c>
    </row>
    <row r="807" spans="1:12" x14ac:dyDescent="0.25">
      <c r="A807" s="2">
        <v>44958</v>
      </c>
      <c r="B807" s="3">
        <v>17.87</v>
      </c>
      <c r="C807" s="3">
        <f t="shared" si="50"/>
        <v>17.87</v>
      </c>
      <c r="D807" s="3">
        <v>4119.21</v>
      </c>
      <c r="E807" s="3">
        <f t="shared" si="51"/>
        <v>4119.21</v>
      </c>
      <c r="F807" s="3">
        <f>MAX($E$2:E807)</f>
        <v>4796.5600000000004</v>
      </c>
      <c r="G807" s="3">
        <f t="shared" si="48"/>
        <v>-14.121578798138673</v>
      </c>
      <c r="I807" s="2">
        <v>44636</v>
      </c>
      <c r="J807" s="3">
        <f>IFERROR(VLOOKUP(I807,$A$1:$G$1610,3,FALSE),J806)</f>
        <v>26.67</v>
      </c>
      <c r="K807" s="3">
        <f>IFERROR(VLOOKUP(I807,$A$1:$G$1610,7,FALSE),K806)</f>
        <v>-9.1461380656137035</v>
      </c>
      <c r="L807" s="5">
        <f t="shared" si="49"/>
        <v>0</v>
      </c>
    </row>
    <row r="808" spans="1:12" x14ac:dyDescent="0.25">
      <c r="A808" s="2">
        <v>44959</v>
      </c>
      <c r="B808" s="3">
        <v>18.73</v>
      </c>
      <c r="C808" s="3">
        <f t="shared" si="50"/>
        <v>18.73</v>
      </c>
      <c r="D808" s="3">
        <v>4179.76</v>
      </c>
      <c r="E808" s="3">
        <f t="shared" si="51"/>
        <v>4179.76</v>
      </c>
      <c r="F808" s="3">
        <f>MAX($E$2:E808)</f>
        <v>4796.5600000000004</v>
      </c>
      <c r="G808" s="3">
        <f t="shared" si="48"/>
        <v>-12.85921577130277</v>
      </c>
      <c r="I808" s="2">
        <v>44637</v>
      </c>
      <c r="J808" s="3">
        <f>IFERROR(VLOOKUP(I808,$A$1:$G$1610,3,FALSE),J807)</f>
        <v>25.67</v>
      </c>
      <c r="K808" s="3">
        <f>IFERROR(VLOOKUP(I808,$A$1:$G$1610,7,FALSE),K807)</f>
        <v>-8.0242924095601911</v>
      </c>
      <c r="L808" s="5">
        <f t="shared" si="49"/>
        <v>0</v>
      </c>
    </row>
    <row r="809" spans="1:12" x14ac:dyDescent="0.25">
      <c r="A809" s="2">
        <v>44960</v>
      </c>
      <c r="B809" s="3">
        <v>18.329999999999998</v>
      </c>
      <c r="C809" s="3">
        <f t="shared" si="50"/>
        <v>18.329999999999998</v>
      </c>
      <c r="D809" s="3">
        <v>4136.4799999999996</v>
      </c>
      <c r="E809" s="3">
        <f t="shared" si="51"/>
        <v>4136.4799999999996</v>
      </c>
      <c r="F809" s="3">
        <f>MAX($E$2:E809)</f>
        <v>4796.5600000000004</v>
      </c>
      <c r="G809" s="3">
        <f t="shared" si="48"/>
        <v>-13.761529095852044</v>
      </c>
      <c r="I809" s="2">
        <v>44638</v>
      </c>
      <c r="J809" s="3">
        <f>IFERROR(VLOOKUP(I809,$A$1:$G$1610,3,FALSE),J808)</f>
        <v>23.87</v>
      </c>
      <c r="K809" s="3">
        <f>IFERROR(VLOOKUP(I809,$A$1:$G$1610,7,FALSE),K808)</f>
        <v>-6.9516486815551239</v>
      </c>
      <c r="L809" s="5">
        <f t="shared" si="49"/>
        <v>0</v>
      </c>
    </row>
    <row r="810" spans="1:12" x14ac:dyDescent="0.25">
      <c r="A810" s="2">
        <v>44963</v>
      </c>
      <c r="B810" s="3">
        <v>19.43</v>
      </c>
      <c r="C810" s="3">
        <f t="shared" si="50"/>
        <v>19.43</v>
      </c>
      <c r="D810" s="3">
        <v>4111.08</v>
      </c>
      <c r="E810" s="3">
        <f t="shared" si="51"/>
        <v>4111.08</v>
      </c>
      <c r="F810" s="3">
        <f>MAX($E$2:E810)</f>
        <v>4796.5600000000004</v>
      </c>
      <c r="G810" s="3">
        <f t="shared" si="48"/>
        <v>-14.291075270610612</v>
      </c>
      <c r="I810" s="2">
        <v>44639</v>
      </c>
      <c r="J810" s="3">
        <f>IFERROR(VLOOKUP(I810,$A$1:$G$1610,3,FALSE),J809)</f>
        <v>23.87</v>
      </c>
      <c r="K810" s="3">
        <f>IFERROR(VLOOKUP(I810,$A$1:$G$1610,7,FALSE),K809)</f>
        <v>-6.9516486815551239</v>
      </c>
      <c r="L810" s="5">
        <f t="shared" si="49"/>
        <v>0</v>
      </c>
    </row>
    <row r="811" spans="1:12" x14ac:dyDescent="0.25">
      <c r="A811" s="2">
        <v>44964</v>
      </c>
      <c r="B811" s="3">
        <v>18.66</v>
      </c>
      <c r="C811" s="3">
        <f t="shared" si="50"/>
        <v>18.66</v>
      </c>
      <c r="D811" s="3">
        <v>4164</v>
      </c>
      <c r="E811" s="3">
        <f t="shared" si="51"/>
        <v>4164</v>
      </c>
      <c r="F811" s="3">
        <f>MAX($E$2:E811)</f>
        <v>4796.5600000000004</v>
      </c>
      <c r="G811" s="3">
        <f t="shared" si="48"/>
        <v>-13.187784578948254</v>
      </c>
      <c r="I811" s="2">
        <v>44640</v>
      </c>
      <c r="J811" s="3">
        <f>IFERROR(VLOOKUP(I811,$A$1:$G$1610,3,FALSE),J810)</f>
        <v>23.87</v>
      </c>
      <c r="K811" s="3">
        <f>IFERROR(VLOOKUP(I811,$A$1:$G$1610,7,FALSE),K810)</f>
        <v>-6.9516486815551239</v>
      </c>
      <c r="L811" s="5">
        <f t="shared" si="49"/>
        <v>0</v>
      </c>
    </row>
    <row r="812" spans="1:12" x14ac:dyDescent="0.25">
      <c r="A812" s="2">
        <v>44965</v>
      </c>
      <c r="B812" s="3">
        <v>19.63</v>
      </c>
      <c r="C812" s="3">
        <f t="shared" si="50"/>
        <v>19.63</v>
      </c>
      <c r="D812" s="3">
        <v>4117.8599999999997</v>
      </c>
      <c r="E812" s="3">
        <f t="shared" si="51"/>
        <v>4117.8599999999997</v>
      </c>
      <c r="F812" s="3">
        <f>MAX($E$2:E812)</f>
        <v>4796.5600000000004</v>
      </c>
      <c r="G812" s="3">
        <f t="shared" si="48"/>
        <v>-14.149723968844352</v>
      </c>
      <c r="I812" s="2">
        <v>44641</v>
      </c>
      <c r="J812" s="3">
        <f>IFERROR(VLOOKUP(I812,$A$1:$G$1610,3,FALSE),J811)</f>
        <v>23.53</v>
      </c>
      <c r="K812" s="3">
        <f>IFERROR(VLOOKUP(I812,$A$1:$G$1610,7,FALSE),K811)</f>
        <v>-6.9920943342728972</v>
      </c>
      <c r="L812" s="5">
        <f t="shared" si="49"/>
        <v>0</v>
      </c>
    </row>
    <row r="813" spans="1:12" x14ac:dyDescent="0.25">
      <c r="A813" s="2">
        <v>44966</v>
      </c>
      <c r="B813" s="3">
        <v>20.71</v>
      </c>
      <c r="C813" s="3">
        <f t="shared" si="50"/>
        <v>20.71</v>
      </c>
      <c r="D813" s="3">
        <v>4081.5</v>
      </c>
      <c r="E813" s="3">
        <f t="shared" si="51"/>
        <v>4081.5</v>
      </c>
      <c r="F813" s="3">
        <f>MAX($E$2:E813)</f>
        <v>4796.5600000000004</v>
      </c>
      <c r="G813" s="3">
        <f t="shared" si="48"/>
        <v>-14.907767233183788</v>
      </c>
      <c r="I813" s="2">
        <v>44642</v>
      </c>
      <c r="J813" s="3">
        <f>IFERROR(VLOOKUP(I813,$A$1:$G$1610,3,FALSE),J812)</f>
        <v>22.94</v>
      </c>
      <c r="K813" s="3">
        <f>IFERROR(VLOOKUP(I813,$A$1:$G$1610,7,FALSE),K812)</f>
        <v>-5.9407158463565697</v>
      </c>
      <c r="L813" s="5">
        <f t="shared" si="49"/>
        <v>0</v>
      </c>
    </row>
    <row r="814" spans="1:12" x14ac:dyDescent="0.25">
      <c r="A814" s="2">
        <v>44967</v>
      </c>
      <c r="B814" s="3">
        <v>20.53</v>
      </c>
      <c r="C814" s="3">
        <f t="shared" si="50"/>
        <v>20.53</v>
      </c>
      <c r="D814" s="3">
        <v>4090.46</v>
      </c>
      <c r="E814" s="3">
        <f t="shared" si="51"/>
        <v>4090.46</v>
      </c>
      <c r="F814" s="3">
        <f>MAX($E$2:E814)</f>
        <v>4796.5600000000004</v>
      </c>
      <c r="G814" s="3">
        <f t="shared" si="48"/>
        <v>-14.720966692796511</v>
      </c>
      <c r="I814" s="2">
        <v>44643</v>
      </c>
      <c r="J814" s="3">
        <f>IFERROR(VLOOKUP(I814,$A$1:$G$1610,3,FALSE),J813)</f>
        <v>23.57</v>
      </c>
      <c r="K814" s="3">
        <f>IFERROR(VLOOKUP(I814,$A$1:$G$1610,7,FALSE),K813)</f>
        <v>-7.0950848107810716</v>
      </c>
      <c r="L814" s="5">
        <f t="shared" si="49"/>
        <v>0</v>
      </c>
    </row>
    <row r="815" spans="1:12" x14ac:dyDescent="0.25">
      <c r="A815" s="2">
        <v>44970</v>
      </c>
      <c r="B815" s="3">
        <v>20.34</v>
      </c>
      <c r="C815" s="3">
        <f t="shared" si="50"/>
        <v>20.34</v>
      </c>
      <c r="D815" s="3">
        <v>4137.29</v>
      </c>
      <c r="E815" s="3">
        <f t="shared" si="51"/>
        <v>4137.29</v>
      </c>
      <c r="F815" s="3">
        <f>MAX($E$2:E815)</f>
        <v>4796.5600000000004</v>
      </c>
      <c r="G815" s="3">
        <f t="shared" si="48"/>
        <v>-13.744641993428633</v>
      </c>
      <c r="I815" s="2">
        <v>44644</v>
      </c>
      <c r="J815" s="3">
        <f>IFERROR(VLOOKUP(I815,$A$1:$G$1610,3,FALSE),J814)</f>
        <v>21.67</v>
      </c>
      <c r="K815" s="3">
        <f>IFERROR(VLOOKUP(I815,$A$1:$G$1610,7,FALSE),K814)</f>
        <v>-5.7624630985539742</v>
      </c>
      <c r="L815" s="5">
        <f t="shared" si="49"/>
        <v>0</v>
      </c>
    </row>
    <row r="816" spans="1:12" x14ac:dyDescent="0.25">
      <c r="A816" s="2">
        <v>44971</v>
      </c>
      <c r="B816" s="3">
        <v>18.91</v>
      </c>
      <c r="C816" s="3">
        <f t="shared" si="50"/>
        <v>18.91</v>
      </c>
      <c r="D816" s="3">
        <v>4136.13</v>
      </c>
      <c r="E816" s="3">
        <f t="shared" si="51"/>
        <v>4136.13</v>
      </c>
      <c r="F816" s="3">
        <f>MAX($E$2:E816)</f>
        <v>4796.5600000000004</v>
      </c>
      <c r="G816" s="3">
        <f t="shared" si="48"/>
        <v>-13.76882599196091</v>
      </c>
      <c r="I816" s="2">
        <v>44645</v>
      </c>
      <c r="J816" s="3">
        <f>IFERROR(VLOOKUP(I816,$A$1:$G$1610,3,FALSE),J815)</f>
        <v>20.81</v>
      </c>
      <c r="K816" s="3">
        <f>IFERROR(VLOOKUP(I816,$A$1:$G$1610,7,FALSE),K815)</f>
        <v>-5.2850376102873717</v>
      </c>
      <c r="L816" s="5">
        <f t="shared" si="49"/>
        <v>0</v>
      </c>
    </row>
    <row r="817" spans="1:12" x14ac:dyDescent="0.25">
      <c r="A817" s="2">
        <v>44972</v>
      </c>
      <c r="B817" s="3">
        <v>18.23</v>
      </c>
      <c r="C817" s="3">
        <f t="shared" si="50"/>
        <v>18.23</v>
      </c>
      <c r="D817" s="3">
        <v>4147.6000000000004</v>
      </c>
      <c r="E817" s="3">
        <f t="shared" si="51"/>
        <v>4147.6000000000004</v>
      </c>
      <c r="F817" s="3">
        <f>MAX($E$2:E817)</f>
        <v>4796.5600000000004</v>
      </c>
      <c r="G817" s="3">
        <f t="shared" si="48"/>
        <v>-13.529696282335674</v>
      </c>
      <c r="I817" s="2">
        <v>44646</v>
      </c>
      <c r="J817" s="3">
        <f>IFERROR(VLOOKUP(I817,$A$1:$G$1610,3,FALSE),J816)</f>
        <v>20.81</v>
      </c>
      <c r="K817" s="3">
        <f>IFERROR(VLOOKUP(I817,$A$1:$G$1610,7,FALSE),K816)</f>
        <v>-5.2850376102873717</v>
      </c>
      <c r="L817" s="5">
        <f t="shared" si="49"/>
        <v>0</v>
      </c>
    </row>
    <row r="818" spans="1:12" x14ac:dyDescent="0.25">
      <c r="A818" s="2">
        <v>44973</v>
      </c>
      <c r="B818" s="3">
        <v>20.170000000000002</v>
      </c>
      <c r="C818" s="3">
        <f t="shared" si="50"/>
        <v>20.170000000000002</v>
      </c>
      <c r="D818" s="3">
        <v>4090.41</v>
      </c>
      <c r="E818" s="3">
        <f t="shared" si="51"/>
        <v>4090.41</v>
      </c>
      <c r="F818" s="3">
        <f>MAX($E$2:E818)</f>
        <v>4796.5600000000004</v>
      </c>
      <c r="G818" s="3">
        <f t="shared" si="48"/>
        <v>-14.722009106526354</v>
      </c>
      <c r="I818" s="2">
        <v>44647</v>
      </c>
      <c r="J818" s="3">
        <f>IFERROR(VLOOKUP(I818,$A$1:$G$1610,3,FALSE),J817)</f>
        <v>20.81</v>
      </c>
      <c r="K818" s="3">
        <f>IFERROR(VLOOKUP(I818,$A$1:$G$1610,7,FALSE),K817)</f>
        <v>-5.2850376102873717</v>
      </c>
      <c r="L818" s="5">
        <f t="shared" si="49"/>
        <v>0</v>
      </c>
    </row>
    <row r="819" spans="1:12" x14ac:dyDescent="0.25">
      <c r="A819" s="2">
        <v>44974</v>
      </c>
      <c r="B819" s="3">
        <v>20.02</v>
      </c>
      <c r="C819" s="3">
        <f t="shared" si="50"/>
        <v>20.02</v>
      </c>
      <c r="D819" s="3">
        <v>4079.09</v>
      </c>
      <c r="E819" s="3">
        <f t="shared" si="51"/>
        <v>4079.09</v>
      </c>
      <c r="F819" s="3">
        <f>MAX($E$2:E819)</f>
        <v>4796.5600000000004</v>
      </c>
      <c r="G819" s="3">
        <f t="shared" si="48"/>
        <v>-14.958011574962061</v>
      </c>
      <c r="I819" s="2">
        <v>44648</v>
      </c>
      <c r="J819" s="3">
        <f>IFERROR(VLOOKUP(I819,$A$1:$G$1610,3,FALSE),J818)</f>
        <v>19.63</v>
      </c>
      <c r="K819" s="3">
        <f>IFERROR(VLOOKUP(I819,$A$1:$G$1610,7,FALSE),K818)</f>
        <v>-4.6083026168754255</v>
      </c>
      <c r="L819" s="5">
        <f t="shared" si="49"/>
        <v>0</v>
      </c>
    </row>
    <row r="820" spans="1:12" x14ac:dyDescent="0.25">
      <c r="A820" s="2">
        <v>44977</v>
      </c>
      <c r="B820" s="3">
        <v>21.23</v>
      </c>
      <c r="C820" s="3">
        <f t="shared" si="50"/>
        <v>21.23</v>
      </c>
      <c r="E820" s="3">
        <f t="shared" si="51"/>
        <v>4079.09</v>
      </c>
      <c r="F820" s="3">
        <f>MAX($E$2:E820)</f>
        <v>4796.5600000000004</v>
      </c>
      <c r="G820" s="3">
        <f t="shared" si="48"/>
        <v>-14.958011574962061</v>
      </c>
      <c r="I820" s="2">
        <v>44649</v>
      </c>
      <c r="J820" s="3">
        <f>IFERROR(VLOOKUP(I820,$A$1:$G$1610,3,FALSE),J819)</f>
        <v>18.899999999999999</v>
      </c>
      <c r="K820" s="3">
        <f>IFERROR(VLOOKUP(I820,$A$1:$G$1610,7,FALSE),K819)</f>
        <v>-3.4391313774871999</v>
      </c>
      <c r="L820" s="5">
        <f t="shared" si="49"/>
        <v>0</v>
      </c>
    </row>
    <row r="821" spans="1:12" x14ac:dyDescent="0.25">
      <c r="A821" s="2">
        <v>44978</v>
      </c>
      <c r="B821" s="3">
        <v>22.87</v>
      </c>
      <c r="C821" s="3">
        <f t="shared" si="50"/>
        <v>22.87</v>
      </c>
      <c r="D821" s="3">
        <v>3997.34</v>
      </c>
      <c r="E821" s="3">
        <f t="shared" si="51"/>
        <v>3997.34</v>
      </c>
      <c r="F821" s="3">
        <f>MAX($E$2:E821)</f>
        <v>4796.5600000000004</v>
      </c>
      <c r="G821" s="3">
        <f t="shared" si="48"/>
        <v>-16.662358023249997</v>
      </c>
      <c r="I821" s="2">
        <v>44650</v>
      </c>
      <c r="J821" s="3">
        <f>IFERROR(VLOOKUP(I821,$A$1:$G$1610,3,FALSE),J820)</f>
        <v>19.329999999999998</v>
      </c>
      <c r="K821" s="3">
        <f>IFERROR(VLOOKUP(I821,$A$1:$G$1610,7,FALSE),K820)</f>
        <v>-4.0468585819837672</v>
      </c>
      <c r="L821" s="5">
        <f t="shared" si="49"/>
        <v>0</v>
      </c>
    </row>
    <row r="822" spans="1:12" x14ac:dyDescent="0.25">
      <c r="A822" s="2">
        <v>44979</v>
      </c>
      <c r="B822" s="3">
        <v>22.29</v>
      </c>
      <c r="C822" s="3">
        <f t="shared" si="50"/>
        <v>22.29</v>
      </c>
      <c r="D822" s="3">
        <v>3991.05</v>
      </c>
      <c r="E822" s="3">
        <f t="shared" si="51"/>
        <v>3991.05</v>
      </c>
      <c r="F822" s="3">
        <f>MAX($E$2:E822)</f>
        <v>4796.5600000000004</v>
      </c>
      <c r="G822" s="3">
        <f t="shared" si="48"/>
        <v>-16.793493670463835</v>
      </c>
      <c r="I822" s="2">
        <v>44651</v>
      </c>
      <c r="J822" s="3">
        <f>IFERROR(VLOOKUP(I822,$A$1:$G$1610,3,FALSE),J821)</f>
        <v>20.56</v>
      </c>
      <c r="K822" s="3">
        <f>IFERROR(VLOOKUP(I822,$A$1:$G$1610,7,FALSE),K821)</f>
        <v>-5.5487682839368322</v>
      </c>
      <c r="L822" s="5">
        <f t="shared" si="49"/>
        <v>0</v>
      </c>
    </row>
    <row r="823" spans="1:12" x14ac:dyDescent="0.25">
      <c r="A823" s="2">
        <v>44980</v>
      </c>
      <c r="B823" s="3">
        <v>21.14</v>
      </c>
      <c r="C823" s="3">
        <f t="shared" si="50"/>
        <v>21.14</v>
      </c>
      <c r="D823" s="3">
        <v>4012.32</v>
      </c>
      <c r="E823" s="3">
        <f t="shared" si="51"/>
        <v>4012.32</v>
      </c>
      <c r="F823" s="3">
        <f>MAX($E$2:E823)</f>
        <v>4796.5600000000004</v>
      </c>
      <c r="G823" s="3">
        <f t="shared" si="48"/>
        <v>-16.350050869790021</v>
      </c>
      <c r="I823" s="2">
        <v>44652</v>
      </c>
      <c r="J823" s="3">
        <f>IFERROR(VLOOKUP(I823,$A$1:$G$1610,3,FALSE),J822)</f>
        <v>19.63</v>
      </c>
      <c r="K823" s="3">
        <f>IFERROR(VLOOKUP(I823,$A$1:$G$1610,7,FALSE),K822)</f>
        <v>-5.2266624414163632</v>
      </c>
      <c r="L823" s="5">
        <f t="shared" si="49"/>
        <v>0</v>
      </c>
    </row>
    <row r="824" spans="1:12" x14ac:dyDescent="0.25">
      <c r="A824" s="2">
        <v>44981</v>
      </c>
      <c r="B824" s="3">
        <v>21.67</v>
      </c>
      <c r="C824" s="3">
        <f t="shared" si="50"/>
        <v>21.67</v>
      </c>
      <c r="D824" s="3">
        <v>3970.04</v>
      </c>
      <c r="E824" s="3">
        <f t="shared" si="51"/>
        <v>3970.04</v>
      </c>
      <c r="F824" s="3">
        <f>MAX($E$2:E824)</f>
        <v>4796.5600000000004</v>
      </c>
      <c r="G824" s="3">
        <f t="shared" si="48"/>
        <v>-17.231515919742492</v>
      </c>
      <c r="I824" s="2">
        <v>44653</v>
      </c>
      <c r="J824" s="3">
        <f>IFERROR(VLOOKUP(I824,$A$1:$G$1610,3,FALSE),J823)</f>
        <v>19.63</v>
      </c>
      <c r="K824" s="3">
        <f>IFERROR(VLOOKUP(I824,$A$1:$G$1610,7,FALSE),K823)</f>
        <v>-5.2266624414163632</v>
      </c>
      <c r="L824" s="5">
        <f t="shared" si="49"/>
        <v>0</v>
      </c>
    </row>
    <row r="825" spans="1:12" x14ac:dyDescent="0.25">
      <c r="A825" s="2">
        <v>44984</v>
      </c>
      <c r="B825" s="3">
        <v>20.95</v>
      </c>
      <c r="C825" s="3">
        <f t="shared" si="50"/>
        <v>20.95</v>
      </c>
      <c r="D825" s="3">
        <v>3982.24</v>
      </c>
      <c r="E825" s="3">
        <f t="shared" si="51"/>
        <v>3982.24</v>
      </c>
      <c r="F825" s="3">
        <f>MAX($E$2:E825)</f>
        <v>4796.5600000000004</v>
      </c>
      <c r="G825" s="3">
        <f t="shared" si="48"/>
        <v>-16.977166969661603</v>
      </c>
      <c r="I825" s="2">
        <v>44654</v>
      </c>
      <c r="J825" s="3">
        <f>IFERROR(VLOOKUP(I825,$A$1:$G$1610,3,FALSE),J824)</f>
        <v>19.63</v>
      </c>
      <c r="K825" s="3">
        <f>IFERROR(VLOOKUP(I825,$A$1:$G$1610,7,FALSE),K824)</f>
        <v>-5.2266624414163632</v>
      </c>
      <c r="L825" s="5">
        <f t="shared" si="49"/>
        <v>0</v>
      </c>
    </row>
    <row r="826" spans="1:12" x14ac:dyDescent="0.25">
      <c r="A826" s="2">
        <v>44985</v>
      </c>
      <c r="B826" s="3">
        <v>20.7</v>
      </c>
      <c r="C826" s="3">
        <f t="shared" si="50"/>
        <v>20.7</v>
      </c>
      <c r="D826" s="3">
        <v>3970.15</v>
      </c>
      <c r="E826" s="3">
        <f t="shared" si="51"/>
        <v>3970.15</v>
      </c>
      <c r="F826" s="3">
        <f>MAX($E$2:E826)</f>
        <v>4796.5600000000004</v>
      </c>
      <c r="G826" s="3">
        <f t="shared" si="48"/>
        <v>-17.229222609536841</v>
      </c>
      <c r="I826" s="2">
        <v>44655</v>
      </c>
      <c r="J826" s="3">
        <f>IFERROR(VLOOKUP(I826,$A$1:$G$1610,3,FALSE),J825)</f>
        <v>18.57</v>
      </c>
      <c r="K826" s="3">
        <f>IFERROR(VLOOKUP(I826,$A$1:$G$1610,7,FALSE),K825)</f>
        <v>-4.4598629017462521</v>
      </c>
      <c r="L826" s="5">
        <f t="shared" si="49"/>
        <v>0</v>
      </c>
    </row>
    <row r="827" spans="1:12" x14ac:dyDescent="0.25">
      <c r="A827" s="2">
        <v>44986</v>
      </c>
      <c r="B827" s="3">
        <v>20.58</v>
      </c>
      <c r="C827" s="3">
        <f t="shared" si="50"/>
        <v>20.58</v>
      </c>
      <c r="D827" s="3">
        <v>3951.39</v>
      </c>
      <c r="E827" s="3">
        <f t="shared" si="51"/>
        <v>3951.39</v>
      </c>
      <c r="F827" s="3">
        <f>MAX($E$2:E827)</f>
        <v>4796.5600000000004</v>
      </c>
      <c r="G827" s="3">
        <f t="shared" si="48"/>
        <v>-17.620336240972705</v>
      </c>
      <c r="I827" s="2">
        <v>44656</v>
      </c>
      <c r="J827" s="3">
        <f>IFERROR(VLOOKUP(I827,$A$1:$G$1610,3,FALSE),J826)</f>
        <v>21.03</v>
      </c>
      <c r="K827" s="3">
        <f>IFERROR(VLOOKUP(I827,$A$1:$G$1610,7,FALSE),K826)</f>
        <v>-5.659055656553873</v>
      </c>
      <c r="L827" s="5">
        <f t="shared" si="49"/>
        <v>0</v>
      </c>
    </row>
    <row r="828" spans="1:12" x14ac:dyDescent="0.25">
      <c r="A828" s="2">
        <v>44987</v>
      </c>
      <c r="B828" s="3">
        <v>19.59</v>
      </c>
      <c r="C828" s="3">
        <f t="shared" si="50"/>
        <v>19.59</v>
      </c>
      <c r="D828" s="3">
        <v>3981.35</v>
      </c>
      <c r="E828" s="3">
        <f t="shared" si="51"/>
        <v>3981.35</v>
      </c>
      <c r="F828" s="3">
        <f>MAX($E$2:E828)</f>
        <v>4796.5600000000004</v>
      </c>
      <c r="G828" s="3">
        <f t="shared" si="48"/>
        <v>-16.995721934052746</v>
      </c>
      <c r="I828" s="2">
        <v>44657</v>
      </c>
      <c r="J828" s="3">
        <f>IFERROR(VLOOKUP(I828,$A$1:$G$1610,3,FALSE),J827)</f>
        <v>22.1</v>
      </c>
      <c r="K828" s="3">
        <f>IFERROR(VLOOKUP(I828,$A$1:$G$1610,7,FALSE),K827)</f>
        <v>-6.5757542905749267</v>
      </c>
      <c r="L828" s="5">
        <f t="shared" si="49"/>
        <v>0</v>
      </c>
    </row>
    <row r="829" spans="1:12" x14ac:dyDescent="0.25">
      <c r="A829" s="2">
        <v>44988</v>
      </c>
      <c r="B829" s="3">
        <v>18.489999999999998</v>
      </c>
      <c r="C829" s="3">
        <f t="shared" si="50"/>
        <v>18.489999999999998</v>
      </c>
      <c r="D829" s="3">
        <v>4045.64</v>
      </c>
      <c r="E829" s="3">
        <f t="shared" si="51"/>
        <v>4045.64</v>
      </c>
      <c r="F829" s="3">
        <f>MAX($E$2:E829)</f>
        <v>4796.5600000000004</v>
      </c>
      <c r="G829" s="3">
        <f t="shared" si="48"/>
        <v>-15.655386360224838</v>
      </c>
      <c r="I829" s="2">
        <v>44658</v>
      </c>
      <c r="J829" s="3">
        <f>IFERROR(VLOOKUP(I829,$A$1:$G$1610,3,FALSE),J828)</f>
        <v>21.55</v>
      </c>
      <c r="K829" s="3">
        <f>IFERROR(VLOOKUP(I829,$A$1:$G$1610,7,FALSE),K828)</f>
        <v>-6.1783861767600188</v>
      </c>
      <c r="L829" s="5">
        <f t="shared" si="49"/>
        <v>0</v>
      </c>
    </row>
    <row r="830" spans="1:12" x14ac:dyDescent="0.25">
      <c r="A830" s="2">
        <v>44991</v>
      </c>
      <c r="B830" s="3">
        <v>18.61</v>
      </c>
      <c r="C830" s="3">
        <f t="shared" si="50"/>
        <v>18.61</v>
      </c>
      <c r="D830" s="3">
        <v>4048.42</v>
      </c>
      <c r="E830" s="3">
        <f t="shared" si="51"/>
        <v>4048.42</v>
      </c>
      <c r="F830" s="3">
        <f>MAX($E$2:E830)</f>
        <v>4796.5600000000004</v>
      </c>
      <c r="G830" s="3">
        <f t="shared" si="48"/>
        <v>-15.597428156845744</v>
      </c>
      <c r="I830" s="2">
        <v>44659</v>
      </c>
      <c r="J830" s="3">
        <f>IFERROR(VLOOKUP(I830,$A$1:$G$1610,3,FALSE),J829)</f>
        <v>21.16</v>
      </c>
      <c r="K830" s="3">
        <f>IFERROR(VLOOKUP(I830,$A$1:$G$1610,7,FALSE),K829)</f>
        <v>-6.4271060926997814</v>
      </c>
      <c r="L830" s="5">
        <f t="shared" si="49"/>
        <v>0</v>
      </c>
    </row>
    <row r="831" spans="1:12" x14ac:dyDescent="0.25">
      <c r="A831" s="2">
        <v>44992</v>
      </c>
      <c r="B831" s="3">
        <v>19.59</v>
      </c>
      <c r="C831" s="3">
        <f t="shared" si="50"/>
        <v>19.59</v>
      </c>
      <c r="D831" s="3">
        <v>3986.37</v>
      </c>
      <c r="E831" s="3">
        <f t="shared" si="51"/>
        <v>3986.37</v>
      </c>
      <c r="F831" s="3">
        <f>MAX($E$2:E831)</f>
        <v>4796.5600000000004</v>
      </c>
      <c r="G831" s="3">
        <f t="shared" si="48"/>
        <v>-16.891063595576838</v>
      </c>
      <c r="I831" s="2">
        <v>44660</v>
      </c>
      <c r="J831" s="3">
        <f>IFERROR(VLOOKUP(I831,$A$1:$G$1610,3,FALSE),J830)</f>
        <v>21.16</v>
      </c>
      <c r="K831" s="3">
        <f>IFERROR(VLOOKUP(I831,$A$1:$G$1610,7,FALSE),K830)</f>
        <v>-6.4271060926997814</v>
      </c>
      <c r="L831" s="5">
        <f t="shared" si="49"/>
        <v>0</v>
      </c>
    </row>
    <row r="832" spans="1:12" x14ac:dyDescent="0.25">
      <c r="A832" s="2">
        <v>44993</v>
      </c>
      <c r="B832" s="3">
        <v>19.11</v>
      </c>
      <c r="C832" s="3">
        <f t="shared" si="50"/>
        <v>19.11</v>
      </c>
      <c r="D832" s="3">
        <v>3992.01</v>
      </c>
      <c r="E832" s="3">
        <f t="shared" si="51"/>
        <v>3992.01</v>
      </c>
      <c r="F832" s="3">
        <f>MAX($E$2:E832)</f>
        <v>4796.5600000000004</v>
      </c>
      <c r="G832" s="3">
        <f t="shared" si="48"/>
        <v>-16.773479326850911</v>
      </c>
      <c r="I832" s="2">
        <v>44661</v>
      </c>
      <c r="J832" s="3">
        <f>IFERROR(VLOOKUP(I832,$A$1:$G$1610,3,FALSE),J831)</f>
        <v>21.16</v>
      </c>
      <c r="K832" s="3">
        <f>IFERROR(VLOOKUP(I832,$A$1:$G$1610,7,FALSE),K831)</f>
        <v>-6.4271060926997814</v>
      </c>
      <c r="L832" s="5">
        <f t="shared" si="49"/>
        <v>0</v>
      </c>
    </row>
    <row r="833" spans="1:12" x14ac:dyDescent="0.25">
      <c r="A833" s="2">
        <v>44994</v>
      </c>
      <c r="B833" s="3">
        <v>22.61</v>
      </c>
      <c r="C833" s="3">
        <f t="shared" si="50"/>
        <v>22.61</v>
      </c>
      <c r="D833" s="3">
        <v>3918.32</v>
      </c>
      <c r="E833" s="3">
        <f t="shared" si="51"/>
        <v>3918.32</v>
      </c>
      <c r="F833" s="3">
        <f>MAX($E$2:E833)</f>
        <v>4796.5600000000004</v>
      </c>
      <c r="G833" s="3">
        <f t="shared" si="48"/>
        <v>-18.309788681888691</v>
      </c>
      <c r="I833" s="2">
        <v>44662</v>
      </c>
      <c r="J833" s="3">
        <f>IFERROR(VLOOKUP(I833,$A$1:$G$1610,3,FALSE),J832)</f>
        <v>24.37</v>
      </c>
      <c r="K833" s="3">
        <f>IFERROR(VLOOKUP(I833,$A$1:$G$1610,7,FALSE),K832)</f>
        <v>-8.0063628934069548</v>
      </c>
      <c r="L833" s="5">
        <f t="shared" si="49"/>
        <v>0</v>
      </c>
    </row>
    <row r="834" spans="1:12" x14ac:dyDescent="0.25">
      <c r="A834" s="2">
        <v>44995</v>
      </c>
      <c r="B834" s="3">
        <v>24.8</v>
      </c>
      <c r="C834" s="3">
        <f t="shared" si="50"/>
        <v>24.8</v>
      </c>
      <c r="D834" s="3">
        <v>3861.59</v>
      </c>
      <c r="E834" s="3">
        <f t="shared" si="51"/>
        <v>3861.59</v>
      </c>
      <c r="F834" s="3">
        <f>MAX($E$2:E834)</f>
        <v>4796.5600000000004</v>
      </c>
      <c r="G834" s="3">
        <f t="shared" ref="G834:G897" si="52">(E834-F834)/F834*100</f>
        <v>-19.492511299764836</v>
      </c>
      <c r="I834" s="2">
        <v>44663</v>
      </c>
      <c r="J834" s="3">
        <f>IFERROR(VLOOKUP(I834,$A$1:$G$1610,3,FALSE),J833)</f>
        <v>24.26</v>
      </c>
      <c r="K834" s="3">
        <f>IFERROR(VLOOKUP(I834,$A$1:$G$1610,7,FALSE),K833)</f>
        <v>-8.320754874326612</v>
      </c>
      <c r="L834" s="5">
        <f t="shared" ref="L834:L897" si="53">IF(OR(J834&gt;=30,K834&lt;-10),1,0)</f>
        <v>0</v>
      </c>
    </row>
    <row r="835" spans="1:12" x14ac:dyDescent="0.25">
      <c r="A835" s="2">
        <v>44998</v>
      </c>
      <c r="B835" s="3">
        <v>26.52</v>
      </c>
      <c r="C835" s="3">
        <f t="shared" ref="C835:C898" si="54">IF(B835="",B834,B835)</f>
        <v>26.52</v>
      </c>
      <c r="D835" s="3">
        <v>3855.76</v>
      </c>
      <c r="E835" s="3">
        <f t="shared" si="51"/>
        <v>3855.76</v>
      </c>
      <c r="F835" s="3">
        <f>MAX($E$2:E835)</f>
        <v>4796.5600000000004</v>
      </c>
      <c r="G835" s="3">
        <f t="shared" si="52"/>
        <v>-19.614056740664147</v>
      </c>
      <c r="I835" s="2">
        <v>44664</v>
      </c>
      <c r="J835" s="3">
        <f>IFERROR(VLOOKUP(I835,$A$1:$G$1610,3,FALSE),J834)</f>
        <v>21.82</v>
      </c>
      <c r="K835" s="3">
        <f>IFERROR(VLOOKUP(I835,$A$1:$G$1610,7,FALSE),K834)</f>
        <v>-7.2962706606401309</v>
      </c>
      <c r="L835" s="5">
        <f t="shared" si="53"/>
        <v>0</v>
      </c>
    </row>
    <row r="836" spans="1:12" x14ac:dyDescent="0.25">
      <c r="A836" s="2">
        <v>44999</v>
      </c>
      <c r="B836" s="3">
        <v>23.73</v>
      </c>
      <c r="C836" s="3">
        <f t="shared" si="54"/>
        <v>23.73</v>
      </c>
      <c r="D836" s="3">
        <v>3919.29</v>
      </c>
      <c r="E836" s="3">
        <f t="shared" si="51"/>
        <v>3919.29</v>
      </c>
      <c r="F836" s="3">
        <f>MAX($E$2:E836)</f>
        <v>4796.5600000000004</v>
      </c>
      <c r="G836" s="3">
        <f t="shared" si="52"/>
        <v>-18.289565855529805</v>
      </c>
      <c r="I836" s="2">
        <v>44665</v>
      </c>
      <c r="J836" s="3">
        <f>IFERROR(VLOOKUP(I836,$A$1:$G$1610,3,FALSE),J835)</f>
        <v>22.7</v>
      </c>
      <c r="K836" s="3">
        <f>IFERROR(VLOOKUP(I836,$A$1:$G$1610,7,FALSE),K835)</f>
        <v>-8.4220774888670267</v>
      </c>
      <c r="L836" s="5">
        <f t="shared" si="53"/>
        <v>0</v>
      </c>
    </row>
    <row r="837" spans="1:12" x14ac:dyDescent="0.25">
      <c r="A837" s="2">
        <v>45000</v>
      </c>
      <c r="B837" s="3">
        <v>26.14</v>
      </c>
      <c r="C837" s="3">
        <f t="shared" si="54"/>
        <v>26.14</v>
      </c>
      <c r="D837" s="3">
        <v>3891.93</v>
      </c>
      <c r="E837" s="3">
        <f t="shared" ref="E837:E900" si="55">IF(D837="",D836,D837)</f>
        <v>3891.93</v>
      </c>
      <c r="F837" s="3">
        <f>MAX($E$2:E837)</f>
        <v>4796.5600000000004</v>
      </c>
      <c r="G837" s="3">
        <f t="shared" si="52"/>
        <v>-18.859974648498103</v>
      </c>
      <c r="I837" s="2">
        <v>44666</v>
      </c>
      <c r="J837" s="3">
        <f>IFERROR(VLOOKUP(I837,$A$1:$G$1610,3,FALSE),J836)</f>
        <v>22.7</v>
      </c>
      <c r="K837" s="3">
        <f>IFERROR(VLOOKUP(I837,$A$1:$G$1610,7,FALSE),K836)</f>
        <v>-8.4220774888670267</v>
      </c>
      <c r="L837" s="5">
        <f t="shared" si="53"/>
        <v>0</v>
      </c>
    </row>
    <row r="838" spans="1:12" x14ac:dyDescent="0.25">
      <c r="A838" s="2">
        <v>45001</v>
      </c>
      <c r="B838" s="3">
        <v>22.99</v>
      </c>
      <c r="C838" s="3">
        <f t="shared" si="54"/>
        <v>22.99</v>
      </c>
      <c r="D838" s="3">
        <v>3960.28</v>
      </c>
      <c r="E838" s="3">
        <f t="shared" si="55"/>
        <v>3960.28</v>
      </c>
      <c r="F838" s="3">
        <f>MAX($E$2:E838)</f>
        <v>4796.5600000000004</v>
      </c>
      <c r="G838" s="3">
        <f t="shared" si="52"/>
        <v>-17.434995079807198</v>
      </c>
      <c r="I838" s="2">
        <v>44667</v>
      </c>
      <c r="J838" s="3">
        <f>IFERROR(VLOOKUP(I838,$A$1:$G$1610,3,FALSE),J837)</f>
        <v>22.7</v>
      </c>
      <c r="K838" s="3">
        <f>IFERROR(VLOOKUP(I838,$A$1:$G$1610,7,FALSE),K837)</f>
        <v>-8.4220774888670267</v>
      </c>
      <c r="L838" s="5">
        <f t="shared" si="53"/>
        <v>0</v>
      </c>
    </row>
    <row r="839" spans="1:12" x14ac:dyDescent="0.25">
      <c r="A839" s="2">
        <v>45002</v>
      </c>
      <c r="B839" s="3">
        <v>25.51</v>
      </c>
      <c r="C839" s="3">
        <f t="shared" si="54"/>
        <v>25.51</v>
      </c>
      <c r="D839" s="3">
        <v>3916.64</v>
      </c>
      <c r="E839" s="3">
        <f t="shared" si="55"/>
        <v>3916.64</v>
      </c>
      <c r="F839" s="3">
        <f>MAX($E$2:E839)</f>
        <v>4796.5600000000004</v>
      </c>
      <c r="G839" s="3">
        <f t="shared" si="52"/>
        <v>-18.344813783211311</v>
      </c>
      <c r="I839" s="2">
        <v>44668</v>
      </c>
      <c r="J839" s="3">
        <f>IFERROR(VLOOKUP(I839,$A$1:$G$1610,3,FALSE),J838)</f>
        <v>22.7</v>
      </c>
      <c r="K839" s="3">
        <f>IFERROR(VLOOKUP(I839,$A$1:$G$1610,7,FALSE),K838)</f>
        <v>-8.4220774888670267</v>
      </c>
      <c r="L839" s="5">
        <f t="shared" si="53"/>
        <v>0</v>
      </c>
    </row>
    <row r="840" spans="1:12" x14ac:dyDescent="0.25">
      <c r="A840" s="2">
        <v>45005</v>
      </c>
      <c r="B840" s="3">
        <v>24.15</v>
      </c>
      <c r="C840" s="3">
        <f t="shared" si="54"/>
        <v>24.15</v>
      </c>
      <c r="D840" s="3">
        <v>3951.57</v>
      </c>
      <c r="E840" s="3">
        <f t="shared" si="55"/>
        <v>3951.57</v>
      </c>
      <c r="F840" s="3">
        <f>MAX($E$2:E840)</f>
        <v>4796.5600000000004</v>
      </c>
      <c r="G840" s="3">
        <f t="shared" si="52"/>
        <v>-17.616583551545279</v>
      </c>
      <c r="I840" s="2">
        <v>44669</v>
      </c>
      <c r="J840" s="3">
        <f>IFERROR(VLOOKUP(I840,$A$1:$G$1610,3,FALSE),J839)</f>
        <v>22.17</v>
      </c>
      <c r="K840" s="3">
        <f>IFERROR(VLOOKUP(I840,$A$1:$G$1610,7,FALSE),K839)</f>
        <v>-8.4408409360041521</v>
      </c>
      <c r="L840" s="5">
        <f t="shared" si="53"/>
        <v>0</v>
      </c>
    </row>
    <row r="841" spans="1:12" x14ac:dyDescent="0.25">
      <c r="A841" s="2">
        <v>45006</v>
      </c>
      <c r="B841" s="3">
        <v>21.38</v>
      </c>
      <c r="C841" s="3">
        <f t="shared" si="54"/>
        <v>21.38</v>
      </c>
      <c r="D841" s="3">
        <v>4002.87</v>
      </c>
      <c r="E841" s="3">
        <f t="shared" si="55"/>
        <v>4002.87</v>
      </c>
      <c r="F841" s="3">
        <f>MAX($E$2:E841)</f>
        <v>4796.5600000000004</v>
      </c>
      <c r="G841" s="3">
        <f t="shared" si="52"/>
        <v>-16.547067064729731</v>
      </c>
      <c r="I841" s="2">
        <v>44670</v>
      </c>
      <c r="J841" s="3">
        <f>IFERROR(VLOOKUP(I841,$A$1:$G$1610,3,FALSE),J840)</f>
        <v>21.37</v>
      </c>
      <c r="K841" s="3">
        <f>IFERROR(VLOOKUP(I841,$A$1:$G$1610,7,FALSE),K840)</f>
        <v>-6.9706206114382034</v>
      </c>
      <c r="L841" s="5">
        <f t="shared" si="53"/>
        <v>0</v>
      </c>
    </row>
    <row r="842" spans="1:12" x14ac:dyDescent="0.25">
      <c r="A842" s="2">
        <v>45007</v>
      </c>
      <c r="B842" s="3">
        <v>22.26</v>
      </c>
      <c r="C842" s="3">
        <f t="shared" si="54"/>
        <v>22.26</v>
      </c>
      <c r="D842" s="3">
        <v>3936.97</v>
      </c>
      <c r="E842" s="3">
        <f t="shared" si="55"/>
        <v>3936.97</v>
      </c>
      <c r="F842" s="3">
        <f>MAX($E$2:E842)</f>
        <v>4796.5600000000004</v>
      </c>
      <c r="G842" s="3">
        <f t="shared" si="52"/>
        <v>-17.920968360658481</v>
      </c>
      <c r="I842" s="2">
        <v>44671</v>
      </c>
      <c r="J842" s="3">
        <f>IFERROR(VLOOKUP(I842,$A$1:$G$1610,3,FALSE),J841)</f>
        <v>20.32</v>
      </c>
      <c r="K842" s="3">
        <f>IFERROR(VLOOKUP(I842,$A$1:$G$1610,7,FALSE),K841)</f>
        <v>-7.028161849325361</v>
      </c>
      <c r="L842" s="5">
        <f t="shared" si="53"/>
        <v>0</v>
      </c>
    </row>
    <row r="843" spans="1:12" x14ac:dyDescent="0.25">
      <c r="A843" s="2">
        <v>45008</v>
      </c>
      <c r="B843" s="3">
        <v>22.61</v>
      </c>
      <c r="C843" s="3">
        <f t="shared" si="54"/>
        <v>22.61</v>
      </c>
      <c r="D843" s="3">
        <v>3948.72</v>
      </c>
      <c r="E843" s="3">
        <f t="shared" si="55"/>
        <v>3948.72</v>
      </c>
      <c r="F843" s="3">
        <f>MAX($E$2:E843)</f>
        <v>4796.5600000000004</v>
      </c>
      <c r="G843" s="3">
        <f t="shared" si="52"/>
        <v>-17.676001134146148</v>
      </c>
      <c r="I843" s="2">
        <v>44672</v>
      </c>
      <c r="J843" s="3">
        <f>IFERROR(VLOOKUP(I843,$A$1:$G$1610,3,FALSE),J842)</f>
        <v>22.68</v>
      </c>
      <c r="K843" s="3">
        <f>IFERROR(VLOOKUP(I843,$A$1:$G$1610,7,FALSE),K842)</f>
        <v>-8.3997698350484615</v>
      </c>
      <c r="L843" s="5">
        <f t="shared" si="53"/>
        <v>0</v>
      </c>
    </row>
    <row r="844" spans="1:12" x14ac:dyDescent="0.25">
      <c r="A844" s="2">
        <v>45009</v>
      </c>
      <c r="B844" s="3">
        <v>21.74</v>
      </c>
      <c r="C844" s="3">
        <f t="shared" si="54"/>
        <v>21.74</v>
      </c>
      <c r="D844" s="3">
        <v>3970.99</v>
      </c>
      <c r="E844" s="3">
        <f t="shared" si="55"/>
        <v>3970.99</v>
      </c>
      <c r="F844" s="3">
        <f>MAX($E$2:E844)</f>
        <v>4796.5600000000004</v>
      </c>
      <c r="G844" s="3">
        <f t="shared" si="52"/>
        <v>-17.211710058875539</v>
      </c>
      <c r="I844" s="2">
        <v>44673</v>
      </c>
      <c r="J844" s="3">
        <f>IFERROR(VLOOKUP(I844,$A$1:$G$1610,3,FALSE),J843)</f>
        <v>28.21</v>
      </c>
      <c r="K844" s="3">
        <f>IFERROR(VLOOKUP(I844,$A$1:$G$1610,7,FALSE),K843)</f>
        <v>-10.940757542905761</v>
      </c>
      <c r="L844" s="5">
        <f t="shared" si="53"/>
        <v>1</v>
      </c>
    </row>
    <row r="845" spans="1:12" x14ac:dyDescent="0.25">
      <c r="A845" s="2">
        <v>45012</v>
      </c>
      <c r="B845" s="3">
        <v>20.6</v>
      </c>
      <c r="C845" s="3">
        <f t="shared" si="54"/>
        <v>20.6</v>
      </c>
      <c r="D845" s="3">
        <v>3977.53</v>
      </c>
      <c r="E845" s="3">
        <f t="shared" si="55"/>
        <v>3977.53</v>
      </c>
      <c r="F845" s="3">
        <f>MAX($E$2:E845)</f>
        <v>4796.5600000000004</v>
      </c>
      <c r="G845" s="3">
        <f t="shared" si="52"/>
        <v>-17.075362343012497</v>
      </c>
      <c r="I845" s="2">
        <v>44674</v>
      </c>
      <c r="J845" s="3">
        <f>IFERROR(VLOOKUP(I845,$A$1:$G$1610,3,FALSE),J844)</f>
        <v>28.21</v>
      </c>
      <c r="K845" s="3">
        <f>IFERROR(VLOOKUP(I845,$A$1:$G$1610,7,FALSE),K844)</f>
        <v>-10.940757542905761</v>
      </c>
      <c r="L845" s="5">
        <f t="shared" si="53"/>
        <v>1</v>
      </c>
    </row>
    <row r="846" spans="1:12" x14ac:dyDescent="0.25">
      <c r="A846" s="2">
        <v>45013</v>
      </c>
      <c r="B846" s="3">
        <v>19.97</v>
      </c>
      <c r="C846" s="3">
        <f t="shared" si="54"/>
        <v>19.97</v>
      </c>
      <c r="D846" s="3">
        <v>3971.27</v>
      </c>
      <c r="E846" s="3">
        <f t="shared" si="55"/>
        <v>3971.27</v>
      </c>
      <c r="F846" s="3">
        <f>MAX($E$2:E846)</f>
        <v>4796.5600000000004</v>
      </c>
      <c r="G846" s="3">
        <f t="shared" si="52"/>
        <v>-17.20587254198843</v>
      </c>
      <c r="I846" s="2">
        <v>44675</v>
      </c>
      <c r="J846" s="3">
        <f>IFERROR(VLOOKUP(I846,$A$1:$G$1610,3,FALSE),J845)</f>
        <v>28.21</v>
      </c>
      <c r="K846" s="3">
        <f>IFERROR(VLOOKUP(I846,$A$1:$G$1610,7,FALSE),K845)</f>
        <v>-10.940757542905761</v>
      </c>
      <c r="L846" s="5">
        <f t="shared" si="53"/>
        <v>1</v>
      </c>
    </row>
    <row r="847" spans="1:12" x14ac:dyDescent="0.25">
      <c r="A847" s="2">
        <v>45014</v>
      </c>
      <c r="B847" s="3">
        <v>19.12</v>
      </c>
      <c r="C847" s="3">
        <f t="shared" si="54"/>
        <v>19.12</v>
      </c>
      <c r="D847" s="3">
        <v>4027.81</v>
      </c>
      <c r="E847" s="3">
        <f t="shared" si="55"/>
        <v>4027.81</v>
      </c>
      <c r="F847" s="3">
        <f>MAX($E$2:E847)</f>
        <v>4796.5600000000004</v>
      </c>
      <c r="G847" s="3">
        <f t="shared" si="52"/>
        <v>-16.02711109628568</v>
      </c>
      <c r="I847" s="2">
        <v>44676</v>
      </c>
      <c r="J847" s="3">
        <f>IFERROR(VLOOKUP(I847,$A$1:$G$1610,3,FALSE),J846)</f>
        <v>27.02</v>
      </c>
      <c r="K847" s="3">
        <f>IFERROR(VLOOKUP(I847,$A$1:$G$1610,7,FALSE),K846)</f>
        <v>-10.433310539219784</v>
      </c>
      <c r="L847" s="5">
        <f t="shared" si="53"/>
        <v>1</v>
      </c>
    </row>
    <row r="848" spans="1:12" x14ac:dyDescent="0.25">
      <c r="A848" s="2">
        <v>45015</v>
      </c>
      <c r="B848" s="3">
        <v>19.02</v>
      </c>
      <c r="C848" s="3">
        <f t="shared" si="54"/>
        <v>19.02</v>
      </c>
      <c r="D848" s="3">
        <v>4050.83</v>
      </c>
      <c r="E848" s="3">
        <f t="shared" si="55"/>
        <v>4050.83</v>
      </c>
      <c r="F848" s="3">
        <f>MAX($E$2:E848)</f>
        <v>4796.5600000000004</v>
      </c>
      <c r="G848" s="3">
        <f t="shared" si="52"/>
        <v>-15.547183815067472</v>
      </c>
      <c r="I848" s="2">
        <v>44677</v>
      </c>
      <c r="J848" s="3">
        <f>IFERROR(VLOOKUP(I848,$A$1:$G$1610,3,FALSE),J847)</f>
        <v>33.520000000000003</v>
      </c>
      <c r="K848" s="3">
        <f>IFERROR(VLOOKUP(I848,$A$1:$G$1610,7,FALSE),K847)</f>
        <v>-12.954283903464162</v>
      </c>
      <c r="L848" s="5">
        <f t="shared" si="53"/>
        <v>1</v>
      </c>
    </row>
    <row r="849" spans="1:12" x14ac:dyDescent="0.25">
      <c r="A849" s="2">
        <v>45016</v>
      </c>
      <c r="B849" s="3">
        <v>18.7</v>
      </c>
      <c r="C849" s="3">
        <f t="shared" si="54"/>
        <v>18.7</v>
      </c>
      <c r="D849" s="3">
        <v>4109.3100000000004</v>
      </c>
      <c r="E849" s="3">
        <f t="shared" si="55"/>
        <v>4109.3100000000004</v>
      </c>
      <c r="F849" s="3">
        <f>MAX($E$2:E849)</f>
        <v>4796.5600000000004</v>
      </c>
      <c r="G849" s="3">
        <f t="shared" si="52"/>
        <v>-14.327976716646928</v>
      </c>
      <c r="I849" s="2">
        <v>44678</v>
      </c>
      <c r="J849" s="3">
        <f>IFERROR(VLOOKUP(I849,$A$1:$G$1610,3,FALSE),J848)</f>
        <v>31.6</v>
      </c>
      <c r="K849" s="3">
        <f>IFERROR(VLOOKUP(I849,$A$1:$G$1610,7,FALSE),K848)</f>
        <v>-12.771653017996238</v>
      </c>
      <c r="L849" s="5">
        <f t="shared" si="53"/>
        <v>1</v>
      </c>
    </row>
    <row r="850" spans="1:12" x14ac:dyDescent="0.25">
      <c r="A850" s="2">
        <v>45019</v>
      </c>
      <c r="B850" s="3">
        <v>18.55</v>
      </c>
      <c r="C850" s="3">
        <f t="shared" si="54"/>
        <v>18.55</v>
      </c>
      <c r="D850" s="3">
        <v>4124.51</v>
      </c>
      <c r="E850" s="3">
        <f t="shared" si="55"/>
        <v>4124.51</v>
      </c>
      <c r="F850" s="3">
        <f>MAX($E$2:E850)</f>
        <v>4796.5600000000004</v>
      </c>
      <c r="G850" s="3">
        <f t="shared" si="52"/>
        <v>-14.011082942775657</v>
      </c>
      <c r="I850" s="2">
        <v>44679</v>
      </c>
      <c r="J850" s="3">
        <f>IFERROR(VLOOKUP(I850,$A$1:$G$1610,3,FALSE),J849)</f>
        <v>29.99</v>
      </c>
      <c r="K850" s="3">
        <f>IFERROR(VLOOKUP(I850,$A$1:$G$1610,7,FALSE),K849)</f>
        <v>-10.613022666244149</v>
      </c>
      <c r="L850" s="5">
        <f t="shared" si="53"/>
        <v>1</v>
      </c>
    </row>
    <row r="851" spans="1:12" x14ac:dyDescent="0.25">
      <c r="A851" s="2">
        <v>45020</v>
      </c>
      <c r="B851" s="3">
        <v>19</v>
      </c>
      <c r="C851" s="3">
        <f t="shared" si="54"/>
        <v>19</v>
      </c>
      <c r="D851" s="3">
        <v>4100.6000000000004</v>
      </c>
      <c r="E851" s="3">
        <f t="shared" si="55"/>
        <v>4100.6000000000004</v>
      </c>
      <c r="F851" s="3">
        <f>MAX($E$2:E851)</f>
        <v>4796.5600000000004</v>
      </c>
      <c r="G851" s="3">
        <f t="shared" si="52"/>
        <v>-14.509565188385009</v>
      </c>
      <c r="I851" s="2">
        <v>44680</v>
      </c>
      <c r="J851" s="3">
        <f>IFERROR(VLOOKUP(I851,$A$1:$G$1610,3,FALSE),J850)</f>
        <v>33.4</v>
      </c>
      <c r="K851" s="3">
        <f>IFERROR(VLOOKUP(I851,$A$1:$G$1610,7,FALSE),K850)</f>
        <v>-13.856388745267441</v>
      </c>
      <c r="L851" s="5">
        <f t="shared" si="53"/>
        <v>1</v>
      </c>
    </row>
    <row r="852" spans="1:12" x14ac:dyDescent="0.25">
      <c r="A852" s="2">
        <v>45021</v>
      </c>
      <c r="B852" s="3">
        <v>19.079999999999998</v>
      </c>
      <c r="C852" s="3">
        <f t="shared" si="54"/>
        <v>19.079999999999998</v>
      </c>
      <c r="D852" s="3">
        <v>4090.38</v>
      </c>
      <c r="E852" s="3">
        <f t="shared" si="55"/>
        <v>4090.38</v>
      </c>
      <c r="F852" s="3">
        <f>MAX($E$2:E852)</f>
        <v>4796.5600000000004</v>
      </c>
      <c r="G852" s="3">
        <f t="shared" si="52"/>
        <v>-14.722634554764252</v>
      </c>
      <c r="I852" s="2">
        <v>44681</v>
      </c>
      <c r="J852" s="3">
        <f>IFERROR(VLOOKUP(I852,$A$1:$G$1610,3,FALSE),J851)</f>
        <v>33.4</v>
      </c>
      <c r="K852" s="3">
        <f>IFERROR(VLOOKUP(I852,$A$1:$G$1610,7,FALSE),K851)</f>
        <v>-13.856388745267441</v>
      </c>
      <c r="L852" s="5">
        <f t="shared" si="53"/>
        <v>1</v>
      </c>
    </row>
    <row r="853" spans="1:12" x14ac:dyDescent="0.25">
      <c r="A853" s="2">
        <v>45022</v>
      </c>
      <c r="B853" s="3">
        <v>18.399999999999999</v>
      </c>
      <c r="C853" s="3">
        <f t="shared" si="54"/>
        <v>18.399999999999999</v>
      </c>
      <c r="D853" s="3">
        <v>4105.0200000000004</v>
      </c>
      <c r="E853" s="3">
        <f t="shared" si="55"/>
        <v>4105.0200000000004</v>
      </c>
      <c r="F853" s="3">
        <f>MAX($E$2:E853)</f>
        <v>4796.5600000000004</v>
      </c>
      <c r="G853" s="3">
        <f t="shared" si="52"/>
        <v>-14.417415814667175</v>
      </c>
      <c r="I853" s="2">
        <v>44682</v>
      </c>
      <c r="J853" s="3">
        <f>IFERROR(VLOOKUP(I853,$A$1:$G$1610,3,FALSE),J852)</f>
        <v>33.4</v>
      </c>
      <c r="K853" s="3">
        <f>IFERROR(VLOOKUP(I853,$A$1:$G$1610,7,FALSE),K852)</f>
        <v>-13.856388745267441</v>
      </c>
      <c r="L853" s="5">
        <f t="shared" si="53"/>
        <v>1</v>
      </c>
    </row>
    <row r="854" spans="1:12" x14ac:dyDescent="0.25">
      <c r="A854" s="2">
        <v>45023</v>
      </c>
      <c r="C854" s="3">
        <f t="shared" si="54"/>
        <v>18.399999999999999</v>
      </c>
      <c r="E854" s="3">
        <f t="shared" si="55"/>
        <v>4105.0200000000004</v>
      </c>
      <c r="F854" s="3">
        <f>MAX($E$2:E854)</f>
        <v>4796.5600000000004</v>
      </c>
      <c r="G854" s="3">
        <f t="shared" si="52"/>
        <v>-14.417415814667175</v>
      </c>
      <c r="I854" s="2">
        <v>44683</v>
      </c>
      <c r="J854" s="3">
        <f>IFERROR(VLOOKUP(I854,$A$1:$G$1610,3,FALSE),J853)</f>
        <v>32.340000000000003</v>
      </c>
      <c r="K854" s="3">
        <f>IFERROR(VLOOKUP(I854,$A$1:$G$1610,7,FALSE),K853)</f>
        <v>-13.367496705972618</v>
      </c>
      <c r="L854" s="5">
        <f t="shared" si="53"/>
        <v>1</v>
      </c>
    </row>
    <row r="855" spans="1:12" x14ac:dyDescent="0.25">
      <c r="A855" s="2">
        <v>45026</v>
      </c>
      <c r="B855" s="3">
        <v>18.97</v>
      </c>
      <c r="C855" s="3">
        <f t="shared" si="54"/>
        <v>18.97</v>
      </c>
      <c r="D855" s="3">
        <v>4109.1099999999997</v>
      </c>
      <c r="E855" s="3">
        <f t="shared" si="55"/>
        <v>4109.1099999999997</v>
      </c>
      <c r="F855" s="3">
        <f>MAX($E$2:E855)</f>
        <v>4796.5600000000004</v>
      </c>
      <c r="G855" s="3">
        <f t="shared" si="52"/>
        <v>-14.332146371566305</v>
      </c>
      <c r="I855" s="2">
        <v>44684</v>
      </c>
      <c r="J855" s="3">
        <f>IFERROR(VLOOKUP(I855,$A$1:$G$1610,3,FALSE),J854)</f>
        <v>29.25</v>
      </c>
      <c r="K855" s="3">
        <f>IFERROR(VLOOKUP(I855,$A$1:$G$1610,7,FALSE),K854)</f>
        <v>-12.948446386577064</v>
      </c>
      <c r="L855" s="5">
        <f t="shared" si="53"/>
        <v>1</v>
      </c>
    </row>
    <row r="856" spans="1:12" x14ac:dyDescent="0.25">
      <c r="A856" s="2">
        <v>45027</v>
      </c>
      <c r="B856" s="3">
        <v>19.100000000000001</v>
      </c>
      <c r="C856" s="3">
        <f t="shared" si="54"/>
        <v>19.100000000000001</v>
      </c>
      <c r="D856" s="3">
        <v>4108.9399999999996</v>
      </c>
      <c r="E856" s="3">
        <f t="shared" si="55"/>
        <v>4108.9399999999996</v>
      </c>
      <c r="F856" s="3">
        <f>MAX($E$2:E856)</f>
        <v>4796.5600000000004</v>
      </c>
      <c r="G856" s="3">
        <f t="shared" si="52"/>
        <v>-14.335690578247759</v>
      </c>
      <c r="I856" s="2">
        <v>44685</v>
      </c>
      <c r="J856" s="3">
        <f>IFERROR(VLOOKUP(I856,$A$1:$G$1610,3,FALSE),J855)</f>
        <v>25.42</v>
      </c>
      <c r="K856" s="3">
        <f>IFERROR(VLOOKUP(I856,$A$1:$G$1610,7,FALSE),K855)</f>
        <v>-10.348875027102764</v>
      </c>
      <c r="L856" s="5">
        <f t="shared" si="53"/>
        <v>1</v>
      </c>
    </row>
    <row r="857" spans="1:12" x14ac:dyDescent="0.25">
      <c r="A857" s="2">
        <v>45028</v>
      </c>
      <c r="B857" s="3">
        <v>19.09</v>
      </c>
      <c r="C857" s="3">
        <f t="shared" si="54"/>
        <v>19.09</v>
      </c>
      <c r="D857" s="3">
        <v>4091.95</v>
      </c>
      <c r="E857" s="3">
        <f t="shared" si="55"/>
        <v>4091.95</v>
      </c>
      <c r="F857" s="3">
        <f>MAX($E$2:E857)</f>
        <v>4796.5600000000004</v>
      </c>
      <c r="G857" s="3">
        <f t="shared" si="52"/>
        <v>-14.689902763647291</v>
      </c>
      <c r="I857" s="2">
        <v>44686</v>
      </c>
      <c r="J857" s="3">
        <f>IFERROR(VLOOKUP(I857,$A$1:$G$1610,3,FALSE),J856)</f>
        <v>31.2</v>
      </c>
      <c r="K857" s="3">
        <f>IFERROR(VLOOKUP(I857,$A$1:$G$1610,7,FALSE),K856)</f>
        <v>-13.544915522791342</v>
      </c>
      <c r="L857" s="5">
        <f t="shared" si="53"/>
        <v>1</v>
      </c>
    </row>
    <row r="858" spans="1:12" x14ac:dyDescent="0.25">
      <c r="A858" s="2">
        <v>45029</v>
      </c>
      <c r="B858" s="3">
        <v>17.8</v>
      </c>
      <c r="C858" s="3">
        <f t="shared" si="54"/>
        <v>17.8</v>
      </c>
      <c r="D858" s="3">
        <v>4146.22</v>
      </c>
      <c r="E858" s="3">
        <f t="shared" si="55"/>
        <v>4146.22</v>
      </c>
      <c r="F858" s="3">
        <f>MAX($E$2:E858)</f>
        <v>4796.5600000000004</v>
      </c>
      <c r="G858" s="3">
        <f t="shared" si="52"/>
        <v>-13.558466901279251</v>
      </c>
      <c r="I858" s="2">
        <v>44687</v>
      </c>
      <c r="J858" s="3">
        <f>IFERROR(VLOOKUP(I858,$A$1:$G$1610,3,FALSE),J857)</f>
        <v>30.19</v>
      </c>
      <c r="K858" s="3">
        <f>IFERROR(VLOOKUP(I858,$A$1:$G$1610,7,FALSE),K857)</f>
        <v>-14.035475424053908</v>
      </c>
      <c r="L858" s="5">
        <f t="shared" si="53"/>
        <v>1</v>
      </c>
    </row>
    <row r="859" spans="1:12" x14ac:dyDescent="0.25">
      <c r="A859" s="2">
        <v>45030</v>
      </c>
      <c r="B859" s="3">
        <v>17.07</v>
      </c>
      <c r="C859" s="3">
        <f t="shared" si="54"/>
        <v>17.07</v>
      </c>
      <c r="D859" s="3">
        <v>4137.6400000000003</v>
      </c>
      <c r="E859" s="3">
        <f t="shared" si="55"/>
        <v>4137.6400000000003</v>
      </c>
      <c r="F859" s="3">
        <f>MAX($E$2:E859)</f>
        <v>4796.5600000000004</v>
      </c>
      <c r="G859" s="3">
        <f t="shared" si="52"/>
        <v>-13.737345097319748</v>
      </c>
      <c r="I859" s="2">
        <v>44688</v>
      </c>
      <c r="J859" s="3">
        <f>IFERROR(VLOOKUP(I859,$A$1:$G$1610,3,FALSE),J858)</f>
        <v>30.19</v>
      </c>
      <c r="K859" s="3">
        <f>IFERROR(VLOOKUP(I859,$A$1:$G$1610,7,FALSE),K858)</f>
        <v>-14.035475424053908</v>
      </c>
      <c r="L859" s="5">
        <f t="shared" si="53"/>
        <v>1</v>
      </c>
    </row>
    <row r="860" spans="1:12" x14ac:dyDescent="0.25">
      <c r="A860" s="2">
        <v>45033</v>
      </c>
      <c r="B860" s="3">
        <v>16.95</v>
      </c>
      <c r="C860" s="3">
        <f t="shared" si="54"/>
        <v>16.95</v>
      </c>
      <c r="D860" s="3">
        <v>4151.32</v>
      </c>
      <c r="E860" s="3">
        <f t="shared" si="55"/>
        <v>4151.32</v>
      </c>
      <c r="F860" s="3">
        <f>MAX($E$2:E860)</f>
        <v>4796.5600000000004</v>
      </c>
      <c r="G860" s="3">
        <f t="shared" si="52"/>
        <v>-13.452140700835614</v>
      </c>
      <c r="I860" s="2">
        <v>44689</v>
      </c>
      <c r="J860" s="3">
        <f>IFERROR(VLOOKUP(I860,$A$1:$G$1610,3,FALSE),J859)</f>
        <v>30.19</v>
      </c>
      <c r="K860" s="3">
        <f>IFERROR(VLOOKUP(I860,$A$1:$G$1610,7,FALSE),K859)</f>
        <v>-14.035475424053908</v>
      </c>
      <c r="L860" s="5">
        <f t="shared" si="53"/>
        <v>1</v>
      </c>
    </row>
    <row r="861" spans="1:12" x14ac:dyDescent="0.25">
      <c r="A861" s="2">
        <v>45034</v>
      </c>
      <c r="B861" s="3">
        <v>16.829999999999998</v>
      </c>
      <c r="C861" s="3">
        <f t="shared" si="54"/>
        <v>16.829999999999998</v>
      </c>
      <c r="D861" s="3">
        <v>4154.87</v>
      </c>
      <c r="E861" s="3">
        <f t="shared" si="55"/>
        <v>4154.87</v>
      </c>
      <c r="F861" s="3">
        <f>MAX($E$2:E861)</f>
        <v>4796.5600000000004</v>
      </c>
      <c r="G861" s="3">
        <f t="shared" si="52"/>
        <v>-13.378129326016989</v>
      </c>
      <c r="I861" s="2">
        <v>44690</v>
      </c>
      <c r="J861" s="3">
        <f>IFERROR(VLOOKUP(I861,$A$1:$G$1610,3,FALSE),J860)</f>
        <v>34.75</v>
      </c>
      <c r="K861" s="3">
        <f>IFERROR(VLOOKUP(I861,$A$1:$G$1610,7,FALSE),K860)</f>
        <v>-16.789532498290452</v>
      </c>
      <c r="L861" s="5">
        <f t="shared" si="53"/>
        <v>1</v>
      </c>
    </row>
    <row r="862" spans="1:12" x14ac:dyDescent="0.25">
      <c r="A862" s="2">
        <v>45035</v>
      </c>
      <c r="B862" s="3">
        <v>16.46</v>
      </c>
      <c r="C862" s="3">
        <f t="shared" si="54"/>
        <v>16.46</v>
      </c>
      <c r="D862" s="3">
        <v>4154.5200000000004</v>
      </c>
      <c r="E862" s="3">
        <f t="shared" si="55"/>
        <v>4154.5200000000004</v>
      </c>
      <c r="F862" s="3">
        <f>MAX($E$2:E862)</f>
        <v>4796.5600000000004</v>
      </c>
      <c r="G862" s="3">
        <f t="shared" si="52"/>
        <v>-13.385426222125854</v>
      </c>
      <c r="I862" s="2">
        <v>44691</v>
      </c>
      <c r="J862" s="3">
        <f>IFERROR(VLOOKUP(I862,$A$1:$G$1610,3,FALSE),J861)</f>
        <v>32.99</v>
      </c>
      <c r="K862" s="3">
        <f>IFERROR(VLOOKUP(I862,$A$1:$G$1610,7,FALSE),K861)</f>
        <v>-16.58501092449589</v>
      </c>
      <c r="L862" s="5">
        <f t="shared" si="53"/>
        <v>1</v>
      </c>
    </row>
    <row r="863" spans="1:12" x14ac:dyDescent="0.25">
      <c r="A863" s="2">
        <v>45036</v>
      </c>
      <c r="B863" s="3">
        <v>17.170000000000002</v>
      </c>
      <c r="C863" s="3">
        <f t="shared" si="54"/>
        <v>17.170000000000002</v>
      </c>
      <c r="D863" s="3">
        <v>4129.79</v>
      </c>
      <c r="E863" s="3">
        <f t="shared" si="55"/>
        <v>4129.79</v>
      </c>
      <c r="F863" s="3">
        <f>MAX($E$2:E863)</f>
        <v>4796.5600000000004</v>
      </c>
      <c r="G863" s="3">
        <f t="shared" si="52"/>
        <v>-13.90100405290459</v>
      </c>
      <c r="I863" s="2">
        <v>44692</v>
      </c>
      <c r="J863" s="3">
        <f>IFERROR(VLOOKUP(I863,$A$1:$G$1610,3,FALSE),J862)</f>
        <v>32.56</v>
      </c>
      <c r="K863" s="3">
        <f>IFERROR(VLOOKUP(I863,$A$1:$G$1610,7,FALSE),K862)</f>
        <v>-17.958286772186742</v>
      </c>
      <c r="L863" s="5">
        <f t="shared" si="53"/>
        <v>1</v>
      </c>
    </row>
    <row r="864" spans="1:12" x14ac:dyDescent="0.25">
      <c r="A864" s="2">
        <v>45037</v>
      </c>
      <c r="B864" s="3">
        <v>16.77</v>
      </c>
      <c r="C864" s="3">
        <f t="shared" si="54"/>
        <v>16.77</v>
      </c>
      <c r="D864" s="3">
        <v>4133.5200000000004</v>
      </c>
      <c r="E864" s="3">
        <f t="shared" si="55"/>
        <v>4133.5200000000004</v>
      </c>
      <c r="F864" s="3">
        <f>MAX($E$2:E864)</f>
        <v>4796.5600000000004</v>
      </c>
      <c r="G864" s="3">
        <f t="shared" si="52"/>
        <v>-13.823239988658537</v>
      </c>
      <c r="I864" s="2">
        <v>44693</v>
      </c>
      <c r="J864" s="3">
        <f>IFERROR(VLOOKUP(I864,$A$1:$G$1610,3,FALSE),J863)</f>
        <v>31.77</v>
      </c>
      <c r="K864" s="3">
        <f>IFERROR(VLOOKUP(I864,$A$1:$G$1610,7,FALSE),K863)</f>
        <v>-18.064612972630393</v>
      </c>
      <c r="L864" s="5">
        <f t="shared" si="53"/>
        <v>1</v>
      </c>
    </row>
    <row r="865" spans="1:12" x14ac:dyDescent="0.25">
      <c r="A865" s="2">
        <v>45040</v>
      </c>
      <c r="B865" s="3">
        <v>16.89</v>
      </c>
      <c r="C865" s="3">
        <f t="shared" si="54"/>
        <v>16.89</v>
      </c>
      <c r="D865" s="3">
        <v>4137.04</v>
      </c>
      <c r="E865" s="3">
        <f t="shared" si="55"/>
        <v>4137.04</v>
      </c>
      <c r="F865" s="3">
        <f>MAX($E$2:E865)</f>
        <v>4796.5600000000004</v>
      </c>
      <c r="G865" s="3">
        <f t="shared" si="52"/>
        <v>-13.74985406207783</v>
      </c>
      <c r="I865" s="2">
        <v>44694</v>
      </c>
      <c r="J865" s="3">
        <f>IFERROR(VLOOKUP(I865,$A$1:$G$1610,3,FALSE),J864)</f>
        <v>28.87</v>
      </c>
      <c r="K865" s="3">
        <f>IFERROR(VLOOKUP(I865,$A$1:$G$1610,7,FALSE),K864)</f>
        <v>-16.108836332705113</v>
      </c>
      <c r="L865" s="5">
        <f t="shared" si="53"/>
        <v>1</v>
      </c>
    </row>
    <row r="866" spans="1:12" x14ac:dyDescent="0.25">
      <c r="A866" s="2">
        <v>45041</v>
      </c>
      <c r="B866" s="3">
        <v>18.760000000000002</v>
      </c>
      <c r="C866" s="3">
        <f t="shared" si="54"/>
        <v>18.760000000000002</v>
      </c>
      <c r="D866" s="3">
        <v>4071.63</v>
      </c>
      <c r="E866" s="3">
        <f t="shared" si="55"/>
        <v>4071.63</v>
      </c>
      <c r="F866" s="3">
        <f>MAX($E$2:E866)</f>
        <v>4796.5600000000004</v>
      </c>
      <c r="G866" s="3">
        <f t="shared" si="52"/>
        <v>-15.113539703454146</v>
      </c>
      <c r="I866" s="2">
        <v>44695</v>
      </c>
      <c r="J866" s="3">
        <f>IFERROR(VLOOKUP(I866,$A$1:$G$1610,3,FALSE),J865)</f>
        <v>28.87</v>
      </c>
      <c r="K866" s="3">
        <f>IFERROR(VLOOKUP(I866,$A$1:$G$1610,7,FALSE),K865)</f>
        <v>-16.108836332705113</v>
      </c>
      <c r="L866" s="5">
        <f t="shared" si="53"/>
        <v>1</v>
      </c>
    </row>
    <row r="867" spans="1:12" x14ac:dyDescent="0.25">
      <c r="A867" s="2">
        <v>45042</v>
      </c>
      <c r="B867" s="3">
        <v>18.84</v>
      </c>
      <c r="C867" s="3">
        <f t="shared" si="54"/>
        <v>18.84</v>
      </c>
      <c r="D867" s="3">
        <v>4055.99</v>
      </c>
      <c r="E867" s="3">
        <f t="shared" si="55"/>
        <v>4055.99</v>
      </c>
      <c r="F867" s="3">
        <f>MAX($E$2:E867)</f>
        <v>4796.5600000000004</v>
      </c>
      <c r="G867" s="3">
        <f t="shared" si="52"/>
        <v>-15.439606718148019</v>
      </c>
      <c r="I867" s="2">
        <v>44696</v>
      </c>
      <c r="J867" s="3">
        <f>IFERROR(VLOOKUP(I867,$A$1:$G$1610,3,FALSE),J866)</f>
        <v>28.87</v>
      </c>
      <c r="K867" s="3">
        <f>IFERROR(VLOOKUP(I867,$A$1:$G$1610,7,FALSE),K866)</f>
        <v>-16.108836332705113</v>
      </c>
      <c r="L867" s="5">
        <f t="shared" si="53"/>
        <v>1</v>
      </c>
    </row>
    <row r="868" spans="1:12" x14ac:dyDescent="0.25">
      <c r="A868" s="2">
        <v>45043</v>
      </c>
      <c r="B868" s="3">
        <v>17.03</v>
      </c>
      <c r="C868" s="3">
        <f t="shared" si="54"/>
        <v>17.03</v>
      </c>
      <c r="D868" s="3">
        <v>4135.3500000000004</v>
      </c>
      <c r="E868" s="3">
        <f t="shared" si="55"/>
        <v>4135.3500000000004</v>
      </c>
      <c r="F868" s="3">
        <f>MAX($E$2:E868)</f>
        <v>4796.5600000000004</v>
      </c>
      <c r="G868" s="3">
        <f t="shared" si="52"/>
        <v>-13.785087646146405</v>
      </c>
      <c r="I868" s="2">
        <v>44697</v>
      </c>
      <c r="J868" s="3">
        <f>IFERROR(VLOOKUP(I868,$A$1:$G$1610,3,FALSE),J867)</f>
        <v>27.47</v>
      </c>
      <c r="K868" s="3">
        <f>IFERROR(VLOOKUP(I868,$A$1:$G$1610,7,FALSE),K867)</f>
        <v>-16.439906933302204</v>
      </c>
      <c r="L868" s="5">
        <f t="shared" si="53"/>
        <v>1</v>
      </c>
    </row>
    <row r="869" spans="1:12" x14ac:dyDescent="0.25">
      <c r="A869" s="2">
        <v>45044</v>
      </c>
      <c r="B869" s="3">
        <v>15.78</v>
      </c>
      <c r="C869" s="3">
        <f t="shared" si="54"/>
        <v>15.78</v>
      </c>
      <c r="D869" s="3">
        <v>4169.4799999999996</v>
      </c>
      <c r="E869" s="3">
        <f t="shared" si="55"/>
        <v>4169.4799999999996</v>
      </c>
      <c r="F869" s="3">
        <f>MAX($E$2:E869)</f>
        <v>4796.5600000000004</v>
      </c>
      <c r="G869" s="3">
        <f t="shared" si="52"/>
        <v>-13.073536034157829</v>
      </c>
      <c r="I869" s="2">
        <v>44698</v>
      </c>
      <c r="J869" s="3">
        <f>IFERROR(VLOOKUP(I869,$A$1:$G$1610,3,FALSE),J868)</f>
        <v>26.1</v>
      </c>
      <c r="K869" s="3">
        <f>IFERROR(VLOOKUP(I869,$A$1:$G$1610,7,FALSE),K868)</f>
        <v>-14.754532414897353</v>
      </c>
      <c r="L869" s="5">
        <f t="shared" si="53"/>
        <v>1</v>
      </c>
    </row>
    <row r="870" spans="1:12" x14ac:dyDescent="0.25">
      <c r="A870" s="2">
        <v>45047</v>
      </c>
      <c r="B870" s="3">
        <v>16.079999999999998</v>
      </c>
      <c r="C870" s="3">
        <f t="shared" si="54"/>
        <v>16.079999999999998</v>
      </c>
      <c r="D870" s="3">
        <v>4167.87</v>
      </c>
      <c r="E870" s="3">
        <f t="shared" si="55"/>
        <v>4167.87</v>
      </c>
      <c r="F870" s="3">
        <f>MAX($E$2:E870)</f>
        <v>4796.5600000000004</v>
      </c>
      <c r="G870" s="3">
        <f t="shared" si="52"/>
        <v>-13.107101756258663</v>
      </c>
      <c r="I870" s="2">
        <v>44699</v>
      </c>
      <c r="J870" s="3">
        <f>IFERROR(VLOOKUP(I870,$A$1:$G$1610,3,FALSE),J869)</f>
        <v>30.96</v>
      </c>
      <c r="K870" s="3">
        <f>IFERROR(VLOOKUP(I870,$A$1:$G$1610,7,FALSE),K869)</f>
        <v>-18.198041930049879</v>
      </c>
      <c r="L870" s="5">
        <f t="shared" si="53"/>
        <v>1</v>
      </c>
    </row>
    <row r="871" spans="1:12" x14ac:dyDescent="0.25">
      <c r="A871" s="2">
        <v>45048</v>
      </c>
      <c r="B871" s="3">
        <v>17.78</v>
      </c>
      <c r="C871" s="3">
        <f t="shared" si="54"/>
        <v>17.78</v>
      </c>
      <c r="D871" s="3">
        <v>4119.58</v>
      </c>
      <c r="E871" s="3">
        <f t="shared" si="55"/>
        <v>4119.58</v>
      </c>
      <c r="F871" s="3">
        <f>MAX($E$2:E871)</f>
        <v>4796.5600000000004</v>
      </c>
      <c r="G871" s="3">
        <f t="shared" si="52"/>
        <v>-14.113864936537862</v>
      </c>
      <c r="I871" s="2">
        <v>44700</v>
      </c>
      <c r="J871" s="3">
        <f>IFERROR(VLOOKUP(I871,$A$1:$G$1610,3,FALSE),J870)</f>
        <v>29.35</v>
      </c>
      <c r="K871" s="3">
        <f>IFERROR(VLOOKUP(I871,$A$1:$G$1610,7,FALSE),K870)</f>
        <v>-18.675258935570501</v>
      </c>
      <c r="L871" s="5">
        <f t="shared" si="53"/>
        <v>1</v>
      </c>
    </row>
    <row r="872" spans="1:12" x14ac:dyDescent="0.25">
      <c r="A872" s="2">
        <v>45049</v>
      </c>
      <c r="B872" s="3">
        <v>18.34</v>
      </c>
      <c r="C872" s="3">
        <f t="shared" si="54"/>
        <v>18.34</v>
      </c>
      <c r="D872" s="3">
        <v>4090.75</v>
      </c>
      <c r="E872" s="3">
        <f t="shared" si="55"/>
        <v>4090.75</v>
      </c>
      <c r="F872" s="3">
        <f>MAX($E$2:E872)</f>
        <v>4796.5600000000004</v>
      </c>
      <c r="G872" s="3">
        <f t="shared" si="52"/>
        <v>-14.714920693163441</v>
      </c>
      <c r="I872" s="2">
        <v>44701</v>
      </c>
      <c r="J872" s="3">
        <f>IFERROR(VLOOKUP(I872,$A$1:$G$1610,3,FALSE),J871)</f>
        <v>29.43</v>
      </c>
      <c r="K872" s="3">
        <f>IFERROR(VLOOKUP(I872,$A$1:$G$1610,7,FALSE),K871)</f>
        <v>-18.663375419050325</v>
      </c>
      <c r="L872" s="5">
        <f t="shared" si="53"/>
        <v>1</v>
      </c>
    </row>
    <row r="873" spans="1:12" x14ac:dyDescent="0.25">
      <c r="A873" s="2">
        <v>45050</v>
      </c>
      <c r="B873" s="3">
        <v>20.09</v>
      </c>
      <c r="C873" s="3">
        <f t="shared" si="54"/>
        <v>20.09</v>
      </c>
      <c r="D873" s="3">
        <v>4061.22</v>
      </c>
      <c r="E873" s="3">
        <f t="shared" si="55"/>
        <v>4061.22</v>
      </c>
      <c r="F873" s="3">
        <f>MAX($E$2:E873)</f>
        <v>4796.5600000000004</v>
      </c>
      <c r="G873" s="3">
        <f t="shared" si="52"/>
        <v>-15.330570242006782</v>
      </c>
      <c r="I873" s="2">
        <v>44702</v>
      </c>
      <c r="J873" s="3">
        <f>IFERROR(VLOOKUP(I873,$A$1:$G$1610,3,FALSE),J872)</f>
        <v>29.43</v>
      </c>
      <c r="K873" s="3">
        <f>IFERROR(VLOOKUP(I873,$A$1:$G$1610,7,FALSE),K872)</f>
        <v>-18.663375419050325</v>
      </c>
      <c r="L873" s="5">
        <f t="shared" si="53"/>
        <v>1</v>
      </c>
    </row>
    <row r="874" spans="1:12" x14ac:dyDescent="0.25">
      <c r="A874" s="2">
        <v>45051</v>
      </c>
      <c r="B874" s="3">
        <v>17.190000000000001</v>
      </c>
      <c r="C874" s="3">
        <f t="shared" si="54"/>
        <v>17.190000000000001</v>
      </c>
      <c r="D874" s="3">
        <v>4136.25</v>
      </c>
      <c r="E874" s="3">
        <f t="shared" si="55"/>
        <v>4136.25</v>
      </c>
      <c r="F874" s="3">
        <f>MAX($E$2:E874)</f>
        <v>4796.5600000000004</v>
      </c>
      <c r="G874" s="3">
        <f t="shared" si="52"/>
        <v>-13.766324199009297</v>
      </c>
      <c r="I874" s="2">
        <v>44703</v>
      </c>
      <c r="J874" s="3">
        <f>IFERROR(VLOOKUP(I874,$A$1:$G$1610,3,FALSE),J873)</f>
        <v>29.43</v>
      </c>
      <c r="K874" s="3">
        <f>IFERROR(VLOOKUP(I874,$A$1:$G$1610,7,FALSE),K873)</f>
        <v>-18.663375419050325</v>
      </c>
      <c r="L874" s="5">
        <f t="shared" si="53"/>
        <v>1</v>
      </c>
    </row>
    <row r="875" spans="1:12" x14ac:dyDescent="0.25">
      <c r="A875" s="2">
        <v>45054</v>
      </c>
      <c r="B875" s="3">
        <v>16.98</v>
      </c>
      <c r="C875" s="3">
        <f t="shared" si="54"/>
        <v>16.98</v>
      </c>
      <c r="D875" s="3">
        <v>4138.12</v>
      </c>
      <c r="E875" s="3">
        <f t="shared" si="55"/>
        <v>4138.12</v>
      </c>
      <c r="F875" s="3">
        <f>MAX($E$2:E875)</f>
        <v>4796.5600000000004</v>
      </c>
      <c r="G875" s="3">
        <f t="shared" si="52"/>
        <v>-13.727337925513295</v>
      </c>
      <c r="I875" s="2">
        <v>44704</v>
      </c>
      <c r="J875" s="3">
        <f>IFERROR(VLOOKUP(I875,$A$1:$G$1610,3,FALSE),J874)</f>
        <v>28.48</v>
      </c>
      <c r="K875" s="3">
        <f>IFERROR(VLOOKUP(I875,$A$1:$G$1610,7,FALSE),K874)</f>
        <v>-17.154168820988382</v>
      </c>
      <c r="L875" s="5">
        <f t="shared" si="53"/>
        <v>1</v>
      </c>
    </row>
    <row r="876" spans="1:12" x14ac:dyDescent="0.25">
      <c r="A876" s="2">
        <v>45055</v>
      </c>
      <c r="B876" s="3">
        <v>17.71</v>
      </c>
      <c r="C876" s="3">
        <f t="shared" si="54"/>
        <v>17.71</v>
      </c>
      <c r="D876" s="3">
        <v>4119.17</v>
      </c>
      <c r="E876" s="3">
        <f t="shared" si="55"/>
        <v>4119.17</v>
      </c>
      <c r="F876" s="3">
        <f>MAX($E$2:E876)</f>
        <v>4796.5600000000004</v>
      </c>
      <c r="G876" s="3">
        <f t="shared" si="52"/>
        <v>-14.122412729122544</v>
      </c>
      <c r="I876" s="2">
        <v>44705</v>
      </c>
      <c r="J876" s="3">
        <f>IFERROR(VLOOKUP(I876,$A$1:$G$1610,3,FALSE),J875)</f>
        <v>29.45</v>
      </c>
      <c r="K876" s="3">
        <f>IFERROR(VLOOKUP(I876,$A$1:$G$1610,7,FALSE),K875)</f>
        <v>-17.826942642226935</v>
      </c>
      <c r="L876" s="5">
        <f t="shared" si="53"/>
        <v>1</v>
      </c>
    </row>
    <row r="877" spans="1:12" x14ac:dyDescent="0.25">
      <c r="A877" s="2">
        <v>45056</v>
      </c>
      <c r="B877" s="3">
        <v>16.940000000000001</v>
      </c>
      <c r="C877" s="3">
        <f t="shared" si="54"/>
        <v>16.940000000000001</v>
      </c>
      <c r="D877" s="3">
        <v>4137.6400000000003</v>
      </c>
      <c r="E877" s="3">
        <f t="shared" si="55"/>
        <v>4137.6400000000003</v>
      </c>
      <c r="F877" s="3">
        <f>MAX($E$2:E877)</f>
        <v>4796.5600000000004</v>
      </c>
      <c r="G877" s="3">
        <f t="shared" si="52"/>
        <v>-13.737345097319748</v>
      </c>
      <c r="I877" s="2">
        <v>44706</v>
      </c>
      <c r="J877" s="3">
        <f>IFERROR(VLOOKUP(I877,$A$1:$G$1610,3,FALSE),J876)</f>
        <v>28.37</v>
      </c>
      <c r="K877" s="3">
        <f>IFERROR(VLOOKUP(I877,$A$1:$G$1610,7,FALSE),K876)</f>
        <v>-17.050344413496347</v>
      </c>
      <c r="L877" s="5">
        <f t="shared" si="53"/>
        <v>1</v>
      </c>
    </row>
    <row r="878" spans="1:12" x14ac:dyDescent="0.25">
      <c r="A878" s="2">
        <v>45057</v>
      </c>
      <c r="B878" s="3">
        <v>16.93</v>
      </c>
      <c r="C878" s="3">
        <f t="shared" si="54"/>
        <v>16.93</v>
      </c>
      <c r="D878" s="3">
        <v>4130.62</v>
      </c>
      <c r="E878" s="3">
        <f t="shared" si="55"/>
        <v>4130.62</v>
      </c>
      <c r="F878" s="3">
        <f>MAX($E$2:E878)</f>
        <v>4796.5600000000004</v>
      </c>
      <c r="G878" s="3">
        <f t="shared" si="52"/>
        <v>-13.883699984989251</v>
      </c>
      <c r="I878" s="2">
        <v>44707</v>
      </c>
      <c r="J878" s="3">
        <f>IFERROR(VLOOKUP(I878,$A$1:$G$1610,3,FALSE),J877)</f>
        <v>27.5</v>
      </c>
      <c r="K878" s="3">
        <f>IFERROR(VLOOKUP(I878,$A$1:$G$1610,7,FALSE),K877)</f>
        <v>-15.401037410143942</v>
      </c>
      <c r="L878" s="5">
        <f t="shared" si="53"/>
        <v>1</v>
      </c>
    </row>
    <row r="879" spans="1:12" x14ac:dyDescent="0.25">
      <c r="A879" s="2">
        <v>45058</v>
      </c>
      <c r="B879" s="3">
        <v>17.03</v>
      </c>
      <c r="C879" s="3">
        <f t="shared" si="54"/>
        <v>17.03</v>
      </c>
      <c r="D879" s="3">
        <v>4124.08</v>
      </c>
      <c r="E879" s="3">
        <f t="shared" si="55"/>
        <v>4124.08</v>
      </c>
      <c r="F879" s="3">
        <f>MAX($E$2:E879)</f>
        <v>4796.5600000000004</v>
      </c>
      <c r="G879" s="3">
        <f t="shared" si="52"/>
        <v>-14.020047700852286</v>
      </c>
      <c r="I879" s="2">
        <v>44708</v>
      </c>
      <c r="J879" s="3">
        <f>IFERROR(VLOOKUP(I879,$A$1:$G$1610,3,FALSE),J878)</f>
        <v>25.72</v>
      </c>
      <c r="K879" s="3">
        <f>IFERROR(VLOOKUP(I879,$A$1:$G$1610,7,FALSE),K878)</f>
        <v>-13.307870640625794</v>
      </c>
      <c r="L879" s="5">
        <f t="shared" si="53"/>
        <v>1</v>
      </c>
    </row>
    <row r="880" spans="1:12" x14ac:dyDescent="0.25">
      <c r="A880" s="2">
        <v>45061</v>
      </c>
      <c r="B880" s="3">
        <v>17.12</v>
      </c>
      <c r="C880" s="3">
        <f t="shared" si="54"/>
        <v>17.12</v>
      </c>
      <c r="D880" s="3">
        <v>4136.28</v>
      </c>
      <c r="E880" s="3">
        <f t="shared" si="55"/>
        <v>4136.28</v>
      </c>
      <c r="F880" s="3">
        <f>MAX($E$2:E880)</f>
        <v>4796.5600000000004</v>
      </c>
      <c r="G880" s="3">
        <f t="shared" si="52"/>
        <v>-13.765698750771399</v>
      </c>
      <c r="I880" s="2">
        <v>44709</v>
      </c>
      <c r="J880" s="3">
        <f>IFERROR(VLOOKUP(I880,$A$1:$G$1610,3,FALSE),J879)</f>
        <v>25.72</v>
      </c>
      <c r="K880" s="3">
        <f>IFERROR(VLOOKUP(I880,$A$1:$G$1610,7,FALSE),K879)</f>
        <v>-13.307870640625794</v>
      </c>
      <c r="L880" s="5">
        <f t="shared" si="53"/>
        <v>1</v>
      </c>
    </row>
    <row r="881" spans="1:12" x14ac:dyDescent="0.25">
      <c r="A881" s="2">
        <v>45062</v>
      </c>
      <c r="B881" s="3">
        <v>17.989999999999998</v>
      </c>
      <c r="C881" s="3">
        <f t="shared" si="54"/>
        <v>17.989999999999998</v>
      </c>
      <c r="D881" s="3">
        <v>4109.8999999999996</v>
      </c>
      <c r="E881" s="3">
        <f t="shared" si="55"/>
        <v>4109.8999999999996</v>
      </c>
      <c r="F881" s="3">
        <f>MAX($E$2:E881)</f>
        <v>4796.5600000000004</v>
      </c>
      <c r="G881" s="3">
        <f t="shared" si="52"/>
        <v>-14.315676234634836</v>
      </c>
      <c r="I881" s="2">
        <v>44710</v>
      </c>
      <c r="J881" s="3">
        <f>IFERROR(VLOOKUP(I881,$A$1:$G$1610,3,FALSE),J880)</f>
        <v>25.72</v>
      </c>
      <c r="K881" s="3">
        <f>IFERROR(VLOOKUP(I881,$A$1:$G$1610,7,FALSE),K880)</f>
        <v>-13.307870640625794</v>
      </c>
      <c r="L881" s="5">
        <f t="shared" si="53"/>
        <v>1</v>
      </c>
    </row>
    <row r="882" spans="1:12" x14ac:dyDescent="0.25">
      <c r="A882" s="2">
        <v>45063</v>
      </c>
      <c r="B882" s="3">
        <v>16.87</v>
      </c>
      <c r="C882" s="3">
        <f t="shared" si="54"/>
        <v>16.87</v>
      </c>
      <c r="D882" s="3">
        <v>4158.7700000000004</v>
      </c>
      <c r="E882" s="3">
        <f t="shared" si="55"/>
        <v>4158.7700000000004</v>
      </c>
      <c r="F882" s="3">
        <f>MAX($E$2:E882)</f>
        <v>4796.5600000000004</v>
      </c>
      <c r="G882" s="3">
        <f t="shared" si="52"/>
        <v>-13.296821055089477</v>
      </c>
      <c r="I882" s="2">
        <v>44711</v>
      </c>
      <c r="J882" s="3">
        <f>IFERROR(VLOOKUP(I882,$A$1:$G$1610,3,FALSE),J881)</f>
        <v>26.54</v>
      </c>
      <c r="K882" s="3">
        <f>IFERROR(VLOOKUP(I882,$A$1:$G$1610,7,FALSE),K881)</f>
        <v>-13.307870640625794</v>
      </c>
      <c r="L882" s="5">
        <f t="shared" si="53"/>
        <v>1</v>
      </c>
    </row>
    <row r="883" spans="1:12" x14ac:dyDescent="0.25">
      <c r="A883" s="2">
        <v>45064</v>
      </c>
      <c r="B883" s="3">
        <v>16.05</v>
      </c>
      <c r="C883" s="3">
        <f t="shared" si="54"/>
        <v>16.05</v>
      </c>
      <c r="D883" s="3">
        <v>4198.05</v>
      </c>
      <c r="E883" s="3">
        <f t="shared" si="55"/>
        <v>4198.05</v>
      </c>
      <c r="F883" s="3">
        <f>MAX($E$2:E883)</f>
        <v>4796.5600000000004</v>
      </c>
      <c r="G883" s="3">
        <f t="shared" si="52"/>
        <v>-12.477900828927401</v>
      </c>
      <c r="I883" s="2">
        <v>44712</v>
      </c>
      <c r="J883" s="3">
        <f>IFERROR(VLOOKUP(I883,$A$1:$G$1610,3,FALSE),J882)</f>
        <v>26.19</v>
      </c>
      <c r="K883" s="3">
        <f>IFERROR(VLOOKUP(I883,$A$1:$G$1610,7,FALSE),K882)</f>
        <v>-13.85180212485616</v>
      </c>
      <c r="L883" s="5">
        <f t="shared" si="53"/>
        <v>1</v>
      </c>
    </row>
    <row r="884" spans="1:12" x14ac:dyDescent="0.25">
      <c r="A884" s="2">
        <v>45065</v>
      </c>
      <c r="B884" s="3">
        <v>16.809999999999999</v>
      </c>
      <c r="C884" s="3">
        <f t="shared" si="54"/>
        <v>16.809999999999999</v>
      </c>
      <c r="D884" s="3">
        <v>4191.9799999999996</v>
      </c>
      <c r="E884" s="3">
        <f t="shared" si="55"/>
        <v>4191.9799999999996</v>
      </c>
      <c r="F884" s="3">
        <f>MAX($E$2:E884)</f>
        <v>4796.5600000000004</v>
      </c>
      <c r="G884" s="3">
        <f t="shared" si="52"/>
        <v>-12.604449855729957</v>
      </c>
      <c r="I884" s="2">
        <v>44713</v>
      </c>
      <c r="J884" s="3">
        <f>IFERROR(VLOOKUP(I884,$A$1:$G$1610,3,FALSE),J883)</f>
        <v>25.69</v>
      </c>
      <c r="K884" s="3">
        <f>IFERROR(VLOOKUP(I884,$A$1:$G$1610,7,FALSE),K883)</f>
        <v>-14.496430775389044</v>
      </c>
      <c r="L884" s="5">
        <f t="shared" si="53"/>
        <v>1</v>
      </c>
    </row>
    <row r="885" spans="1:12" x14ac:dyDescent="0.25">
      <c r="A885" s="2">
        <v>45068</v>
      </c>
      <c r="B885" s="3">
        <v>17.21</v>
      </c>
      <c r="C885" s="3">
        <f t="shared" si="54"/>
        <v>17.21</v>
      </c>
      <c r="D885" s="3">
        <v>4192.63</v>
      </c>
      <c r="E885" s="3">
        <f t="shared" si="55"/>
        <v>4192.63</v>
      </c>
      <c r="F885" s="3">
        <f>MAX($E$2:E885)</f>
        <v>4796.5600000000004</v>
      </c>
      <c r="G885" s="3">
        <f t="shared" si="52"/>
        <v>-12.59089847724203</v>
      </c>
      <c r="I885" s="2">
        <v>44714</v>
      </c>
      <c r="J885" s="3">
        <f>IFERROR(VLOOKUP(I885,$A$1:$G$1610,3,FALSE),J884)</f>
        <v>24.72</v>
      </c>
      <c r="K885" s="3">
        <f>IFERROR(VLOOKUP(I885,$A$1:$G$1610,7,FALSE),K884)</f>
        <v>-12.920509698617355</v>
      </c>
      <c r="L885" s="5">
        <f t="shared" si="53"/>
        <v>1</v>
      </c>
    </row>
    <row r="886" spans="1:12" x14ac:dyDescent="0.25">
      <c r="A886" s="2">
        <v>45069</v>
      </c>
      <c r="B886" s="3">
        <v>18.53</v>
      </c>
      <c r="C886" s="3">
        <f t="shared" si="54"/>
        <v>18.53</v>
      </c>
      <c r="D886" s="3">
        <v>4145.58</v>
      </c>
      <c r="E886" s="3">
        <f t="shared" si="55"/>
        <v>4145.58</v>
      </c>
      <c r="F886" s="3">
        <f>MAX($E$2:E886)</f>
        <v>4796.5600000000004</v>
      </c>
      <c r="G886" s="3">
        <f t="shared" si="52"/>
        <v>-13.571809797021206</v>
      </c>
      <c r="I886" s="2">
        <v>44715</v>
      </c>
      <c r="J886" s="3">
        <f>IFERROR(VLOOKUP(I886,$A$1:$G$1610,3,FALSE),J885)</f>
        <v>24.79</v>
      </c>
      <c r="K886" s="3">
        <f>IFERROR(VLOOKUP(I886,$A$1:$G$1610,7,FALSE),K885)</f>
        <v>-14.344029888086471</v>
      </c>
      <c r="L886" s="5">
        <f t="shared" si="53"/>
        <v>1</v>
      </c>
    </row>
    <row r="887" spans="1:12" x14ac:dyDescent="0.25">
      <c r="A887" s="2">
        <v>45070</v>
      </c>
      <c r="B887" s="3">
        <v>20.03</v>
      </c>
      <c r="C887" s="3">
        <f t="shared" si="54"/>
        <v>20.03</v>
      </c>
      <c r="D887" s="3">
        <v>4115.24</v>
      </c>
      <c r="E887" s="3">
        <f t="shared" si="55"/>
        <v>4115.24</v>
      </c>
      <c r="F887" s="3">
        <f>MAX($E$2:E887)</f>
        <v>4796.5600000000004</v>
      </c>
      <c r="G887" s="3">
        <f t="shared" si="52"/>
        <v>-14.204346448287952</v>
      </c>
      <c r="I887" s="2">
        <v>44716</v>
      </c>
      <c r="J887" s="3">
        <f>IFERROR(VLOOKUP(I887,$A$1:$G$1610,3,FALSE),J886)</f>
        <v>24.79</v>
      </c>
      <c r="K887" s="3">
        <f>IFERROR(VLOOKUP(I887,$A$1:$G$1610,7,FALSE),K886)</f>
        <v>-14.344029888086471</v>
      </c>
      <c r="L887" s="5">
        <f t="shared" si="53"/>
        <v>1</v>
      </c>
    </row>
    <row r="888" spans="1:12" x14ac:dyDescent="0.25">
      <c r="A888" s="2">
        <v>45071</v>
      </c>
      <c r="B888" s="3">
        <v>19.14</v>
      </c>
      <c r="C888" s="3">
        <f t="shared" si="54"/>
        <v>19.14</v>
      </c>
      <c r="D888" s="3">
        <v>4151.28</v>
      </c>
      <c r="E888" s="3">
        <f t="shared" si="55"/>
        <v>4151.28</v>
      </c>
      <c r="F888" s="3">
        <f>MAX($E$2:E888)</f>
        <v>4796.5600000000004</v>
      </c>
      <c r="G888" s="3">
        <f t="shared" si="52"/>
        <v>-13.452974631819483</v>
      </c>
      <c r="I888" s="2">
        <v>44717</v>
      </c>
      <c r="J888" s="3">
        <f>IFERROR(VLOOKUP(I888,$A$1:$G$1610,3,FALSE),J887)</f>
        <v>24.79</v>
      </c>
      <c r="K888" s="3">
        <f>IFERROR(VLOOKUP(I888,$A$1:$G$1610,7,FALSE),K887)</f>
        <v>-14.344029888086471</v>
      </c>
      <c r="L888" s="5">
        <f t="shared" si="53"/>
        <v>1</v>
      </c>
    </row>
    <row r="889" spans="1:12" x14ac:dyDescent="0.25">
      <c r="A889" s="2">
        <v>45072</v>
      </c>
      <c r="B889" s="3">
        <v>17.95</v>
      </c>
      <c r="C889" s="3">
        <f t="shared" si="54"/>
        <v>17.95</v>
      </c>
      <c r="D889" s="3">
        <v>4205.45</v>
      </c>
      <c r="E889" s="3">
        <f t="shared" si="55"/>
        <v>4205.45</v>
      </c>
      <c r="F889" s="3">
        <f>MAX($E$2:E889)</f>
        <v>4796.5600000000004</v>
      </c>
      <c r="G889" s="3">
        <f t="shared" si="52"/>
        <v>-12.32362359691113</v>
      </c>
      <c r="I889" s="2">
        <v>44718</v>
      </c>
      <c r="J889" s="3">
        <f>IFERROR(VLOOKUP(I889,$A$1:$G$1610,3,FALSE),J888)</f>
        <v>25.07</v>
      </c>
      <c r="K889" s="3">
        <f>IFERROR(VLOOKUP(I889,$A$1:$G$1610,7,FALSE),K888)</f>
        <v>-14.075295628533786</v>
      </c>
      <c r="L889" s="5">
        <f t="shared" si="53"/>
        <v>1</v>
      </c>
    </row>
    <row r="890" spans="1:12" x14ac:dyDescent="0.25">
      <c r="A890" s="2">
        <v>45075</v>
      </c>
      <c r="B890" s="3">
        <v>17.46</v>
      </c>
      <c r="C890" s="3">
        <f t="shared" si="54"/>
        <v>17.46</v>
      </c>
      <c r="E890" s="3">
        <f t="shared" si="55"/>
        <v>4205.45</v>
      </c>
      <c r="F890" s="3">
        <f>MAX($E$2:E890)</f>
        <v>4796.5600000000004</v>
      </c>
      <c r="G890" s="3">
        <f t="shared" si="52"/>
        <v>-12.32362359691113</v>
      </c>
      <c r="I890" s="2">
        <v>44719</v>
      </c>
      <c r="J890" s="3">
        <f>IFERROR(VLOOKUP(I890,$A$1:$G$1610,3,FALSE),J889)</f>
        <v>24.02</v>
      </c>
      <c r="K890" s="3">
        <f>IFERROR(VLOOKUP(I890,$A$1:$G$1610,7,FALSE),K889)</f>
        <v>-13.257000850609604</v>
      </c>
      <c r="L890" s="5">
        <f t="shared" si="53"/>
        <v>1</v>
      </c>
    </row>
    <row r="891" spans="1:12" x14ac:dyDescent="0.25">
      <c r="A891" s="2">
        <v>45076</v>
      </c>
      <c r="B891" s="3">
        <v>17.46</v>
      </c>
      <c r="C891" s="3">
        <f t="shared" si="54"/>
        <v>17.46</v>
      </c>
      <c r="D891" s="3">
        <v>4205.5200000000004</v>
      </c>
      <c r="E891" s="3">
        <f t="shared" si="55"/>
        <v>4205.5200000000004</v>
      </c>
      <c r="F891" s="3">
        <f>MAX($E$2:E891)</f>
        <v>4796.5600000000004</v>
      </c>
      <c r="G891" s="3">
        <f t="shared" si="52"/>
        <v>-12.322164217689343</v>
      </c>
      <c r="I891" s="2">
        <v>44720</v>
      </c>
      <c r="J891" s="3">
        <f>IFERROR(VLOOKUP(I891,$A$1:$G$1610,3,FALSE),J890)</f>
        <v>23.96</v>
      </c>
      <c r="K891" s="3">
        <f>IFERROR(VLOOKUP(I891,$A$1:$G$1610,7,FALSE),K890)</f>
        <v>-14.193296862751637</v>
      </c>
      <c r="L891" s="5">
        <f t="shared" si="53"/>
        <v>1</v>
      </c>
    </row>
    <row r="892" spans="1:12" x14ac:dyDescent="0.25">
      <c r="A892" s="2">
        <v>45077</v>
      </c>
      <c r="B892" s="3">
        <v>17.940000000000001</v>
      </c>
      <c r="C892" s="3">
        <f t="shared" si="54"/>
        <v>17.940000000000001</v>
      </c>
      <c r="D892" s="3">
        <v>4179.83</v>
      </c>
      <c r="E892" s="3">
        <f t="shared" si="55"/>
        <v>4179.83</v>
      </c>
      <c r="F892" s="3">
        <f>MAX($E$2:E892)</f>
        <v>4796.5600000000004</v>
      </c>
      <c r="G892" s="3">
        <f t="shared" si="52"/>
        <v>-12.857756392080999</v>
      </c>
      <c r="I892" s="2">
        <v>44721</v>
      </c>
      <c r="J892" s="3">
        <f>IFERROR(VLOOKUP(I892,$A$1:$G$1610,3,FALSE),J891)</f>
        <v>26.09</v>
      </c>
      <c r="K892" s="3">
        <f>IFERROR(VLOOKUP(I892,$A$1:$G$1610,7,FALSE),K891)</f>
        <v>-16.235385359507649</v>
      </c>
      <c r="L892" s="5">
        <f t="shared" si="53"/>
        <v>1</v>
      </c>
    </row>
    <row r="893" spans="1:12" x14ac:dyDescent="0.25">
      <c r="A893" s="2">
        <v>45078</v>
      </c>
      <c r="B893" s="3">
        <v>15.65</v>
      </c>
      <c r="C893" s="3">
        <f t="shared" si="54"/>
        <v>15.65</v>
      </c>
      <c r="D893" s="3">
        <v>4221.0200000000004</v>
      </c>
      <c r="E893" s="3">
        <f t="shared" si="55"/>
        <v>4221.0200000000004</v>
      </c>
      <c r="F893" s="3">
        <f>MAX($E$2:E893)</f>
        <v>4796.5600000000004</v>
      </c>
      <c r="G893" s="3">
        <f t="shared" si="52"/>
        <v>-11.99901596143903</v>
      </c>
      <c r="I893" s="2">
        <v>44722</v>
      </c>
      <c r="J893" s="3">
        <f>IFERROR(VLOOKUP(I893,$A$1:$G$1610,3,FALSE),J892)</f>
        <v>27.75</v>
      </c>
      <c r="K893" s="3">
        <f>IFERROR(VLOOKUP(I893,$A$1:$G$1610,7,FALSE),K892)</f>
        <v>-18.673799556348722</v>
      </c>
      <c r="L893" s="5">
        <f t="shared" si="53"/>
        <v>1</v>
      </c>
    </row>
    <row r="894" spans="1:12" x14ac:dyDescent="0.25">
      <c r="A894" s="2">
        <v>45079</v>
      </c>
      <c r="B894" s="3">
        <v>14.6</v>
      </c>
      <c r="C894" s="3">
        <f t="shared" si="54"/>
        <v>14.6</v>
      </c>
      <c r="D894" s="3">
        <v>4282.37</v>
      </c>
      <c r="E894" s="3">
        <f t="shared" si="55"/>
        <v>4282.37</v>
      </c>
      <c r="F894" s="3">
        <f>MAX($E$2:E894)</f>
        <v>4796.5600000000004</v>
      </c>
      <c r="G894" s="3">
        <f t="shared" si="52"/>
        <v>-10.719974314925707</v>
      </c>
      <c r="I894" s="2">
        <v>44723</v>
      </c>
      <c r="J894" s="3">
        <f>IFERROR(VLOOKUP(I894,$A$1:$G$1610,3,FALSE),J893)</f>
        <v>27.75</v>
      </c>
      <c r="K894" s="3">
        <f>IFERROR(VLOOKUP(I894,$A$1:$G$1610,7,FALSE),K893)</f>
        <v>-18.673799556348722</v>
      </c>
      <c r="L894" s="5">
        <f t="shared" si="53"/>
        <v>1</v>
      </c>
    </row>
    <row r="895" spans="1:12" x14ac:dyDescent="0.25">
      <c r="A895" s="2">
        <v>45082</v>
      </c>
      <c r="B895" s="3">
        <v>14.73</v>
      </c>
      <c r="C895" s="3">
        <f t="shared" si="54"/>
        <v>14.73</v>
      </c>
      <c r="D895" s="3">
        <v>4273.79</v>
      </c>
      <c r="E895" s="3">
        <f t="shared" si="55"/>
        <v>4273.79</v>
      </c>
      <c r="F895" s="3">
        <f>MAX($E$2:E895)</f>
        <v>4796.5600000000004</v>
      </c>
      <c r="G895" s="3">
        <f t="shared" si="52"/>
        <v>-10.898852510966201</v>
      </c>
      <c r="I895" s="2">
        <v>44724</v>
      </c>
      <c r="J895" s="3">
        <f>IFERROR(VLOOKUP(I895,$A$1:$G$1610,3,FALSE),J894)</f>
        <v>27.75</v>
      </c>
      <c r="K895" s="3">
        <f>IFERROR(VLOOKUP(I895,$A$1:$G$1610,7,FALSE),K894)</f>
        <v>-18.673799556348722</v>
      </c>
      <c r="L895" s="5">
        <f t="shared" si="53"/>
        <v>1</v>
      </c>
    </row>
    <row r="896" spans="1:12" x14ac:dyDescent="0.25">
      <c r="A896" s="2">
        <v>45083</v>
      </c>
      <c r="B896" s="3">
        <v>13.96</v>
      </c>
      <c r="C896" s="3">
        <f t="shared" si="54"/>
        <v>13.96</v>
      </c>
      <c r="D896" s="3">
        <v>4283.8500000000004</v>
      </c>
      <c r="E896" s="3">
        <f t="shared" si="55"/>
        <v>4283.8500000000004</v>
      </c>
      <c r="F896" s="3">
        <f>MAX($E$2:E896)</f>
        <v>4796.5600000000004</v>
      </c>
      <c r="G896" s="3">
        <f t="shared" si="52"/>
        <v>-10.68911886852244</v>
      </c>
      <c r="I896" s="2">
        <v>44725</v>
      </c>
      <c r="J896" s="3">
        <f>IFERROR(VLOOKUP(I896,$A$1:$G$1610,3,FALSE),J895)</f>
        <v>34.020000000000003</v>
      </c>
      <c r="K896" s="3">
        <f>IFERROR(VLOOKUP(I896,$A$1:$G$1610,7,FALSE),K895)</f>
        <v>-21.826684123621934</v>
      </c>
      <c r="L896" s="5">
        <f t="shared" si="53"/>
        <v>1</v>
      </c>
    </row>
    <row r="897" spans="1:12" x14ac:dyDescent="0.25">
      <c r="A897" s="2">
        <v>45084</v>
      </c>
      <c r="B897" s="3">
        <v>13.94</v>
      </c>
      <c r="C897" s="3">
        <f t="shared" si="54"/>
        <v>13.94</v>
      </c>
      <c r="D897" s="3">
        <v>4267.5200000000004</v>
      </c>
      <c r="E897" s="3">
        <f t="shared" si="55"/>
        <v>4267.5200000000004</v>
      </c>
      <c r="F897" s="3">
        <f>MAX($E$2:E897)</f>
        <v>4796.5600000000004</v>
      </c>
      <c r="G897" s="3">
        <f t="shared" si="52"/>
        <v>-11.02957119268809</v>
      </c>
      <c r="I897" s="2">
        <v>44726</v>
      </c>
      <c r="J897" s="3">
        <f>IFERROR(VLOOKUP(I897,$A$1:$G$1610,3,FALSE),J896)</f>
        <v>32.69</v>
      </c>
      <c r="K897" s="3">
        <f>IFERROR(VLOOKUP(I897,$A$1:$G$1610,7,FALSE),K896)</f>
        <v>-22.121687209166577</v>
      </c>
      <c r="L897" s="5">
        <f t="shared" si="53"/>
        <v>1</v>
      </c>
    </row>
    <row r="898" spans="1:12" x14ac:dyDescent="0.25">
      <c r="A898" s="2">
        <v>45085</v>
      </c>
      <c r="B898" s="3">
        <v>13.65</v>
      </c>
      <c r="C898" s="3">
        <f t="shared" si="54"/>
        <v>13.65</v>
      </c>
      <c r="D898" s="3">
        <v>4293.93</v>
      </c>
      <c r="E898" s="3">
        <f t="shared" si="55"/>
        <v>4293.93</v>
      </c>
      <c r="F898" s="3">
        <f>MAX($E$2:E898)</f>
        <v>4796.5600000000004</v>
      </c>
      <c r="G898" s="3">
        <f t="shared" ref="G898:G961" si="56">(E898-F898)/F898*100</f>
        <v>-10.478968260586754</v>
      </c>
      <c r="I898" s="2">
        <v>44727</v>
      </c>
      <c r="J898" s="3">
        <f>IFERROR(VLOOKUP(I898,$A$1:$G$1610,3,FALSE),J897)</f>
        <v>29.62</v>
      </c>
      <c r="K898" s="3">
        <f>IFERROR(VLOOKUP(I898,$A$1:$G$1610,7,FALSE),K897)</f>
        <v>-20.985247760895319</v>
      </c>
      <c r="L898" s="5">
        <f t="shared" ref="L898:L961" si="57">IF(OR(J898&gt;=30,K898&lt;-10),1,0)</f>
        <v>1</v>
      </c>
    </row>
    <row r="899" spans="1:12" x14ac:dyDescent="0.25">
      <c r="A899" s="2">
        <v>45086</v>
      </c>
      <c r="B899" s="3">
        <v>13.83</v>
      </c>
      <c r="C899" s="3">
        <f t="shared" ref="C899:C962" si="58">IF(B899="",B898,B899)</f>
        <v>13.83</v>
      </c>
      <c r="D899" s="3">
        <v>4298.8599999999997</v>
      </c>
      <c r="E899" s="3">
        <f t="shared" si="55"/>
        <v>4298.8599999999997</v>
      </c>
      <c r="F899" s="3">
        <f>MAX($E$2:E899)</f>
        <v>4796.5600000000004</v>
      </c>
      <c r="G899" s="3">
        <f t="shared" si="56"/>
        <v>-10.376186266824572</v>
      </c>
      <c r="I899" s="2">
        <v>44728</v>
      </c>
      <c r="J899" s="3">
        <f>IFERROR(VLOOKUP(I899,$A$1:$G$1610,3,FALSE),J898)</f>
        <v>32.950000000000003</v>
      </c>
      <c r="K899" s="3">
        <f>IFERROR(VLOOKUP(I899,$A$1:$G$1610,7,FALSE),K898)</f>
        <v>-23.554172156712315</v>
      </c>
      <c r="L899" s="5">
        <f t="shared" si="57"/>
        <v>1</v>
      </c>
    </row>
    <row r="900" spans="1:12" x14ac:dyDescent="0.25">
      <c r="A900" s="2">
        <v>45089</v>
      </c>
      <c r="B900" s="3">
        <v>15.01</v>
      </c>
      <c r="C900" s="3">
        <f t="shared" si="58"/>
        <v>15.01</v>
      </c>
      <c r="D900" s="3">
        <v>4338.93</v>
      </c>
      <c r="E900" s="3">
        <f t="shared" si="55"/>
        <v>4338.93</v>
      </c>
      <c r="F900" s="3">
        <f>MAX($E$2:E900)</f>
        <v>4796.5600000000004</v>
      </c>
      <c r="G900" s="3">
        <f t="shared" si="56"/>
        <v>-9.5407959037310093</v>
      </c>
      <c r="I900" s="2">
        <v>44729</v>
      </c>
      <c r="J900" s="3">
        <f>IFERROR(VLOOKUP(I900,$A$1:$G$1610,3,FALSE),J899)</f>
        <v>31.13</v>
      </c>
      <c r="K900" s="3">
        <f>IFERROR(VLOOKUP(I900,$A$1:$G$1610,7,FALSE),K899)</f>
        <v>-23.38592658071618</v>
      </c>
      <c r="L900" s="5">
        <f t="shared" si="57"/>
        <v>1</v>
      </c>
    </row>
    <row r="901" spans="1:12" x14ac:dyDescent="0.25">
      <c r="A901" s="2">
        <v>45090</v>
      </c>
      <c r="B901" s="3">
        <v>14.61</v>
      </c>
      <c r="C901" s="3">
        <f t="shared" si="58"/>
        <v>14.61</v>
      </c>
      <c r="D901" s="3">
        <v>4369.01</v>
      </c>
      <c r="E901" s="3">
        <f t="shared" ref="E901:E964" si="59">IF(D901="",D900,D901)</f>
        <v>4369.01</v>
      </c>
      <c r="F901" s="3">
        <f>MAX($E$2:E901)</f>
        <v>4796.5600000000004</v>
      </c>
      <c r="G901" s="3">
        <f t="shared" si="56"/>
        <v>-8.913679803859436</v>
      </c>
      <c r="I901" s="2">
        <v>44730</v>
      </c>
      <c r="J901" s="3">
        <f>IFERROR(VLOOKUP(I901,$A$1:$G$1610,3,FALSE),J900)</f>
        <v>31.13</v>
      </c>
      <c r="K901" s="3">
        <f>IFERROR(VLOOKUP(I901,$A$1:$G$1610,7,FALSE),K900)</f>
        <v>-23.38592658071618</v>
      </c>
      <c r="L901" s="5">
        <f t="shared" si="57"/>
        <v>1</v>
      </c>
    </row>
    <row r="902" spans="1:12" x14ac:dyDescent="0.25">
      <c r="A902" s="2">
        <v>45091</v>
      </c>
      <c r="B902" s="3">
        <v>13.88</v>
      </c>
      <c r="C902" s="3">
        <f t="shared" si="58"/>
        <v>13.88</v>
      </c>
      <c r="D902" s="3">
        <v>4372.59</v>
      </c>
      <c r="E902" s="3">
        <f t="shared" si="59"/>
        <v>4372.59</v>
      </c>
      <c r="F902" s="3">
        <f>MAX($E$2:E902)</f>
        <v>4796.5600000000004</v>
      </c>
      <c r="G902" s="3">
        <f t="shared" si="56"/>
        <v>-8.8390429808029136</v>
      </c>
      <c r="I902" s="2">
        <v>44731</v>
      </c>
      <c r="J902" s="3">
        <f>IFERROR(VLOOKUP(I902,$A$1:$G$1610,3,FALSE),J901)</f>
        <v>31.13</v>
      </c>
      <c r="K902" s="3">
        <f>IFERROR(VLOOKUP(I902,$A$1:$G$1610,7,FALSE),K901)</f>
        <v>-23.38592658071618</v>
      </c>
      <c r="L902" s="5">
        <f t="shared" si="57"/>
        <v>1</v>
      </c>
    </row>
    <row r="903" spans="1:12" x14ac:dyDescent="0.25">
      <c r="A903" s="2">
        <v>45092</v>
      </c>
      <c r="B903" s="3">
        <v>14.5</v>
      </c>
      <c r="C903" s="3">
        <f t="shared" si="58"/>
        <v>14.5</v>
      </c>
      <c r="D903" s="3">
        <v>4425.84</v>
      </c>
      <c r="E903" s="3">
        <f t="shared" si="59"/>
        <v>4425.84</v>
      </c>
      <c r="F903" s="3">
        <f>MAX($E$2:E903)</f>
        <v>4796.5600000000004</v>
      </c>
      <c r="G903" s="3">
        <f t="shared" si="56"/>
        <v>-7.7288723585236125</v>
      </c>
      <c r="I903" s="2">
        <v>44732</v>
      </c>
      <c r="J903" s="3">
        <f>IFERROR(VLOOKUP(I903,$A$1:$G$1610,3,FALSE),J902)</f>
        <v>31.03</v>
      </c>
      <c r="K903" s="3">
        <f>IFERROR(VLOOKUP(I903,$A$1:$G$1610,7,FALSE),K902)</f>
        <v>-23.38592658071618</v>
      </c>
      <c r="L903" s="5">
        <f t="shared" si="57"/>
        <v>1</v>
      </c>
    </row>
    <row r="904" spans="1:12" x14ac:dyDescent="0.25">
      <c r="A904" s="2">
        <v>45093</v>
      </c>
      <c r="B904" s="3">
        <v>13.54</v>
      </c>
      <c r="C904" s="3">
        <f t="shared" si="58"/>
        <v>13.54</v>
      </c>
      <c r="D904" s="3">
        <v>4409.59</v>
      </c>
      <c r="E904" s="3">
        <f t="shared" si="59"/>
        <v>4409.59</v>
      </c>
      <c r="F904" s="3">
        <f>MAX($E$2:E904)</f>
        <v>4796.5600000000004</v>
      </c>
      <c r="G904" s="3">
        <f t="shared" si="56"/>
        <v>-8.0676568207215222</v>
      </c>
      <c r="I904" s="2">
        <v>44733</v>
      </c>
      <c r="J904" s="3">
        <f>IFERROR(VLOOKUP(I904,$A$1:$G$1610,3,FALSE),J903)</f>
        <v>30.19</v>
      </c>
      <c r="K904" s="3">
        <f>IFERROR(VLOOKUP(I904,$A$1:$G$1610,7,FALSE),K903)</f>
        <v>-21.510624280734532</v>
      </c>
      <c r="L904" s="5">
        <f t="shared" si="57"/>
        <v>1</v>
      </c>
    </row>
    <row r="905" spans="1:12" x14ac:dyDescent="0.25">
      <c r="A905" s="2">
        <v>45096</v>
      </c>
      <c r="B905" s="3">
        <v>14.19</v>
      </c>
      <c r="C905" s="3">
        <f t="shared" si="58"/>
        <v>14.19</v>
      </c>
      <c r="E905" s="3">
        <f t="shared" si="59"/>
        <v>4409.59</v>
      </c>
      <c r="F905" s="3">
        <f>MAX($E$2:E905)</f>
        <v>4796.5600000000004</v>
      </c>
      <c r="G905" s="3">
        <f t="shared" si="56"/>
        <v>-8.0676568207215222</v>
      </c>
      <c r="I905" s="2">
        <v>44734</v>
      </c>
      <c r="J905" s="3">
        <f>IFERROR(VLOOKUP(I905,$A$1:$G$1610,3,FALSE),J904)</f>
        <v>28.95</v>
      </c>
      <c r="K905" s="3">
        <f>IFERROR(VLOOKUP(I905,$A$1:$G$1610,7,FALSE),K904)</f>
        <v>-21.612780826258827</v>
      </c>
      <c r="L905" s="5">
        <f t="shared" si="57"/>
        <v>1</v>
      </c>
    </row>
    <row r="906" spans="1:12" x14ac:dyDescent="0.25">
      <c r="A906" s="2">
        <v>45097</v>
      </c>
      <c r="B906" s="3">
        <v>13.88</v>
      </c>
      <c r="C906" s="3">
        <f t="shared" si="58"/>
        <v>13.88</v>
      </c>
      <c r="D906" s="3">
        <v>4388.71</v>
      </c>
      <c r="E906" s="3">
        <f t="shared" si="59"/>
        <v>4388.71</v>
      </c>
      <c r="F906" s="3">
        <f>MAX($E$2:E906)</f>
        <v>4796.5600000000004</v>
      </c>
      <c r="G906" s="3">
        <f t="shared" si="56"/>
        <v>-8.5029687943025891</v>
      </c>
      <c r="I906" s="2">
        <v>44735</v>
      </c>
      <c r="J906" s="3">
        <f>IFERROR(VLOOKUP(I906,$A$1:$G$1610,3,FALSE),J905)</f>
        <v>29.05</v>
      </c>
      <c r="K906" s="3">
        <f>IFERROR(VLOOKUP(I906,$A$1:$G$1610,7,FALSE),K905)</f>
        <v>-20.865578664709712</v>
      </c>
      <c r="L906" s="5">
        <f t="shared" si="57"/>
        <v>1</v>
      </c>
    </row>
    <row r="907" spans="1:12" x14ac:dyDescent="0.25">
      <c r="A907" s="2">
        <v>45098</v>
      </c>
      <c r="B907" s="3">
        <v>13.2</v>
      </c>
      <c r="C907" s="3">
        <f t="shared" si="58"/>
        <v>13.2</v>
      </c>
      <c r="D907" s="3">
        <v>4365.6899999999996</v>
      </c>
      <c r="E907" s="3">
        <f t="shared" si="59"/>
        <v>4365.6899999999996</v>
      </c>
      <c r="F907" s="3">
        <f>MAX($E$2:E907)</f>
        <v>4796.5600000000004</v>
      </c>
      <c r="G907" s="3">
        <f t="shared" si="56"/>
        <v>-8.9828960755208058</v>
      </c>
      <c r="I907" s="2">
        <v>44736</v>
      </c>
      <c r="J907" s="3">
        <f>IFERROR(VLOOKUP(I907,$A$1:$G$1610,3,FALSE),J906)</f>
        <v>27.23</v>
      </c>
      <c r="K907" s="3">
        <f>IFERROR(VLOOKUP(I907,$A$1:$G$1610,7,FALSE),K906)</f>
        <v>-18.446970328735603</v>
      </c>
      <c r="L907" s="5">
        <f t="shared" si="57"/>
        <v>1</v>
      </c>
    </row>
    <row r="908" spans="1:12" x14ac:dyDescent="0.25">
      <c r="A908" s="2">
        <v>45099</v>
      </c>
      <c r="B908" s="3">
        <v>12.91</v>
      </c>
      <c r="C908" s="3">
        <f t="shared" si="58"/>
        <v>12.91</v>
      </c>
      <c r="D908" s="3">
        <v>4381.8900000000003</v>
      </c>
      <c r="E908" s="3">
        <f t="shared" si="59"/>
        <v>4381.8900000000003</v>
      </c>
      <c r="F908" s="3">
        <f>MAX($E$2:E908)</f>
        <v>4796.5600000000004</v>
      </c>
      <c r="G908" s="3">
        <f t="shared" si="56"/>
        <v>-8.6451540270527225</v>
      </c>
      <c r="I908" s="2">
        <v>44737</v>
      </c>
      <c r="J908" s="3">
        <f>IFERROR(VLOOKUP(I908,$A$1:$G$1610,3,FALSE),J907)</f>
        <v>27.23</v>
      </c>
      <c r="K908" s="3">
        <f>IFERROR(VLOOKUP(I908,$A$1:$G$1610,7,FALSE),K907)</f>
        <v>-18.446970328735603</v>
      </c>
      <c r="L908" s="5">
        <f t="shared" si="57"/>
        <v>1</v>
      </c>
    </row>
    <row r="909" spans="1:12" x14ac:dyDescent="0.25">
      <c r="A909" s="2">
        <v>45100</v>
      </c>
      <c r="B909" s="3">
        <v>13.44</v>
      </c>
      <c r="C909" s="3">
        <f t="shared" si="58"/>
        <v>13.44</v>
      </c>
      <c r="D909" s="3">
        <v>4348.33</v>
      </c>
      <c r="E909" s="3">
        <f t="shared" si="59"/>
        <v>4348.33</v>
      </c>
      <c r="F909" s="3">
        <f>MAX($E$2:E909)</f>
        <v>4796.5600000000004</v>
      </c>
      <c r="G909" s="3">
        <f t="shared" si="56"/>
        <v>-9.3448221225211494</v>
      </c>
      <c r="I909" s="2">
        <v>44738</v>
      </c>
      <c r="J909" s="3">
        <f>IFERROR(VLOOKUP(I909,$A$1:$G$1610,3,FALSE),J908)</f>
        <v>27.23</v>
      </c>
      <c r="K909" s="3">
        <f>IFERROR(VLOOKUP(I909,$A$1:$G$1610,7,FALSE),K908)</f>
        <v>-18.446970328735603</v>
      </c>
      <c r="L909" s="5">
        <f t="shared" si="57"/>
        <v>1</v>
      </c>
    </row>
    <row r="910" spans="1:12" x14ac:dyDescent="0.25">
      <c r="A910" s="2">
        <v>45103</v>
      </c>
      <c r="B910" s="3">
        <v>14.25</v>
      </c>
      <c r="C910" s="3">
        <f t="shared" si="58"/>
        <v>14.25</v>
      </c>
      <c r="D910" s="3">
        <v>4328.82</v>
      </c>
      <c r="E910" s="3">
        <f t="shared" si="59"/>
        <v>4328.82</v>
      </c>
      <c r="F910" s="3">
        <f>MAX($E$2:E910)</f>
        <v>4796.5600000000004</v>
      </c>
      <c r="G910" s="3">
        <f t="shared" si="56"/>
        <v>-9.7515719599046111</v>
      </c>
      <c r="I910" s="2">
        <v>44739</v>
      </c>
      <c r="J910" s="3">
        <f>IFERROR(VLOOKUP(I910,$A$1:$G$1610,3,FALSE),J909)</f>
        <v>26.95</v>
      </c>
      <c r="K910" s="3">
        <f>IFERROR(VLOOKUP(I910,$A$1:$G$1610,7,FALSE),K909)</f>
        <v>-18.689435762296316</v>
      </c>
      <c r="L910" s="5">
        <f t="shared" si="57"/>
        <v>1</v>
      </c>
    </row>
    <row r="911" spans="1:12" x14ac:dyDescent="0.25">
      <c r="A911" s="2">
        <v>45104</v>
      </c>
      <c r="B911" s="3">
        <v>13.74</v>
      </c>
      <c r="C911" s="3">
        <f t="shared" si="58"/>
        <v>13.74</v>
      </c>
      <c r="D911" s="3">
        <v>4378.41</v>
      </c>
      <c r="E911" s="3">
        <f t="shared" si="59"/>
        <v>4378.41</v>
      </c>
      <c r="F911" s="3">
        <f>MAX($E$2:E911)</f>
        <v>4796.5600000000004</v>
      </c>
      <c r="G911" s="3">
        <f t="shared" si="56"/>
        <v>-8.7177060226495762</v>
      </c>
      <c r="I911" s="2">
        <v>44740</v>
      </c>
      <c r="J911" s="3">
        <f>IFERROR(VLOOKUP(I911,$A$1:$G$1610,3,FALSE),J910)</f>
        <v>28.36</v>
      </c>
      <c r="K911" s="3">
        <f>IFERROR(VLOOKUP(I911,$A$1:$G$1610,7,FALSE),K910)</f>
        <v>-20.327276214620483</v>
      </c>
      <c r="L911" s="5">
        <f t="shared" si="57"/>
        <v>1</v>
      </c>
    </row>
    <row r="912" spans="1:12" x14ac:dyDescent="0.25">
      <c r="A912" s="2">
        <v>45105</v>
      </c>
      <c r="B912" s="3">
        <v>13.43</v>
      </c>
      <c r="C912" s="3">
        <f t="shared" si="58"/>
        <v>13.43</v>
      </c>
      <c r="D912" s="3">
        <v>4376.8599999999997</v>
      </c>
      <c r="E912" s="3">
        <f t="shared" si="59"/>
        <v>4376.8599999999997</v>
      </c>
      <c r="F912" s="3">
        <f>MAX($E$2:E912)</f>
        <v>4796.5600000000004</v>
      </c>
      <c r="G912" s="3">
        <f t="shared" si="56"/>
        <v>-8.7500208482746125</v>
      </c>
      <c r="I912" s="2">
        <v>44741</v>
      </c>
      <c r="J912" s="3">
        <f>IFERROR(VLOOKUP(I912,$A$1:$G$1610,3,FALSE),J911)</f>
        <v>28.16</v>
      </c>
      <c r="K912" s="3">
        <f>IFERROR(VLOOKUP(I912,$A$1:$G$1610,7,FALSE),K911)</f>
        <v>-20.383983521523767</v>
      </c>
      <c r="L912" s="5">
        <f t="shared" si="57"/>
        <v>1</v>
      </c>
    </row>
    <row r="913" spans="1:12" x14ac:dyDescent="0.25">
      <c r="A913" s="2">
        <v>45106</v>
      </c>
      <c r="B913" s="3">
        <v>13.54</v>
      </c>
      <c r="C913" s="3">
        <f t="shared" si="58"/>
        <v>13.54</v>
      </c>
      <c r="D913" s="3">
        <v>4396.4399999999996</v>
      </c>
      <c r="E913" s="3">
        <f t="shared" si="59"/>
        <v>4396.4399999999996</v>
      </c>
      <c r="F913" s="3">
        <f>MAX($E$2:E913)</f>
        <v>4796.5600000000004</v>
      </c>
      <c r="G913" s="3">
        <f t="shared" si="56"/>
        <v>-8.3418116316693798</v>
      </c>
      <c r="I913" s="2">
        <v>44742</v>
      </c>
      <c r="J913" s="3">
        <f>IFERROR(VLOOKUP(I913,$A$1:$G$1610,3,FALSE),J912)</f>
        <v>28.71</v>
      </c>
      <c r="K913" s="3">
        <f>IFERROR(VLOOKUP(I913,$A$1:$G$1610,7,FALSE),K912)</f>
        <v>-21.081358306786534</v>
      </c>
      <c r="L913" s="5">
        <f t="shared" si="57"/>
        <v>1</v>
      </c>
    </row>
    <row r="914" spans="1:12" x14ac:dyDescent="0.25">
      <c r="A914" s="2">
        <v>45107</v>
      </c>
      <c r="B914" s="3">
        <v>13.59</v>
      </c>
      <c r="C914" s="3">
        <f t="shared" si="58"/>
        <v>13.59</v>
      </c>
      <c r="D914" s="3">
        <v>4450.38</v>
      </c>
      <c r="E914" s="3">
        <f t="shared" si="59"/>
        <v>4450.38</v>
      </c>
      <c r="F914" s="3">
        <f>MAX($E$2:E914)</f>
        <v>4796.5600000000004</v>
      </c>
      <c r="G914" s="3">
        <f t="shared" si="56"/>
        <v>-7.2172556999182804</v>
      </c>
      <c r="I914" s="2">
        <v>44743</v>
      </c>
      <c r="J914" s="3">
        <f>IFERROR(VLOOKUP(I914,$A$1:$G$1610,3,FALSE),J913)</f>
        <v>26.7</v>
      </c>
      <c r="K914" s="3">
        <f>IFERROR(VLOOKUP(I914,$A$1:$G$1610,7,FALSE),K913)</f>
        <v>-20.248469736644601</v>
      </c>
      <c r="L914" s="5">
        <f t="shared" si="57"/>
        <v>1</v>
      </c>
    </row>
    <row r="915" spans="1:12" x14ac:dyDescent="0.25">
      <c r="A915" s="2">
        <v>45110</v>
      </c>
      <c r="B915" s="3">
        <v>13.57</v>
      </c>
      <c r="C915" s="3">
        <f t="shared" si="58"/>
        <v>13.57</v>
      </c>
      <c r="D915" s="3">
        <v>4455.59</v>
      </c>
      <c r="E915" s="3">
        <f t="shared" si="59"/>
        <v>4455.59</v>
      </c>
      <c r="F915" s="3">
        <f>MAX($E$2:E915)</f>
        <v>4796.5600000000004</v>
      </c>
      <c r="G915" s="3">
        <f t="shared" si="56"/>
        <v>-7.1086361892689816</v>
      </c>
      <c r="I915" s="2">
        <v>44744</v>
      </c>
      <c r="J915" s="3">
        <f>IFERROR(VLOOKUP(I915,$A$1:$G$1610,3,FALSE),J914)</f>
        <v>26.7</v>
      </c>
      <c r="K915" s="3">
        <f>IFERROR(VLOOKUP(I915,$A$1:$G$1610,7,FALSE),K914)</f>
        <v>-20.248469736644601</v>
      </c>
      <c r="L915" s="5">
        <f t="shared" si="57"/>
        <v>1</v>
      </c>
    </row>
    <row r="916" spans="1:12" x14ac:dyDescent="0.25">
      <c r="A916" s="2">
        <v>45111</v>
      </c>
      <c r="B916" s="3">
        <v>13.7</v>
      </c>
      <c r="C916" s="3">
        <f t="shared" si="58"/>
        <v>13.7</v>
      </c>
      <c r="E916" s="3">
        <f t="shared" si="59"/>
        <v>4455.59</v>
      </c>
      <c r="F916" s="3">
        <f>MAX($E$2:E916)</f>
        <v>4796.5600000000004</v>
      </c>
      <c r="G916" s="3">
        <f t="shared" si="56"/>
        <v>-7.1086361892689816</v>
      </c>
      <c r="I916" s="2">
        <v>44745</v>
      </c>
      <c r="J916" s="3">
        <f>IFERROR(VLOOKUP(I916,$A$1:$G$1610,3,FALSE),J915)</f>
        <v>26.7</v>
      </c>
      <c r="K916" s="3">
        <f>IFERROR(VLOOKUP(I916,$A$1:$G$1610,7,FALSE),K915)</f>
        <v>-20.248469736644601</v>
      </c>
      <c r="L916" s="5">
        <f t="shared" si="57"/>
        <v>1</v>
      </c>
    </row>
    <row r="917" spans="1:12" x14ac:dyDescent="0.25">
      <c r="A917" s="2">
        <v>45112</v>
      </c>
      <c r="B917" s="3">
        <v>14.18</v>
      </c>
      <c r="C917" s="3">
        <f t="shared" si="58"/>
        <v>14.18</v>
      </c>
      <c r="D917" s="3">
        <v>4446.82</v>
      </c>
      <c r="E917" s="3">
        <f t="shared" si="59"/>
        <v>4446.82</v>
      </c>
      <c r="F917" s="3">
        <f>MAX($E$2:E917)</f>
        <v>4796.5600000000004</v>
      </c>
      <c r="G917" s="3">
        <f t="shared" si="56"/>
        <v>-7.2914755574828769</v>
      </c>
      <c r="I917" s="2">
        <v>44746</v>
      </c>
      <c r="J917" s="3">
        <f>IFERROR(VLOOKUP(I917,$A$1:$G$1610,3,FALSE),J916)</f>
        <v>27.53</v>
      </c>
      <c r="K917" s="3">
        <f>IFERROR(VLOOKUP(I917,$A$1:$G$1610,7,FALSE),K916)</f>
        <v>-20.248469736644601</v>
      </c>
      <c r="L917" s="5">
        <f t="shared" si="57"/>
        <v>1</v>
      </c>
    </row>
    <row r="918" spans="1:12" x14ac:dyDescent="0.25">
      <c r="A918" s="2">
        <v>45113</v>
      </c>
      <c r="B918" s="3">
        <v>15.44</v>
      </c>
      <c r="C918" s="3">
        <f t="shared" si="58"/>
        <v>15.44</v>
      </c>
      <c r="D918" s="3">
        <v>4411.59</v>
      </c>
      <c r="E918" s="3">
        <f t="shared" si="59"/>
        <v>4411.59</v>
      </c>
      <c r="F918" s="3">
        <f>MAX($E$2:E918)</f>
        <v>4796.5600000000004</v>
      </c>
      <c r="G918" s="3">
        <f t="shared" si="56"/>
        <v>-8.0259602715279339</v>
      </c>
      <c r="I918" s="2">
        <v>44747</v>
      </c>
      <c r="J918" s="3">
        <f>IFERROR(VLOOKUP(I918,$A$1:$G$1610,3,FALSE),J917)</f>
        <v>27.54</v>
      </c>
      <c r="K918" s="3">
        <f>IFERROR(VLOOKUP(I918,$A$1:$G$1610,7,FALSE),K917)</f>
        <v>-20.12212919258803</v>
      </c>
      <c r="L918" s="5">
        <f t="shared" si="57"/>
        <v>1</v>
      </c>
    </row>
    <row r="919" spans="1:12" x14ac:dyDescent="0.25">
      <c r="A919" s="2">
        <v>45114</v>
      </c>
      <c r="B919" s="3">
        <v>14.83</v>
      </c>
      <c r="C919" s="3">
        <f t="shared" si="58"/>
        <v>14.83</v>
      </c>
      <c r="D919" s="3">
        <v>4398.95</v>
      </c>
      <c r="E919" s="3">
        <f t="shared" si="59"/>
        <v>4398.95</v>
      </c>
      <c r="F919" s="3">
        <f>MAX($E$2:E919)</f>
        <v>4796.5600000000004</v>
      </c>
      <c r="G919" s="3">
        <f t="shared" si="56"/>
        <v>-8.2894824624314207</v>
      </c>
      <c r="I919" s="2">
        <v>44748</v>
      </c>
      <c r="J919" s="3">
        <f>IFERROR(VLOOKUP(I919,$A$1:$G$1610,3,FALSE),J918)</f>
        <v>26.73</v>
      </c>
      <c r="K919" s="3">
        <f>IFERROR(VLOOKUP(I919,$A$1:$G$1610,7,FALSE),K918)</f>
        <v>-19.836716313357915</v>
      </c>
      <c r="L919" s="5">
        <f t="shared" si="57"/>
        <v>1</v>
      </c>
    </row>
    <row r="920" spans="1:12" x14ac:dyDescent="0.25">
      <c r="A920" s="2">
        <v>45117</v>
      </c>
      <c r="B920" s="3">
        <v>15.07</v>
      </c>
      <c r="C920" s="3">
        <f t="shared" si="58"/>
        <v>15.07</v>
      </c>
      <c r="D920" s="3">
        <v>4409.53</v>
      </c>
      <c r="E920" s="3">
        <f t="shared" si="59"/>
        <v>4409.53</v>
      </c>
      <c r="F920" s="3">
        <f>MAX($E$2:E920)</f>
        <v>4796.5600000000004</v>
      </c>
      <c r="G920" s="3">
        <f t="shared" si="56"/>
        <v>-8.0689077171973373</v>
      </c>
      <c r="I920" s="2">
        <v>44749</v>
      </c>
      <c r="J920" s="3">
        <f>IFERROR(VLOOKUP(I920,$A$1:$G$1610,3,FALSE),J919)</f>
        <v>26.08</v>
      </c>
      <c r="K920" s="3">
        <f>IFERROR(VLOOKUP(I920,$A$1:$G$1610,7,FALSE),K919)</f>
        <v>-18.637106593058366</v>
      </c>
      <c r="L920" s="5">
        <f t="shared" si="57"/>
        <v>1</v>
      </c>
    </row>
    <row r="921" spans="1:12" x14ac:dyDescent="0.25">
      <c r="A921" s="2">
        <v>45118</v>
      </c>
      <c r="B921" s="3">
        <v>14.84</v>
      </c>
      <c r="C921" s="3">
        <f t="shared" si="58"/>
        <v>14.84</v>
      </c>
      <c r="D921" s="3">
        <v>4439.26</v>
      </c>
      <c r="E921" s="3">
        <f t="shared" si="59"/>
        <v>4439.26</v>
      </c>
      <c r="F921" s="3">
        <f>MAX($E$2:E921)</f>
        <v>4796.5600000000004</v>
      </c>
      <c r="G921" s="3">
        <f t="shared" si="56"/>
        <v>-7.4490885134346314</v>
      </c>
      <c r="I921" s="2">
        <v>44750</v>
      </c>
      <c r="J921" s="3">
        <f>IFERROR(VLOOKUP(I921,$A$1:$G$1610,3,FALSE),J920)</f>
        <v>24.64</v>
      </c>
      <c r="K921" s="3">
        <f>IFERROR(VLOOKUP(I921,$A$1:$G$1610,7,FALSE),K920)</f>
        <v>-18.704655002751977</v>
      </c>
      <c r="L921" s="5">
        <f t="shared" si="57"/>
        <v>1</v>
      </c>
    </row>
    <row r="922" spans="1:12" x14ac:dyDescent="0.25">
      <c r="A922" s="2">
        <v>45119</v>
      </c>
      <c r="B922" s="3">
        <v>13.54</v>
      </c>
      <c r="C922" s="3">
        <f t="shared" si="58"/>
        <v>13.54</v>
      </c>
      <c r="D922" s="3">
        <v>4472.16</v>
      </c>
      <c r="E922" s="3">
        <f t="shared" si="59"/>
        <v>4472.16</v>
      </c>
      <c r="F922" s="3">
        <f>MAX($E$2:E922)</f>
        <v>4796.5600000000004</v>
      </c>
      <c r="G922" s="3">
        <f t="shared" si="56"/>
        <v>-6.7631802792001041</v>
      </c>
      <c r="I922" s="2">
        <v>44751</v>
      </c>
      <c r="J922" s="3">
        <f>IFERROR(VLOOKUP(I922,$A$1:$G$1610,3,FALSE),J921)</f>
        <v>24.64</v>
      </c>
      <c r="K922" s="3">
        <f>IFERROR(VLOOKUP(I922,$A$1:$G$1610,7,FALSE),K921)</f>
        <v>-18.704655002751977</v>
      </c>
      <c r="L922" s="5">
        <f t="shared" si="57"/>
        <v>1</v>
      </c>
    </row>
    <row r="923" spans="1:12" x14ac:dyDescent="0.25">
      <c r="A923" s="2">
        <v>45120</v>
      </c>
      <c r="B923" s="3">
        <v>13.61</v>
      </c>
      <c r="C923" s="3">
        <f t="shared" si="58"/>
        <v>13.61</v>
      </c>
      <c r="D923" s="3">
        <v>4510.04</v>
      </c>
      <c r="E923" s="3">
        <f t="shared" si="59"/>
        <v>4510.04</v>
      </c>
      <c r="F923" s="3">
        <f>MAX($E$2:E923)</f>
        <v>4796.5600000000004</v>
      </c>
      <c r="G923" s="3">
        <f t="shared" si="56"/>
        <v>-5.973447637473531</v>
      </c>
      <c r="I923" s="2">
        <v>44752</v>
      </c>
      <c r="J923" s="3">
        <f>IFERROR(VLOOKUP(I923,$A$1:$G$1610,3,FALSE),J922)</f>
        <v>24.64</v>
      </c>
      <c r="K923" s="3">
        <f>IFERROR(VLOOKUP(I923,$A$1:$G$1610,7,FALSE),K922)</f>
        <v>-18.704655002751977</v>
      </c>
      <c r="L923" s="5">
        <f t="shared" si="57"/>
        <v>1</v>
      </c>
    </row>
    <row r="924" spans="1:12" x14ac:dyDescent="0.25">
      <c r="A924" s="2">
        <v>45121</v>
      </c>
      <c r="B924" s="3">
        <v>13.34</v>
      </c>
      <c r="C924" s="3">
        <f t="shared" si="58"/>
        <v>13.34</v>
      </c>
      <c r="D924" s="3">
        <v>4505.42</v>
      </c>
      <c r="E924" s="3">
        <f t="shared" si="59"/>
        <v>4505.42</v>
      </c>
      <c r="F924" s="3">
        <f>MAX($E$2:E924)</f>
        <v>4796.5600000000004</v>
      </c>
      <c r="G924" s="3">
        <f t="shared" si="56"/>
        <v>-6.069766666110719</v>
      </c>
      <c r="I924" s="2">
        <v>44753</v>
      </c>
      <c r="J924" s="3">
        <f>IFERROR(VLOOKUP(I924,$A$1:$G$1610,3,FALSE),J923)</f>
        <v>26.17</v>
      </c>
      <c r="K924" s="3">
        <f>IFERROR(VLOOKUP(I924,$A$1:$G$1610,7,FALSE),K923)</f>
        <v>-19.641784945877887</v>
      </c>
      <c r="L924" s="5">
        <f t="shared" si="57"/>
        <v>1</v>
      </c>
    </row>
    <row r="925" spans="1:12" x14ac:dyDescent="0.25">
      <c r="A925" s="2">
        <v>45124</v>
      </c>
      <c r="B925" s="3">
        <v>13.48</v>
      </c>
      <c r="C925" s="3">
        <f t="shared" si="58"/>
        <v>13.48</v>
      </c>
      <c r="D925" s="3">
        <v>4522.79</v>
      </c>
      <c r="E925" s="3">
        <f t="shared" si="59"/>
        <v>4522.79</v>
      </c>
      <c r="F925" s="3">
        <f>MAX($E$2:E925)</f>
        <v>4796.5600000000004</v>
      </c>
      <c r="G925" s="3">
        <f t="shared" si="56"/>
        <v>-5.7076321363644027</v>
      </c>
      <c r="I925" s="2">
        <v>44754</v>
      </c>
      <c r="J925" s="3">
        <f>IFERROR(VLOOKUP(I925,$A$1:$G$1610,3,FALSE),J924)</f>
        <v>27.29</v>
      </c>
      <c r="K925" s="3">
        <f>IFERROR(VLOOKUP(I925,$A$1:$G$1610,7,FALSE),K924)</f>
        <v>-20.384608969761668</v>
      </c>
      <c r="L925" s="5">
        <f t="shared" si="57"/>
        <v>1</v>
      </c>
    </row>
    <row r="926" spans="1:12" x14ac:dyDescent="0.25">
      <c r="A926" s="2">
        <v>45125</v>
      </c>
      <c r="B926" s="3">
        <v>13.3</v>
      </c>
      <c r="C926" s="3">
        <f t="shared" si="58"/>
        <v>13.3</v>
      </c>
      <c r="D926" s="3">
        <v>4554.9799999999996</v>
      </c>
      <c r="E926" s="3">
        <f t="shared" si="59"/>
        <v>4554.9799999999996</v>
      </c>
      <c r="F926" s="3">
        <f>MAX($E$2:E926)</f>
        <v>4796.5600000000004</v>
      </c>
      <c r="G926" s="3">
        <f t="shared" si="56"/>
        <v>-5.0365261770936014</v>
      </c>
      <c r="I926" s="2">
        <v>44755</v>
      </c>
      <c r="J926" s="3">
        <f>IFERROR(VLOOKUP(I926,$A$1:$G$1610,3,FALSE),J925)</f>
        <v>26.82</v>
      </c>
      <c r="K926" s="3">
        <f>IFERROR(VLOOKUP(I926,$A$1:$G$1610,7,FALSE),K925)</f>
        <v>-20.739446603399106</v>
      </c>
      <c r="L926" s="5">
        <f t="shared" si="57"/>
        <v>1</v>
      </c>
    </row>
    <row r="927" spans="1:12" x14ac:dyDescent="0.25">
      <c r="A927" s="2">
        <v>45126</v>
      </c>
      <c r="B927" s="3">
        <v>13.76</v>
      </c>
      <c r="C927" s="3">
        <f t="shared" si="58"/>
        <v>13.76</v>
      </c>
      <c r="D927" s="3">
        <v>4565.72</v>
      </c>
      <c r="E927" s="3">
        <f t="shared" si="59"/>
        <v>4565.72</v>
      </c>
      <c r="F927" s="3">
        <f>MAX($E$2:E927)</f>
        <v>4796.5600000000004</v>
      </c>
      <c r="G927" s="3">
        <f t="shared" si="56"/>
        <v>-4.8126157079240146</v>
      </c>
      <c r="I927" s="2">
        <v>44756</v>
      </c>
      <c r="J927" s="3">
        <f>IFERROR(VLOOKUP(I927,$A$1:$G$1610,3,FALSE),J926)</f>
        <v>26.4</v>
      </c>
      <c r="K927" s="3">
        <f>IFERROR(VLOOKUP(I927,$A$1:$G$1610,7,FALSE),K926)</f>
        <v>-20.977116933802563</v>
      </c>
      <c r="L927" s="5">
        <f t="shared" si="57"/>
        <v>1</v>
      </c>
    </row>
    <row r="928" spans="1:12" x14ac:dyDescent="0.25">
      <c r="A928" s="2">
        <v>45127</v>
      </c>
      <c r="B928" s="3">
        <v>13.99</v>
      </c>
      <c r="C928" s="3">
        <f t="shared" si="58"/>
        <v>13.99</v>
      </c>
      <c r="D928" s="3">
        <v>4534.87</v>
      </c>
      <c r="E928" s="3">
        <f t="shared" si="59"/>
        <v>4534.87</v>
      </c>
      <c r="F928" s="3">
        <f>MAX($E$2:E928)</f>
        <v>4796.5600000000004</v>
      </c>
      <c r="G928" s="3">
        <f t="shared" si="56"/>
        <v>-5.455784979235129</v>
      </c>
      <c r="I928" s="2">
        <v>44757</v>
      </c>
      <c r="J928" s="3">
        <f>IFERROR(VLOOKUP(I928,$A$1:$G$1610,3,FALSE),J927)</f>
        <v>24.23</v>
      </c>
      <c r="K928" s="3">
        <f>IFERROR(VLOOKUP(I928,$A$1:$G$1610,7,FALSE),K927)</f>
        <v>-19.459779508647873</v>
      </c>
      <c r="L928" s="5">
        <f t="shared" si="57"/>
        <v>1</v>
      </c>
    </row>
    <row r="929" spans="1:12" x14ac:dyDescent="0.25">
      <c r="A929" s="2">
        <v>45128</v>
      </c>
      <c r="B929" s="3">
        <v>13.6</v>
      </c>
      <c r="C929" s="3">
        <f t="shared" si="58"/>
        <v>13.6</v>
      </c>
      <c r="D929" s="3">
        <v>4536.34</v>
      </c>
      <c r="E929" s="3">
        <f t="shared" si="59"/>
        <v>4536.34</v>
      </c>
      <c r="F929" s="3">
        <f>MAX($E$2:E929)</f>
        <v>4796.5600000000004</v>
      </c>
      <c r="G929" s="3">
        <f t="shared" si="56"/>
        <v>-5.4251380155778355</v>
      </c>
      <c r="I929" s="2">
        <v>44758</v>
      </c>
      <c r="J929" s="3">
        <f>IFERROR(VLOOKUP(I929,$A$1:$G$1610,3,FALSE),J928)</f>
        <v>24.23</v>
      </c>
      <c r="K929" s="3">
        <f>IFERROR(VLOOKUP(I929,$A$1:$G$1610,7,FALSE),K928)</f>
        <v>-19.459779508647873</v>
      </c>
      <c r="L929" s="5">
        <f t="shared" si="57"/>
        <v>1</v>
      </c>
    </row>
    <row r="930" spans="1:12" x14ac:dyDescent="0.25">
      <c r="A930" s="2">
        <v>45131</v>
      </c>
      <c r="B930" s="3">
        <v>13.91</v>
      </c>
      <c r="C930" s="3">
        <f t="shared" si="58"/>
        <v>13.91</v>
      </c>
      <c r="D930" s="3">
        <v>4554.6400000000003</v>
      </c>
      <c r="E930" s="3">
        <f t="shared" si="59"/>
        <v>4554.6400000000003</v>
      </c>
      <c r="F930" s="3">
        <f>MAX($E$2:E930)</f>
        <v>4796.5600000000004</v>
      </c>
      <c r="G930" s="3">
        <f t="shared" si="56"/>
        <v>-5.0436145904564951</v>
      </c>
      <c r="I930" s="2">
        <v>44759</v>
      </c>
      <c r="J930" s="3">
        <f>IFERROR(VLOOKUP(I930,$A$1:$G$1610,3,FALSE),J929)</f>
        <v>24.23</v>
      </c>
      <c r="K930" s="3">
        <f>IFERROR(VLOOKUP(I930,$A$1:$G$1610,7,FALSE),K929)</f>
        <v>-19.459779508647873</v>
      </c>
      <c r="L930" s="5">
        <f t="shared" si="57"/>
        <v>1</v>
      </c>
    </row>
    <row r="931" spans="1:12" x14ac:dyDescent="0.25">
      <c r="A931" s="2">
        <v>45132</v>
      </c>
      <c r="B931" s="3">
        <v>13.86</v>
      </c>
      <c r="C931" s="3">
        <f t="shared" si="58"/>
        <v>13.86</v>
      </c>
      <c r="D931" s="3">
        <v>4567.46</v>
      </c>
      <c r="E931" s="3">
        <f t="shared" si="59"/>
        <v>4567.46</v>
      </c>
      <c r="F931" s="3">
        <f>MAX($E$2:E931)</f>
        <v>4796.5600000000004</v>
      </c>
      <c r="G931" s="3">
        <f t="shared" si="56"/>
        <v>-4.7763397101255975</v>
      </c>
      <c r="I931" s="2">
        <v>44760</v>
      </c>
      <c r="J931" s="3">
        <f>IFERROR(VLOOKUP(I931,$A$1:$G$1610,3,FALSE),J930)</f>
        <v>25.3</v>
      </c>
      <c r="K931" s="3">
        <f>IFERROR(VLOOKUP(I931,$A$1:$G$1610,7,FALSE),K930)</f>
        <v>-20.1333872608703</v>
      </c>
      <c r="L931" s="5">
        <f t="shared" si="57"/>
        <v>1</v>
      </c>
    </row>
    <row r="932" spans="1:12" x14ac:dyDescent="0.25">
      <c r="A932" s="2">
        <v>45133</v>
      </c>
      <c r="B932" s="3">
        <v>13.19</v>
      </c>
      <c r="C932" s="3">
        <f t="shared" si="58"/>
        <v>13.19</v>
      </c>
      <c r="D932" s="3">
        <v>4566.75</v>
      </c>
      <c r="E932" s="3">
        <f t="shared" si="59"/>
        <v>4566.75</v>
      </c>
      <c r="F932" s="3">
        <f>MAX($E$2:E932)</f>
        <v>4796.5600000000004</v>
      </c>
      <c r="G932" s="3">
        <f t="shared" si="56"/>
        <v>-4.7911419850893218</v>
      </c>
      <c r="I932" s="2">
        <v>44761</v>
      </c>
      <c r="J932" s="3">
        <f>IFERROR(VLOOKUP(I932,$A$1:$G$1610,3,FALSE),J931)</f>
        <v>24.5</v>
      </c>
      <c r="K932" s="3">
        <f>IFERROR(VLOOKUP(I932,$A$1:$G$1610,7,FALSE),K931)</f>
        <v>-17.926805877545579</v>
      </c>
      <c r="L932" s="5">
        <f t="shared" si="57"/>
        <v>1</v>
      </c>
    </row>
    <row r="933" spans="1:12" x14ac:dyDescent="0.25">
      <c r="A933" s="2">
        <v>45134</v>
      </c>
      <c r="B933" s="3">
        <v>14.41</v>
      </c>
      <c r="C933" s="3">
        <f t="shared" si="58"/>
        <v>14.41</v>
      </c>
      <c r="D933" s="3">
        <v>4537.41</v>
      </c>
      <c r="E933" s="3">
        <f t="shared" si="59"/>
        <v>4537.41</v>
      </c>
      <c r="F933" s="3">
        <f>MAX($E$2:E933)</f>
        <v>4796.5600000000004</v>
      </c>
      <c r="G933" s="3">
        <f t="shared" si="56"/>
        <v>-5.4028303617592721</v>
      </c>
      <c r="I933" s="2">
        <v>44762</v>
      </c>
      <c r="J933" s="3">
        <f>IFERROR(VLOOKUP(I933,$A$1:$G$1610,3,FALSE),J932)</f>
        <v>23.88</v>
      </c>
      <c r="K933" s="3">
        <f>IFERROR(VLOOKUP(I933,$A$1:$G$1610,7,FALSE),K932)</f>
        <v>-17.442917424153983</v>
      </c>
      <c r="L933" s="5">
        <f t="shared" si="57"/>
        <v>1</v>
      </c>
    </row>
    <row r="934" spans="1:12" x14ac:dyDescent="0.25">
      <c r="A934" s="2">
        <v>45135</v>
      </c>
      <c r="B934" s="3">
        <v>13.33</v>
      </c>
      <c r="C934" s="3">
        <f t="shared" si="58"/>
        <v>13.33</v>
      </c>
      <c r="D934" s="3">
        <v>4582.2299999999996</v>
      </c>
      <c r="E934" s="3">
        <f t="shared" si="59"/>
        <v>4582.2299999999996</v>
      </c>
      <c r="F934" s="3">
        <f>MAX($E$2:E934)</f>
        <v>4796.5600000000004</v>
      </c>
      <c r="G934" s="3">
        <f t="shared" si="56"/>
        <v>-4.4684106943309541</v>
      </c>
      <c r="I934" s="2">
        <v>44763</v>
      </c>
      <c r="J934" s="3">
        <f>IFERROR(VLOOKUP(I934,$A$1:$G$1610,3,FALSE),J933)</f>
        <v>23.11</v>
      </c>
      <c r="K934" s="3">
        <f>IFERROR(VLOOKUP(I934,$A$1:$G$1610,7,FALSE),K933)</f>
        <v>-16.628792301149169</v>
      </c>
      <c r="L934" s="5">
        <f t="shared" si="57"/>
        <v>1</v>
      </c>
    </row>
    <row r="935" spans="1:12" x14ac:dyDescent="0.25">
      <c r="A935" s="2">
        <v>45138</v>
      </c>
      <c r="B935" s="3">
        <v>13.63</v>
      </c>
      <c r="C935" s="3">
        <f t="shared" si="58"/>
        <v>13.63</v>
      </c>
      <c r="D935" s="3">
        <v>4588.96</v>
      </c>
      <c r="E935" s="3">
        <f t="shared" si="59"/>
        <v>4588.96</v>
      </c>
      <c r="F935" s="3">
        <f>MAX($E$2:E935)</f>
        <v>4796.5600000000004</v>
      </c>
      <c r="G935" s="3">
        <f t="shared" si="56"/>
        <v>-4.3281018062945185</v>
      </c>
      <c r="I935" s="2">
        <v>44764</v>
      </c>
      <c r="J935" s="3">
        <f>IFERROR(VLOOKUP(I935,$A$1:$G$1610,3,FALSE),J934)</f>
        <v>23.03</v>
      </c>
      <c r="K935" s="3">
        <f>IFERROR(VLOOKUP(I935,$A$1:$G$1610,7,FALSE),K934)</f>
        <v>-17.406849909101528</v>
      </c>
      <c r="L935" s="5">
        <f t="shared" si="57"/>
        <v>1</v>
      </c>
    </row>
    <row r="936" spans="1:12" x14ac:dyDescent="0.25">
      <c r="A936" s="2">
        <v>45139</v>
      </c>
      <c r="B936" s="3">
        <v>13.93</v>
      </c>
      <c r="C936" s="3">
        <f t="shared" si="58"/>
        <v>13.93</v>
      </c>
      <c r="D936" s="3">
        <v>4576.7299999999996</v>
      </c>
      <c r="E936" s="3">
        <f t="shared" si="59"/>
        <v>4576.7299999999996</v>
      </c>
      <c r="F936" s="3">
        <f>MAX($E$2:E936)</f>
        <v>4796.5600000000004</v>
      </c>
      <c r="G936" s="3">
        <f t="shared" si="56"/>
        <v>-4.5830762046133238</v>
      </c>
      <c r="I936" s="2">
        <v>44765</v>
      </c>
      <c r="J936" s="3">
        <f>IFERROR(VLOOKUP(I936,$A$1:$G$1610,3,FALSE),J935)</f>
        <v>23.03</v>
      </c>
      <c r="K936" s="3">
        <f>IFERROR(VLOOKUP(I936,$A$1:$G$1610,7,FALSE),K935)</f>
        <v>-17.406849909101528</v>
      </c>
      <c r="L936" s="5">
        <f t="shared" si="57"/>
        <v>1</v>
      </c>
    </row>
    <row r="937" spans="1:12" x14ac:dyDescent="0.25">
      <c r="A937" s="2">
        <v>45140</v>
      </c>
      <c r="B937" s="3">
        <v>16.09</v>
      </c>
      <c r="C937" s="3">
        <f t="shared" si="58"/>
        <v>16.09</v>
      </c>
      <c r="D937" s="3">
        <v>4513.3900000000003</v>
      </c>
      <c r="E937" s="3">
        <f t="shared" si="59"/>
        <v>4513.3900000000003</v>
      </c>
      <c r="F937" s="3">
        <f>MAX($E$2:E937)</f>
        <v>4796.5600000000004</v>
      </c>
      <c r="G937" s="3">
        <f t="shared" si="56"/>
        <v>-5.9036059175742626</v>
      </c>
      <c r="I937" s="2">
        <v>44766</v>
      </c>
      <c r="J937" s="3">
        <f>IFERROR(VLOOKUP(I937,$A$1:$G$1610,3,FALSE),J936)</f>
        <v>23.03</v>
      </c>
      <c r="K937" s="3">
        <f>IFERROR(VLOOKUP(I937,$A$1:$G$1610,7,FALSE),K936)</f>
        <v>-17.406849909101528</v>
      </c>
      <c r="L937" s="5">
        <f t="shared" si="57"/>
        <v>1</v>
      </c>
    </row>
    <row r="938" spans="1:12" x14ac:dyDescent="0.25">
      <c r="A938" s="2">
        <v>45141</v>
      </c>
      <c r="B938" s="3">
        <v>15.92</v>
      </c>
      <c r="C938" s="3">
        <f t="shared" si="58"/>
        <v>15.92</v>
      </c>
      <c r="D938" s="3">
        <v>4501.8900000000003</v>
      </c>
      <c r="E938" s="3">
        <f t="shared" si="59"/>
        <v>4501.8900000000003</v>
      </c>
      <c r="F938" s="3">
        <f>MAX($E$2:E938)</f>
        <v>4796.5600000000004</v>
      </c>
      <c r="G938" s="3">
        <f t="shared" si="56"/>
        <v>-6.1433610754373982</v>
      </c>
      <c r="I938" s="2">
        <v>44767</v>
      </c>
      <c r="J938" s="3">
        <f>IFERROR(VLOOKUP(I938,$A$1:$G$1610,3,FALSE),J937)</f>
        <v>23.36</v>
      </c>
      <c r="K938" s="3">
        <f>IFERROR(VLOOKUP(I938,$A$1:$G$1610,7,FALSE),K937)</f>
        <v>-17.298230398452226</v>
      </c>
      <c r="L938" s="5">
        <f t="shared" si="57"/>
        <v>1</v>
      </c>
    </row>
    <row r="939" spans="1:12" x14ac:dyDescent="0.25">
      <c r="A939" s="2">
        <v>45142</v>
      </c>
      <c r="B939" s="3">
        <v>17.100000000000001</v>
      </c>
      <c r="C939" s="3">
        <f t="shared" si="58"/>
        <v>17.100000000000001</v>
      </c>
      <c r="D939" s="3">
        <v>4478.03</v>
      </c>
      <c r="E939" s="3">
        <f t="shared" si="59"/>
        <v>4478.03</v>
      </c>
      <c r="F939" s="3">
        <f>MAX($E$2:E939)</f>
        <v>4796.5600000000004</v>
      </c>
      <c r="G939" s="3">
        <f t="shared" si="56"/>
        <v>-6.6408009073169243</v>
      </c>
      <c r="I939" s="2">
        <v>44768</v>
      </c>
      <c r="J939" s="3">
        <f>IFERROR(VLOOKUP(I939,$A$1:$G$1610,3,FALSE),J938)</f>
        <v>24.69</v>
      </c>
      <c r="K939" s="3">
        <f>IFERROR(VLOOKUP(I939,$A$1:$G$1610,7,FALSE),K938)</f>
        <v>-18.252872892239441</v>
      </c>
      <c r="L939" s="5">
        <f t="shared" si="57"/>
        <v>1</v>
      </c>
    </row>
    <row r="940" spans="1:12" x14ac:dyDescent="0.25">
      <c r="A940" s="2">
        <v>45145</v>
      </c>
      <c r="B940" s="3">
        <v>15.77</v>
      </c>
      <c r="C940" s="3">
        <f t="shared" si="58"/>
        <v>15.77</v>
      </c>
      <c r="D940" s="3">
        <v>4518.4399999999996</v>
      </c>
      <c r="E940" s="3">
        <f t="shared" si="59"/>
        <v>4518.4399999999996</v>
      </c>
      <c r="F940" s="3">
        <f>MAX($E$2:E940)</f>
        <v>4796.5600000000004</v>
      </c>
      <c r="G940" s="3">
        <f t="shared" si="56"/>
        <v>-5.7983221308604662</v>
      </c>
      <c r="I940" s="2">
        <v>44769</v>
      </c>
      <c r="J940" s="3">
        <f>IFERROR(VLOOKUP(I940,$A$1:$G$1610,3,FALSE),J939)</f>
        <v>23.24</v>
      </c>
      <c r="K940" s="3">
        <f>IFERROR(VLOOKUP(I940,$A$1:$G$1610,7,FALSE),K939)</f>
        <v>-16.114673849592211</v>
      </c>
      <c r="L940" s="5">
        <f t="shared" si="57"/>
        <v>1</v>
      </c>
    </row>
    <row r="941" spans="1:12" x14ac:dyDescent="0.25">
      <c r="A941" s="2">
        <v>45146</v>
      </c>
      <c r="B941" s="3">
        <v>15.99</v>
      </c>
      <c r="C941" s="3">
        <f t="shared" si="58"/>
        <v>15.99</v>
      </c>
      <c r="D941" s="3">
        <v>4499.38</v>
      </c>
      <c r="E941" s="3">
        <f t="shared" si="59"/>
        <v>4499.38</v>
      </c>
      <c r="F941" s="3">
        <f>MAX($E$2:E941)</f>
        <v>4796.5600000000004</v>
      </c>
      <c r="G941" s="3">
        <f t="shared" si="56"/>
        <v>-6.1956902446753563</v>
      </c>
      <c r="I941" s="2">
        <v>44770</v>
      </c>
      <c r="J941" s="3">
        <f>IFERROR(VLOOKUP(I941,$A$1:$G$1610,3,FALSE),J940)</f>
        <v>22.33</v>
      </c>
      <c r="K941" s="3">
        <f>IFERROR(VLOOKUP(I941,$A$1:$G$1610,7,FALSE),K940)</f>
        <v>-15.096861083776716</v>
      </c>
      <c r="L941" s="5">
        <f t="shared" si="57"/>
        <v>1</v>
      </c>
    </row>
    <row r="942" spans="1:12" x14ac:dyDescent="0.25">
      <c r="A942" s="2">
        <v>45147</v>
      </c>
      <c r="B942" s="3">
        <v>15.96</v>
      </c>
      <c r="C942" s="3">
        <f t="shared" si="58"/>
        <v>15.96</v>
      </c>
      <c r="D942" s="3">
        <v>4467.71</v>
      </c>
      <c r="E942" s="3">
        <f t="shared" si="59"/>
        <v>4467.71</v>
      </c>
      <c r="F942" s="3">
        <f>MAX($E$2:E942)</f>
        <v>4796.5600000000004</v>
      </c>
      <c r="G942" s="3">
        <f t="shared" si="56"/>
        <v>-6.8559551011558346</v>
      </c>
      <c r="I942" s="2">
        <v>44771</v>
      </c>
      <c r="J942" s="3">
        <f>IFERROR(VLOOKUP(I942,$A$1:$G$1610,3,FALSE),J941)</f>
        <v>21.33</v>
      </c>
      <c r="K942" s="3">
        <f>IFERROR(VLOOKUP(I942,$A$1:$G$1610,7,FALSE),K941)</f>
        <v>-13.890579915606194</v>
      </c>
      <c r="L942" s="5">
        <f t="shared" si="57"/>
        <v>1</v>
      </c>
    </row>
    <row r="943" spans="1:12" x14ac:dyDescent="0.25">
      <c r="A943" s="2">
        <v>45148</v>
      </c>
      <c r="B943" s="3">
        <v>15.85</v>
      </c>
      <c r="C943" s="3">
        <f t="shared" si="58"/>
        <v>15.85</v>
      </c>
      <c r="D943" s="3">
        <v>4468.83</v>
      </c>
      <c r="E943" s="3">
        <f t="shared" si="59"/>
        <v>4468.83</v>
      </c>
      <c r="F943" s="3">
        <f>MAX($E$2:E943)</f>
        <v>4796.5600000000004</v>
      </c>
      <c r="G943" s="3">
        <f t="shared" si="56"/>
        <v>-6.832605033607428</v>
      </c>
      <c r="I943" s="2">
        <v>44772</v>
      </c>
      <c r="J943" s="3">
        <f>IFERROR(VLOOKUP(I943,$A$1:$G$1610,3,FALSE),J942)</f>
        <v>21.33</v>
      </c>
      <c r="K943" s="3">
        <f>IFERROR(VLOOKUP(I943,$A$1:$G$1610,7,FALSE),K942)</f>
        <v>-13.890579915606194</v>
      </c>
      <c r="L943" s="5">
        <f t="shared" si="57"/>
        <v>1</v>
      </c>
    </row>
    <row r="944" spans="1:12" x14ac:dyDescent="0.25">
      <c r="A944" s="2">
        <v>45149</v>
      </c>
      <c r="B944" s="3">
        <v>14.84</v>
      </c>
      <c r="C944" s="3">
        <f t="shared" si="58"/>
        <v>14.84</v>
      </c>
      <c r="D944" s="3">
        <v>4464.05</v>
      </c>
      <c r="E944" s="3">
        <f t="shared" si="59"/>
        <v>4464.05</v>
      </c>
      <c r="F944" s="3">
        <f>MAX($E$2:E944)</f>
        <v>4796.5600000000004</v>
      </c>
      <c r="G944" s="3">
        <f t="shared" si="56"/>
        <v>-6.932259786180099</v>
      </c>
      <c r="I944" s="2">
        <v>44773</v>
      </c>
      <c r="J944" s="3">
        <f>IFERROR(VLOOKUP(I944,$A$1:$G$1610,3,FALSE),J943)</f>
        <v>21.33</v>
      </c>
      <c r="K944" s="3">
        <f>IFERROR(VLOOKUP(I944,$A$1:$G$1610,7,FALSE),K943)</f>
        <v>-13.890579915606194</v>
      </c>
      <c r="L944" s="5">
        <f t="shared" si="57"/>
        <v>1</v>
      </c>
    </row>
    <row r="945" spans="1:12" x14ac:dyDescent="0.25">
      <c r="A945" s="2">
        <v>45152</v>
      </c>
      <c r="B945" s="3">
        <v>14.82</v>
      </c>
      <c r="C945" s="3">
        <f t="shared" si="58"/>
        <v>14.82</v>
      </c>
      <c r="D945" s="3">
        <v>4489.72</v>
      </c>
      <c r="E945" s="3">
        <f t="shared" si="59"/>
        <v>4489.72</v>
      </c>
      <c r="F945" s="3">
        <f>MAX($E$2:E945)</f>
        <v>4796.5600000000004</v>
      </c>
      <c r="G945" s="3">
        <f t="shared" si="56"/>
        <v>-6.3970845772803857</v>
      </c>
      <c r="I945" s="2">
        <v>44774</v>
      </c>
      <c r="J945" s="3">
        <f>IFERROR(VLOOKUP(I945,$A$1:$G$1610,3,FALSE),J944)</f>
        <v>22.84</v>
      </c>
      <c r="K945" s="3">
        <f>IFERROR(VLOOKUP(I945,$A$1:$G$1610,7,FALSE),K944)</f>
        <v>-14.133670797404813</v>
      </c>
      <c r="L945" s="5">
        <f t="shared" si="57"/>
        <v>1</v>
      </c>
    </row>
    <row r="946" spans="1:12" x14ac:dyDescent="0.25">
      <c r="A946" s="2">
        <v>45153</v>
      </c>
      <c r="B946" s="3">
        <v>16.46</v>
      </c>
      <c r="C946" s="3">
        <f t="shared" si="58"/>
        <v>16.46</v>
      </c>
      <c r="D946" s="3">
        <v>4437.8599999999997</v>
      </c>
      <c r="E946" s="3">
        <f t="shared" si="59"/>
        <v>4437.8599999999997</v>
      </c>
      <c r="F946" s="3">
        <f>MAX($E$2:E946)</f>
        <v>4796.5600000000004</v>
      </c>
      <c r="G946" s="3">
        <f t="shared" si="56"/>
        <v>-7.4782760978701557</v>
      </c>
      <c r="I946" s="2">
        <v>44775</v>
      </c>
      <c r="J946" s="3">
        <f>IFERROR(VLOOKUP(I946,$A$1:$G$1610,3,FALSE),J945)</f>
        <v>23.93</v>
      </c>
      <c r="K946" s="3">
        <f>IFERROR(VLOOKUP(I946,$A$1:$G$1610,7,FALSE),K945)</f>
        <v>-14.70574745234085</v>
      </c>
      <c r="L946" s="5">
        <f t="shared" si="57"/>
        <v>1</v>
      </c>
    </row>
    <row r="947" spans="1:12" x14ac:dyDescent="0.25">
      <c r="A947" s="2">
        <v>45154</v>
      </c>
      <c r="B947" s="3">
        <v>16.78</v>
      </c>
      <c r="C947" s="3">
        <f t="shared" si="58"/>
        <v>16.78</v>
      </c>
      <c r="D947" s="3">
        <v>4404.33</v>
      </c>
      <c r="E947" s="3">
        <f t="shared" si="59"/>
        <v>4404.33</v>
      </c>
      <c r="F947" s="3">
        <f>MAX($E$2:E947)</f>
        <v>4796.5600000000004</v>
      </c>
      <c r="G947" s="3">
        <f t="shared" si="56"/>
        <v>-8.1773187451006653</v>
      </c>
      <c r="I947" s="2">
        <v>44776</v>
      </c>
      <c r="J947" s="3">
        <f>IFERROR(VLOOKUP(I947,$A$1:$G$1610,3,FALSE),J946)</f>
        <v>21.95</v>
      </c>
      <c r="K947" s="3">
        <f>IFERROR(VLOOKUP(I947,$A$1:$G$1610,7,FALSE),K946)</f>
        <v>-13.371874843637945</v>
      </c>
      <c r="L947" s="5">
        <f t="shared" si="57"/>
        <v>1</v>
      </c>
    </row>
    <row r="948" spans="1:12" x14ac:dyDescent="0.25">
      <c r="A948" s="2">
        <v>45155</v>
      </c>
      <c r="B948" s="3">
        <v>17.89</v>
      </c>
      <c r="C948" s="3">
        <f t="shared" si="58"/>
        <v>17.89</v>
      </c>
      <c r="D948" s="3">
        <v>4370.3599999999997</v>
      </c>
      <c r="E948" s="3">
        <f t="shared" si="59"/>
        <v>4370.3599999999997</v>
      </c>
      <c r="F948" s="3">
        <f>MAX($E$2:E948)</f>
        <v>4796.5600000000004</v>
      </c>
      <c r="G948" s="3">
        <f t="shared" si="56"/>
        <v>-8.8855346331537746</v>
      </c>
      <c r="I948" s="2">
        <v>44777</v>
      </c>
      <c r="J948" s="3">
        <f>IFERROR(VLOOKUP(I948,$A$1:$G$1610,3,FALSE),J947)</f>
        <v>21.44</v>
      </c>
      <c r="K948" s="3">
        <f>IFERROR(VLOOKUP(I948,$A$1:$G$1610,7,FALSE),K947)</f>
        <v>-13.439214770585602</v>
      </c>
      <c r="L948" s="5">
        <f t="shared" si="57"/>
        <v>1</v>
      </c>
    </row>
    <row r="949" spans="1:12" x14ac:dyDescent="0.25">
      <c r="A949" s="2">
        <v>45156</v>
      </c>
      <c r="B949" s="3">
        <v>17.3</v>
      </c>
      <c r="C949" s="3">
        <f t="shared" si="58"/>
        <v>17.3</v>
      </c>
      <c r="D949" s="3">
        <v>4369.71</v>
      </c>
      <c r="E949" s="3">
        <f t="shared" si="59"/>
        <v>4369.71</v>
      </c>
      <c r="F949" s="3">
        <f>MAX($E$2:E949)</f>
        <v>4796.5600000000004</v>
      </c>
      <c r="G949" s="3">
        <f t="shared" si="56"/>
        <v>-8.8990860116416837</v>
      </c>
      <c r="I949" s="2">
        <v>44778</v>
      </c>
      <c r="J949" s="3">
        <f>IFERROR(VLOOKUP(I949,$A$1:$G$1610,3,FALSE),J948)</f>
        <v>21.15</v>
      </c>
      <c r="K949" s="3">
        <f>IFERROR(VLOOKUP(I949,$A$1:$G$1610,7,FALSE),K948)</f>
        <v>-13.579940624113965</v>
      </c>
      <c r="L949" s="5">
        <f t="shared" si="57"/>
        <v>1</v>
      </c>
    </row>
    <row r="950" spans="1:12" x14ac:dyDescent="0.25">
      <c r="A950" s="2">
        <v>45159</v>
      </c>
      <c r="B950" s="3">
        <v>17.13</v>
      </c>
      <c r="C950" s="3">
        <f t="shared" si="58"/>
        <v>17.13</v>
      </c>
      <c r="D950" s="3">
        <v>4399.7700000000004</v>
      </c>
      <c r="E950" s="3">
        <f t="shared" si="59"/>
        <v>4399.7700000000004</v>
      </c>
      <c r="F950" s="3">
        <f>MAX($E$2:E950)</f>
        <v>4796.5600000000004</v>
      </c>
      <c r="G950" s="3">
        <f t="shared" si="56"/>
        <v>-8.2723868772620364</v>
      </c>
      <c r="I950" s="2">
        <v>44779</v>
      </c>
      <c r="J950" s="3">
        <f>IFERROR(VLOOKUP(I950,$A$1:$G$1610,3,FALSE),J949)</f>
        <v>21.15</v>
      </c>
      <c r="K950" s="3">
        <f>IFERROR(VLOOKUP(I950,$A$1:$G$1610,7,FALSE),K949)</f>
        <v>-13.579940624113965</v>
      </c>
      <c r="L950" s="5">
        <f t="shared" si="57"/>
        <v>1</v>
      </c>
    </row>
    <row r="951" spans="1:12" x14ac:dyDescent="0.25">
      <c r="A951" s="2">
        <v>45160</v>
      </c>
      <c r="B951" s="3">
        <v>16.97</v>
      </c>
      <c r="C951" s="3">
        <f t="shared" si="58"/>
        <v>16.97</v>
      </c>
      <c r="D951" s="3">
        <v>4387.55</v>
      </c>
      <c r="E951" s="3">
        <f t="shared" si="59"/>
        <v>4387.55</v>
      </c>
      <c r="F951" s="3">
        <f>MAX($E$2:E951)</f>
        <v>4796.5600000000004</v>
      </c>
      <c r="G951" s="3">
        <f t="shared" si="56"/>
        <v>-8.5271527928348689</v>
      </c>
      <c r="I951" s="2">
        <v>44780</v>
      </c>
      <c r="J951" s="3">
        <f>IFERROR(VLOOKUP(I951,$A$1:$G$1610,3,FALSE),J950)</f>
        <v>21.15</v>
      </c>
      <c r="K951" s="3">
        <f>IFERROR(VLOOKUP(I951,$A$1:$G$1610,7,FALSE),K950)</f>
        <v>-13.579940624113965</v>
      </c>
      <c r="L951" s="5">
        <f t="shared" si="57"/>
        <v>1</v>
      </c>
    </row>
    <row r="952" spans="1:12" x14ac:dyDescent="0.25">
      <c r="A952" s="2">
        <v>45161</v>
      </c>
      <c r="B952" s="3">
        <v>15.98</v>
      </c>
      <c r="C952" s="3">
        <f t="shared" si="58"/>
        <v>15.98</v>
      </c>
      <c r="D952" s="3">
        <v>4436.01</v>
      </c>
      <c r="E952" s="3">
        <f t="shared" si="59"/>
        <v>4436.01</v>
      </c>
      <c r="F952" s="3">
        <f>MAX($E$2:E952)</f>
        <v>4796.5600000000004</v>
      </c>
      <c r="G952" s="3">
        <f t="shared" si="56"/>
        <v>-7.5168454058742133</v>
      </c>
      <c r="I952" s="2">
        <v>44781</v>
      </c>
      <c r="J952" s="3">
        <f>IFERROR(VLOOKUP(I952,$A$1:$G$1610,3,FALSE),J951)</f>
        <v>21.29</v>
      </c>
      <c r="K952" s="3">
        <f>IFERROR(VLOOKUP(I952,$A$1:$G$1610,7,FALSE),K951)</f>
        <v>-13.686892272795504</v>
      </c>
      <c r="L952" s="5">
        <f t="shared" si="57"/>
        <v>1</v>
      </c>
    </row>
    <row r="953" spans="1:12" x14ac:dyDescent="0.25">
      <c r="A953" s="2">
        <v>45162</v>
      </c>
      <c r="B953" s="3">
        <v>17.2</v>
      </c>
      <c r="C953" s="3">
        <f t="shared" si="58"/>
        <v>17.2</v>
      </c>
      <c r="D953" s="3">
        <v>4376.3100000000004</v>
      </c>
      <c r="E953" s="3">
        <f t="shared" si="59"/>
        <v>4376.3100000000004</v>
      </c>
      <c r="F953" s="3">
        <f>MAX($E$2:E953)</f>
        <v>4796.5600000000004</v>
      </c>
      <c r="G953" s="3">
        <f t="shared" si="56"/>
        <v>-8.7614873993028333</v>
      </c>
      <c r="I953" s="2">
        <v>44782</v>
      </c>
      <c r="J953" s="3">
        <f>IFERROR(VLOOKUP(I953,$A$1:$G$1610,3,FALSE),J952)</f>
        <v>21.77</v>
      </c>
      <c r="K953" s="3">
        <f>IFERROR(VLOOKUP(I953,$A$1:$G$1610,7,FALSE),K952)</f>
        <v>-14.053613422953118</v>
      </c>
      <c r="L953" s="5">
        <f t="shared" si="57"/>
        <v>1</v>
      </c>
    </row>
    <row r="954" spans="1:12" x14ac:dyDescent="0.25">
      <c r="A954" s="2">
        <v>45163</v>
      </c>
      <c r="B954" s="3">
        <v>15.68</v>
      </c>
      <c r="C954" s="3">
        <f t="shared" si="58"/>
        <v>15.68</v>
      </c>
      <c r="D954" s="3">
        <v>4405.71</v>
      </c>
      <c r="E954" s="3">
        <f t="shared" si="59"/>
        <v>4405.71</v>
      </c>
      <c r="F954" s="3">
        <f>MAX($E$2:E954)</f>
        <v>4796.5600000000004</v>
      </c>
      <c r="G954" s="3">
        <f t="shared" si="56"/>
        <v>-8.1485481261570865</v>
      </c>
      <c r="I954" s="2">
        <v>44783</v>
      </c>
      <c r="J954" s="3">
        <f>IFERROR(VLOOKUP(I954,$A$1:$G$1610,3,FALSE),J953)</f>
        <v>19.739999999999998</v>
      </c>
      <c r="K954" s="3">
        <f>IFERROR(VLOOKUP(I954,$A$1:$G$1610,7,FALSE),K953)</f>
        <v>-12.223760361592486</v>
      </c>
      <c r="L954" s="5">
        <f t="shared" si="57"/>
        <v>1</v>
      </c>
    </row>
    <row r="955" spans="1:12" x14ac:dyDescent="0.25">
      <c r="A955" s="2">
        <v>45166</v>
      </c>
      <c r="B955" s="3">
        <v>15.08</v>
      </c>
      <c r="C955" s="3">
        <f t="shared" si="58"/>
        <v>15.08</v>
      </c>
      <c r="D955" s="3">
        <v>4433.3100000000004</v>
      </c>
      <c r="E955" s="3">
        <f t="shared" si="59"/>
        <v>4433.3100000000004</v>
      </c>
      <c r="F955" s="3">
        <f>MAX($E$2:E955)</f>
        <v>4796.5600000000004</v>
      </c>
      <c r="G955" s="3">
        <f t="shared" si="56"/>
        <v>-7.5731357472855549</v>
      </c>
      <c r="I955" s="2">
        <v>44784</v>
      </c>
      <c r="J955" s="3">
        <f>IFERROR(VLOOKUP(I955,$A$1:$G$1610,3,FALSE),J954)</f>
        <v>20.2</v>
      </c>
      <c r="K955" s="3">
        <f>IFERROR(VLOOKUP(I955,$A$1:$G$1610,7,FALSE),K954)</f>
        <v>-12.285679737144953</v>
      </c>
      <c r="L955" s="5">
        <f t="shared" si="57"/>
        <v>1</v>
      </c>
    </row>
    <row r="956" spans="1:12" x14ac:dyDescent="0.25">
      <c r="A956" s="2">
        <v>45167</v>
      </c>
      <c r="B956" s="3">
        <v>14.45</v>
      </c>
      <c r="C956" s="3">
        <f t="shared" si="58"/>
        <v>14.45</v>
      </c>
      <c r="D956" s="3">
        <v>4497.63</v>
      </c>
      <c r="E956" s="3">
        <f t="shared" si="59"/>
        <v>4497.63</v>
      </c>
      <c r="F956" s="3">
        <f>MAX($E$2:E956)</f>
        <v>4796.5600000000004</v>
      </c>
      <c r="G956" s="3">
        <f t="shared" si="56"/>
        <v>-6.2321747252197461</v>
      </c>
      <c r="I956" s="2">
        <v>44785</v>
      </c>
      <c r="J956" s="3">
        <f>IFERROR(VLOOKUP(I956,$A$1:$G$1610,3,FALSE),J955)</f>
        <v>19.53</v>
      </c>
      <c r="K956" s="3">
        <f>IFERROR(VLOOKUP(I956,$A$1:$G$1610,7,FALSE),K955)</f>
        <v>-10.766257484530595</v>
      </c>
      <c r="L956" s="5">
        <f t="shared" si="57"/>
        <v>1</v>
      </c>
    </row>
    <row r="957" spans="1:12" x14ac:dyDescent="0.25">
      <c r="A957" s="2">
        <v>45168</v>
      </c>
      <c r="B957" s="3">
        <v>13.88</v>
      </c>
      <c r="C957" s="3">
        <f t="shared" si="58"/>
        <v>13.88</v>
      </c>
      <c r="D957" s="3">
        <v>4514.87</v>
      </c>
      <c r="E957" s="3">
        <f t="shared" si="59"/>
        <v>4514.87</v>
      </c>
      <c r="F957" s="3">
        <f>MAX($E$2:E957)</f>
        <v>4796.5600000000004</v>
      </c>
      <c r="G957" s="3">
        <f t="shared" si="56"/>
        <v>-5.8727504711710159</v>
      </c>
      <c r="I957" s="2">
        <v>44786</v>
      </c>
      <c r="J957" s="3">
        <f>IFERROR(VLOOKUP(I957,$A$1:$G$1610,3,FALSE),J956)</f>
        <v>19.53</v>
      </c>
      <c r="K957" s="3">
        <f>IFERROR(VLOOKUP(I957,$A$1:$G$1610,7,FALSE),K956)</f>
        <v>-10.766257484530595</v>
      </c>
      <c r="L957" s="5">
        <f t="shared" si="57"/>
        <v>1</v>
      </c>
    </row>
    <row r="958" spans="1:12" x14ac:dyDescent="0.25">
      <c r="A958" s="2">
        <v>45169</v>
      </c>
      <c r="B958" s="3">
        <v>13.57</v>
      </c>
      <c r="C958" s="3">
        <f t="shared" si="58"/>
        <v>13.57</v>
      </c>
      <c r="D958" s="3">
        <v>4507.66</v>
      </c>
      <c r="E958" s="3">
        <f t="shared" si="59"/>
        <v>4507.66</v>
      </c>
      <c r="F958" s="3">
        <f>MAX($E$2:E958)</f>
        <v>4796.5600000000004</v>
      </c>
      <c r="G958" s="3">
        <f t="shared" si="56"/>
        <v>-6.023066531013904</v>
      </c>
      <c r="I958" s="2">
        <v>44787</v>
      </c>
      <c r="J958" s="3">
        <f>IFERROR(VLOOKUP(I958,$A$1:$G$1610,3,FALSE),J957)</f>
        <v>19.53</v>
      </c>
      <c r="K958" s="3">
        <f>IFERROR(VLOOKUP(I958,$A$1:$G$1610,7,FALSE),K957)</f>
        <v>-10.766257484530595</v>
      </c>
      <c r="L958" s="5">
        <f t="shared" si="57"/>
        <v>1</v>
      </c>
    </row>
    <row r="959" spans="1:12" x14ac:dyDescent="0.25">
      <c r="A959" s="2">
        <v>45170</v>
      </c>
      <c r="B959" s="3">
        <v>13.09</v>
      </c>
      <c r="C959" s="3">
        <f t="shared" si="58"/>
        <v>13.09</v>
      </c>
      <c r="D959" s="3">
        <v>4515.7700000000004</v>
      </c>
      <c r="E959" s="3">
        <f t="shared" si="59"/>
        <v>4515.7700000000004</v>
      </c>
      <c r="F959" s="3">
        <f>MAX($E$2:E959)</f>
        <v>4796.5600000000004</v>
      </c>
      <c r="G959" s="3">
        <f t="shared" si="56"/>
        <v>-5.8539870240338896</v>
      </c>
      <c r="I959" s="2">
        <v>44788</v>
      </c>
      <c r="J959" s="3">
        <f>IFERROR(VLOOKUP(I959,$A$1:$G$1610,3,FALSE),J958)</f>
        <v>19.95</v>
      </c>
      <c r="K959" s="3">
        <f>IFERROR(VLOOKUP(I959,$A$1:$G$1610,7,FALSE),K958)</f>
        <v>-10.412045299131044</v>
      </c>
      <c r="L959" s="5">
        <f t="shared" si="57"/>
        <v>1</v>
      </c>
    </row>
    <row r="960" spans="1:12" x14ac:dyDescent="0.25">
      <c r="A960" s="2">
        <v>45173</v>
      </c>
      <c r="B960" s="3">
        <v>13.82</v>
      </c>
      <c r="C960" s="3">
        <f t="shared" si="58"/>
        <v>13.82</v>
      </c>
      <c r="E960" s="3">
        <f t="shared" si="59"/>
        <v>4515.7700000000004</v>
      </c>
      <c r="F960" s="3">
        <f>MAX($E$2:E960)</f>
        <v>4796.5600000000004</v>
      </c>
      <c r="G960" s="3">
        <f t="shared" si="56"/>
        <v>-5.8539870240338896</v>
      </c>
      <c r="I960" s="2">
        <v>44789</v>
      </c>
      <c r="J960" s="3">
        <f>IFERROR(VLOOKUP(I960,$A$1:$G$1610,3,FALSE),J959)</f>
        <v>19.690000000000001</v>
      </c>
      <c r="K960" s="3">
        <f>IFERROR(VLOOKUP(I960,$A$1:$G$1610,7,FALSE),K959)</f>
        <v>-10.244008205880894</v>
      </c>
      <c r="L960" s="5">
        <f t="shared" si="57"/>
        <v>1</v>
      </c>
    </row>
    <row r="961" spans="1:12" x14ac:dyDescent="0.25">
      <c r="A961" s="2">
        <v>45174</v>
      </c>
      <c r="B961" s="3">
        <v>14.01</v>
      </c>
      <c r="C961" s="3">
        <f t="shared" si="58"/>
        <v>14.01</v>
      </c>
      <c r="D961" s="3">
        <v>4496.83</v>
      </c>
      <c r="E961" s="3">
        <f t="shared" si="59"/>
        <v>4496.83</v>
      </c>
      <c r="F961" s="3">
        <f>MAX($E$2:E961)</f>
        <v>4796.5600000000004</v>
      </c>
      <c r="G961" s="3">
        <f t="shared" si="56"/>
        <v>-6.2488533448971859</v>
      </c>
      <c r="I961" s="2">
        <v>44790</v>
      </c>
      <c r="J961" s="3">
        <f>IFERROR(VLOOKUP(I961,$A$1:$G$1610,3,FALSE),J960)</f>
        <v>19.899999999999999</v>
      </c>
      <c r="K961" s="3">
        <f>IFERROR(VLOOKUP(I961,$A$1:$G$1610,7,FALSE),K960)</f>
        <v>-10.893640442317002</v>
      </c>
      <c r="L961" s="5">
        <f t="shared" si="57"/>
        <v>1</v>
      </c>
    </row>
    <row r="962" spans="1:12" x14ac:dyDescent="0.25">
      <c r="A962" s="2">
        <v>45175</v>
      </c>
      <c r="B962" s="3">
        <v>14.45</v>
      </c>
      <c r="C962" s="3">
        <f t="shared" si="58"/>
        <v>14.45</v>
      </c>
      <c r="D962" s="3">
        <v>4465.4799999999996</v>
      </c>
      <c r="E962" s="3">
        <f t="shared" si="59"/>
        <v>4465.4799999999996</v>
      </c>
      <c r="F962" s="3">
        <f>MAX($E$2:E962)</f>
        <v>4796.5600000000004</v>
      </c>
      <c r="G962" s="3">
        <f t="shared" ref="G962:G1025" si="60">(E962-F962)/F962*100</f>
        <v>-6.9024467535066965</v>
      </c>
      <c r="I962" s="2">
        <v>44791</v>
      </c>
      <c r="J962" s="3">
        <f>IFERROR(VLOOKUP(I962,$A$1:$G$1610,3,FALSE),J961)</f>
        <v>19.559999999999999</v>
      </c>
      <c r="K962" s="3">
        <f>IFERROR(VLOOKUP(I962,$A$1:$G$1610,7,FALSE),K961)</f>
        <v>-10.6914121787281</v>
      </c>
      <c r="L962" s="5">
        <f t="shared" ref="L962:L1025" si="61">IF(OR(J962&gt;=30,K962&lt;-10),1,0)</f>
        <v>1</v>
      </c>
    </row>
    <row r="963" spans="1:12" x14ac:dyDescent="0.25">
      <c r="A963" s="2">
        <v>45176</v>
      </c>
      <c r="B963" s="3">
        <v>14.4</v>
      </c>
      <c r="C963" s="3">
        <f t="shared" ref="C963:C1026" si="62">IF(B963="",B962,B963)</f>
        <v>14.4</v>
      </c>
      <c r="D963" s="3">
        <v>4451.1400000000003</v>
      </c>
      <c r="E963" s="3">
        <f t="shared" si="59"/>
        <v>4451.1400000000003</v>
      </c>
      <c r="F963" s="3">
        <f>MAX($E$2:E963)</f>
        <v>4796.5600000000004</v>
      </c>
      <c r="G963" s="3">
        <f t="shared" si="60"/>
        <v>-7.2014110112247121</v>
      </c>
      <c r="I963" s="2">
        <v>44792</v>
      </c>
      <c r="J963" s="3">
        <f>IFERROR(VLOOKUP(I963,$A$1:$G$1610,3,FALSE),J962)</f>
        <v>20.6</v>
      </c>
      <c r="K963" s="3">
        <f>IFERROR(VLOOKUP(I963,$A$1:$G$1610,7,FALSE),K962)</f>
        <v>-11.843487832946961</v>
      </c>
      <c r="L963" s="5">
        <f t="shared" si="61"/>
        <v>1</v>
      </c>
    </row>
    <row r="964" spans="1:12" x14ac:dyDescent="0.25">
      <c r="A964" s="2">
        <v>45177</v>
      </c>
      <c r="B964" s="3">
        <v>13.84</v>
      </c>
      <c r="C964" s="3">
        <f t="shared" si="62"/>
        <v>13.84</v>
      </c>
      <c r="D964" s="3">
        <v>4457.49</v>
      </c>
      <c r="E964" s="3">
        <f t="shared" si="59"/>
        <v>4457.49</v>
      </c>
      <c r="F964" s="3">
        <f>MAX($E$2:E964)</f>
        <v>4796.5600000000004</v>
      </c>
      <c r="G964" s="3">
        <f t="shared" si="60"/>
        <v>-7.0690244675350788</v>
      </c>
      <c r="I964" s="2">
        <v>44793</v>
      </c>
      <c r="J964" s="3">
        <f>IFERROR(VLOOKUP(I964,$A$1:$G$1610,3,FALSE),J963)</f>
        <v>20.6</v>
      </c>
      <c r="K964" s="3">
        <f>IFERROR(VLOOKUP(I964,$A$1:$G$1610,7,FALSE),K963)</f>
        <v>-11.843487832946961</v>
      </c>
      <c r="L964" s="5">
        <f t="shared" si="61"/>
        <v>1</v>
      </c>
    </row>
    <row r="965" spans="1:12" x14ac:dyDescent="0.25">
      <c r="A965" s="2">
        <v>45180</v>
      </c>
      <c r="B965" s="3">
        <v>13.8</v>
      </c>
      <c r="C965" s="3">
        <f t="shared" si="62"/>
        <v>13.8</v>
      </c>
      <c r="D965" s="3">
        <v>4487.46</v>
      </c>
      <c r="E965" s="3">
        <f t="shared" ref="E965:E1028" si="63">IF(D965="",D964,D965)</f>
        <v>4487.46</v>
      </c>
      <c r="F965" s="3">
        <f>MAX($E$2:E965)</f>
        <v>4796.5600000000004</v>
      </c>
      <c r="G965" s="3">
        <f t="shared" si="60"/>
        <v>-6.4442016778691462</v>
      </c>
      <c r="I965" s="2">
        <v>44794</v>
      </c>
      <c r="J965" s="3">
        <f>IFERROR(VLOOKUP(I965,$A$1:$G$1610,3,FALSE),J964)</f>
        <v>20.6</v>
      </c>
      <c r="K965" s="3">
        <f>IFERROR(VLOOKUP(I965,$A$1:$G$1610,7,FALSE),K964)</f>
        <v>-11.843487832946961</v>
      </c>
      <c r="L965" s="5">
        <f t="shared" si="61"/>
        <v>1</v>
      </c>
    </row>
    <row r="966" spans="1:12" x14ac:dyDescent="0.25">
      <c r="A966" s="2">
        <v>45181</v>
      </c>
      <c r="B966" s="3">
        <v>14.23</v>
      </c>
      <c r="C966" s="3">
        <f t="shared" si="62"/>
        <v>14.23</v>
      </c>
      <c r="D966" s="3">
        <v>4461.8999999999996</v>
      </c>
      <c r="E966" s="3">
        <f t="shared" si="63"/>
        <v>4461.8999999999996</v>
      </c>
      <c r="F966" s="3">
        <f>MAX($E$2:E966)</f>
        <v>4796.5600000000004</v>
      </c>
      <c r="G966" s="3">
        <f t="shared" si="60"/>
        <v>-6.9770835765632189</v>
      </c>
      <c r="I966" s="2">
        <v>44795</v>
      </c>
      <c r="J966" s="3">
        <f>IFERROR(VLOOKUP(I966,$A$1:$G$1610,3,FALSE),J965)</f>
        <v>23.8</v>
      </c>
      <c r="K966" s="3">
        <f>IFERROR(VLOOKUP(I966,$A$1:$G$1610,7,FALSE),K965)</f>
        <v>-13.730048201210879</v>
      </c>
      <c r="L966" s="5">
        <f t="shared" si="61"/>
        <v>1</v>
      </c>
    </row>
    <row r="967" spans="1:12" x14ac:dyDescent="0.25">
      <c r="A967" s="2">
        <v>45182</v>
      </c>
      <c r="B967" s="3">
        <v>13.48</v>
      </c>
      <c r="C967" s="3">
        <f t="shared" si="62"/>
        <v>13.48</v>
      </c>
      <c r="D967" s="3">
        <v>4467.4399999999996</v>
      </c>
      <c r="E967" s="3">
        <f t="shared" si="63"/>
        <v>4467.4399999999996</v>
      </c>
      <c r="F967" s="3">
        <f>MAX($E$2:E967)</f>
        <v>4796.5600000000004</v>
      </c>
      <c r="G967" s="3">
        <f t="shared" si="60"/>
        <v>-6.8615841352969786</v>
      </c>
      <c r="I967" s="2">
        <v>44796</v>
      </c>
      <c r="J967" s="3">
        <f>IFERROR(VLOOKUP(I967,$A$1:$G$1610,3,FALSE),J966)</f>
        <v>24.11</v>
      </c>
      <c r="K967" s="3">
        <f>IFERROR(VLOOKUP(I967,$A$1:$G$1610,7,FALSE),K966)</f>
        <v>-13.923103223977201</v>
      </c>
      <c r="L967" s="5">
        <f t="shared" si="61"/>
        <v>1</v>
      </c>
    </row>
    <row r="968" spans="1:12" x14ac:dyDescent="0.25">
      <c r="A968" s="2">
        <v>45183</v>
      </c>
      <c r="B968" s="3">
        <v>12.82</v>
      </c>
      <c r="C968" s="3">
        <f t="shared" si="62"/>
        <v>12.82</v>
      </c>
      <c r="D968" s="3">
        <v>4505.1000000000004</v>
      </c>
      <c r="E968" s="3">
        <f t="shared" si="63"/>
        <v>4505.1000000000004</v>
      </c>
      <c r="F968" s="3">
        <f>MAX($E$2:E968)</f>
        <v>4796.5600000000004</v>
      </c>
      <c r="G968" s="3">
        <f t="shared" si="60"/>
        <v>-6.0764381139816876</v>
      </c>
      <c r="I968" s="2">
        <v>44797</v>
      </c>
      <c r="J968" s="3">
        <f>IFERROR(VLOOKUP(I968,$A$1:$G$1610,3,FALSE),J967)</f>
        <v>22.82</v>
      </c>
      <c r="K968" s="3">
        <f>IFERROR(VLOOKUP(I968,$A$1:$G$1610,7,FALSE),K967)</f>
        <v>-13.672089997831776</v>
      </c>
      <c r="L968" s="5">
        <f t="shared" si="61"/>
        <v>1</v>
      </c>
    </row>
    <row r="969" spans="1:12" x14ac:dyDescent="0.25">
      <c r="A969" s="2">
        <v>45184</v>
      </c>
      <c r="B969" s="3">
        <v>13.79</v>
      </c>
      <c r="C969" s="3">
        <f t="shared" si="62"/>
        <v>13.79</v>
      </c>
      <c r="D969" s="3">
        <v>4450.32</v>
      </c>
      <c r="E969" s="3">
        <f t="shared" si="63"/>
        <v>4450.32</v>
      </c>
      <c r="F969" s="3">
        <f>MAX($E$2:E969)</f>
        <v>4796.5600000000004</v>
      </c>
      <c r="G969" s="3">
        <f t="shared" si="60"/>
        <v>-7.2185065963940964</v>
      </c>
      <c r="I969" s="2">
        <v>44798</v>
      </c>
      <c r="J969" s="3">
        <f>IFERROR(VLOOKUP(I969,$A$1:$G$1610,3,FALSE),J968)</f>
        <v>21.78</v>
      </c>
      <c r="K969" s="3">
        <f>IFERROR(VLOOKUP(I969,$A$1:$G$1610,7,FALSE),K968)</f>
        <v>-12.455593175108838</v>
      </c>
      <c r="L969" s="5">
        <f t="shared" si="61"/>
        <v>1</v>
      </c>
    </row>
    <row r="970" spans="1:12" x14ac:dyDescent="0.25">
      <c r="A970" s="2">
        <v>45187</v>
      </c>
      <c r="B970" s="3">
        <v>14</v>
      </c>
      <c r="C970" s="3">
        <f t="shared" si="62"/>
        <v>14</v>
      </c>
      <c r="D970" s="3">
        <v>4453.53</v>
      </c>
      <c r="E970" s="3">
        <f t="shared" si="63"/>
        <v>4453.53</v>
      </c>
      <c r="F970" s="3">
        <f>MAX($E$2:E970)</f>
        <v>4796.5600000000004</v>
      </c>
      <c r="G970" s="3">
        <f t="shared" si="60"/>
        <v>-7.151583634938385</v>
      </c>
      <c r="I970" s="2">
        <v>44799</v>
      </c>
      <c r="J970" s="3">
        <f>IFERROR(VLOOKUP(I970,$A$1:$G$1610,3,FALSE),J969)</f>
        <v>25.56</v>
      </c>
      <c r="K970" s="3">
        <f>IFERROR(VLOOKUP(I970,$A$1:$G$1610,7,FALSE),K969)</f>
        <v>-15.40479009957137</v>
      </c>
      <c r="L970" s="5">
        <f t="shared" si="61"/>
        <v>1</v>
      </c>
    </row>
    <row r="971" spans="1:12" x14ac:dyDescent="0.25">
      <c r="A971" s="2">
        <v>45188</v>
      </c>
      <c r="B971" s="3">
        <v>14.11</v>
      </c>
      <c r="C971" s="3">
        <f t="shared" si="62"/>
        <v>14.11</v>
      </c>
      <c r="D971" s="3">
        <v>4443.95</v>
      </c>
      <c r="E971" s="3">
        <f t="shared" si="63"/>
        <v>4443.95</v>
      </c>
      <c r="F971" s="3">
        <f>MAX($E$2:E971)</f>
        <v>4796.5600000000004</v>
      </c>
      <c r="G971" s="3">
        <f t="shared" si="60"/>
        <v>-7.3513101055756742</v>
      </c>
      <c r="I971" s="2">
        <v>44800</v>
      </c>
      <c r="J971" s="3">
        <f>IFERROR(VLOOKUP(I971,$A$1:$G$1610,3,FALSE),J970)</f>
        <v>25.56</v>
      </c>
      <c r="K971" s="3">
        <f>IFERROR(VLOOKUP(I971,$A$1:$G$1610,7,FALSE),K970)</f>
        <v>-15.40479009957137</v>
      </c>
      <c r="L971" s="5">
        <f t="shared" si="61"/>
        <v>1</v>
      </c>
    </row>
    <row r="972" spans="1:12" x14ac:dyDescent="0.25">
      <c r="A972" s="2">
        <v>45189</v>
      </c>
      <c r="B972" s="3">
        <v>15.14</v>
      </c>
      <c r="C972" s="3">
        <f t="shared" si="62"/>
        <v>15.14</v>
      </c>
      <c r="D972" s="3">
        <v>4402.2</v>
      </c>
      <c r="E972" s="3">
        <f t="shared" si="63"/>
        <v>4402.2</v>
      </c>
      <c r="F972" s="3">
        <f>MAX($E$2:E972)</f>
        <v>4796.5600000000004</v>
      </c>
      <c r="G972" s="3">
        <f t="shared" si="60"/>
        <v>-8.2217255699918397</v>
      </c>
      <c r="I972" s="2">
        <v>44801</v>
      </c>
      <c r="J972" s="3">
        <f>IFERROR(VLOOKUP(I972,$A$1:$G$1610,3,FALSE),J971)</f>
        <v>25.56</v>
      </c>
      <c r="K972" s="3">
        <f>IFERROR(VLOOKUP(I972,$A$1:$G$1610,7,FALSE),K971)</f>
        <v>-15.40479009957137</v>
      </c>
      <c r="L972" s="5">
        <f t="shared" si="61"/>
        <v>1</v>
      </c>
    </row>
    <row r="973" spans="1:12" x14ac:dyDescent="0.25">
      <c r="A973" s="2">
        <v>45190</v>
      </c>
      <c r="B973" s="3">
        <v>17.54</v>
      </c>
      <c r="C973" s="3">
        <f t="shared" si="62"/>
        <v>17.54</v>
      </c>
      <c r="D973" s="3">
        <v>4330</v>
      </c>
      <c r="E973" s="3">
        <f t="shared" si="63"/>
        <v>4330</v>
      </c>
      <c r="F973" s="3">
        <f>MAX($E$2:E973)</f>
        <v>4796.5600000000004</v>
      </c>
      <c r="G973" s="3">
        <f t="shared" si="60"/>
        <v>-9.7269709958803876</v>
      </c>
      <c r="I973" s="2">
        <v>44802</v>
      </c>
      <c r="J973" s="3">
        <f>IFERROR(VLOOKUP(I973,$A$1:$G$1610,3,FALSE),J972)</f>
        <v>26.21</v>
      </c>
      <c r="K973" s="3">
        <f>IFERROR(VLOOKUP(I973,$A$1:$G$1610,7,FALSE),K972)</f>
        <v>-15.968735927414651</v>
      </c>
      <c r="L973" s="5">
        <f t="shared" si="61"/>
        <v>1</v>
      </c>
    </row>
    <row r="974" spans="1:12" x14ac:dyDescent="0.25">
      <c r="A974" s="2">
        <v>45191</v>
      </c>
      <c r="B974" s="3">
        <v>17.2</v>
      </c>
      <c r="C974" s="3">
        <f t="shared" si="62"/>
        <v>17.2</v>
      </c>
      <c r="D974" s="3">
        <v>4320.0600000000004</v>
      </c>
      <c r="E974" s="3">
        <f t="shared" si="63"/>
        <v>4320.0600000000004</v>
      </c>
      <c r="F974" s="3">
        <f>MAX($E$2:E974)</f>
        <v>4796.5600000000004</v>
      </c>
      <c r="G974" s="3">
        <f t="shared" si="60"/>
        <v>-9.934202845372516</v>
      </c>
      <c r="I974" s="2">
        <v>44803</v>
      </c>
      <c r="J974" s="3">
        <f>IFERROR(VLOOKUP(I974,$A$1:$G$1610,3,FALSE),J973)</f>
        <v>26.21</v>
      </c>
      <c r="K974" s="3">
        <f>IFERROR(VLOOKUP(I974,$A$1:$G$1610,7,FALSE),K973)</f>
        <v>-16.895441733242166</v>
      </c>
      <c r="L974" s="5">
        <f t="shared" si="61"/>
        <v>1</v>
      </c>
    </row>
    <row r="975" spans="1:12" x14ac:dyDescent="0.25">
      <c r="A975" s="2">
        <v>45194</v>
      </c>
      <c r="B975" s="3">
        <v>16.899999999999999</v>
      </c>
      <c r="C975" s="3">
        <f t="shared" si="62"/>
        <v>16.899999999999999</v>
      </c>
      <c r="D975" s="3">
        <v>4337.4399999999996</v>
      </c>
      <c r="E975" s="3">
        <f t="shared" si="63"/>
        <v>4337.4399999999996</v>
      </c>
      <c r="F975" s="3">
        <f>MAX($E$2:E975)</f>
        <v>4796.5600000000004</v>
      </c>
      <c r="G975" s="3">
        <f t="shared" si="60"/>
        <v>-9.5718598328802464</v>
      </c>
      <c r="I975" s="2">
        <v>44804</v>
      </c>
      <c r="J975" s="3">
        <f>IFERROR(VLOOKUP(I975,$A$1:$G$1610,3,FALSE),J974)</f>
        <v>25.87</v>
      </c>
      <c r="K975" s="3">
        <f>IFERROR(VLOOKUP(I975,$A$1:$G$1610,7,FALSE),K974)</f>
        <v>-17.545073969678278</v>
      </c>
      <c r="L975" s="5">
        <f t="shared" si="61"/>
        <v>1</v>
      </c>
    </row>
    <row r="976" spans="1:12" x14ac:dyDescent="0.25">
      <c r="A976" s="2">
        <v>45195</v>
      </c>
      <c r="B976" s="3">
        <v>18.940000000000001</v>
      </c>
      <c r="C976" s="3">
        <f t="shared" si="62"/>
        <v>18.940000000000001</v>
      </c>
      <c r="D976" s="3">
        <v>4273.53</v>
      </c>
      <c r="E976" s="3">
        <f t="shared" si="63"/>
        <v>4273.53</v>
      </c>
      <c r="F976" s="3">
        <f>MAX($E$2:E976)</f>
        <v>4796.5600000000004</v>
      </c>
      <c r="G976" s="3">
        <f t="shared" si="60"/>
        <v>-10.904273062361373</v>
      </c>
      <c r="I976" s="2">
        <v>44805</v>
      </c>
      <c r="J976" s="3">
        <f>IFERROR(VLOOKUP(I976,$A$1:$G$1610,3,FALSE),J975)</f>
        <v>25.56</v>
      </c>
      <c r="K976" s="3">
        <f>IFERROR(VLOOKUP(I976,$A$1:$G$1610,7,FALSE),K975)</f>
        <v>-17.298021915706265</v>
      </c>
      <c r="L976" s="5">
        <f t="shared" si="61"/>
        <v>1</v>
      </c>
    </row>
    <row r="977" spans="1:12" x14ac:dyDescent="0.25">
      <c r="A977" s="2">
        <v>45196</v>
      </c>
      <c r="B977" s="3">
        <v>18.22</v>
      </c>
      <c r="C977" s="3">
        <f t="shared" si="62"/>
        <v>18.22</v>
      </c>
      <c r="D977" s="3">
        <v>4274.51</v>
      </c>
      <c r="E977" s="3">
        <f t="shared" si="63"/>
        <v>4274.51</v>
      </c>
      <c r="F977" s="3">
        <f>MAX($E$2:E977)</f>
        <v>4796.5600000000004</v>
      </c>
      <c r="G977" s="3">
        <f t="shared" si="60"/>
        <v>-10.883841753256505</v>
      </c>
      <c r="I977" s="2">
        <v>44806</v>
      </c>
      <c r="J977" s="3">
        <f>IFERROR(VLOOKUP(I977,$A$1:$G$1610,3,FALSE),J976)</f>
        <v>25.47</v>
      </c>
      <c r="K977" s="3">
        <f>IFERROR(VLOOKUP(I977,$A$1:$G$1610,7,FALSE),K976)</f>
        <v>-18.185949930783732</v>
      </c>
      <c r="L977" s="5">
        <f t="shared" si="61"/>
        <v>1</v>
      </c>
    </row>
    <row r="978" spans="1:12" x14ac:dyDescent="0.25">
      <c r="A978" s="2">
        <v>45197</v>
      </c>
      <c r="B978" s="3">
        <v>17.34</v>
      </c>
      <c r="C978" s="3">
        <f t="shared" si="62"/>
        <v>17.34</v>
      </c>
      <c r="D978" s="3">
        <v>4299.7</v>
      </c>
      <c r="E978" s="3">
        <f t="shared" si="63"/>
        <v>4299.7</v>
      </c>
      <c r="F978" s="3">
        <f>MAX($E$2:E978)</f>
        <v>4796.5600000000004</v>
      </c>
      <c r="G978" s="3">
        <f t="shared" si="60"/>
        <v>-10.358673716163262</v>
      </c>
      <c r="I978" s="2">
        <v>44807</v>
      </c>
      <c r="J978" s="3">
        <f>IFERROR(VLOOKUP(I978,$A$1:$G$1610,3,FALSE),J977)</f>
        <v>25.47</v>
      </c>
      <c r="K978" s="3">
        <f>IFERROR(VLOOKUP(I978,$A$1:$G$1610,7,FALSE),K977)</f>
        <v>-18.185949930783732</v>
      </c>
      <c r="L978" s="5">
        <f t="shared" si="61"/>
        <v>1</v>
      </c>
    </row>
    <row r="979" spans="1:12" x14ac:dyDescent="0.25">
      <c r="A979" s="2">
        <v>45198</v>
      </c>
      <c r="B979" s="3">
        <v>17.52</v>
      </c>
      <c r="C979" s="3">
        <f t="shared" si="62"/>
        <v>17.52</v>
      </c>
      <c r="D979" s="3">
        <v>4288.05</v>
      </c>
      <c r="E979" s="3">
        <f t="shared" si="63"/>
        <v>4288.05</v>
      </c>
      <c r="F979" s="3">
        <f>MAX($E$2:E979)</f>
        <v>4796.5600000000004</v>
      </c>
      <c r="G979" s="3">
        <f t="shared" si="60"/>
        <v>-10.601556115215908</v>
      </c>
      <c r="I979" s="2">
        <v>44808</v>
      </c>
      <c r="J979" s="3">
        <f>IFERROR(VLOOKUP(I979,$A$1:$G$1610,3,FALSE),J978)</f>
        <v>25.47</v>
      </c>
      <c r="K979" s="3">
        <f>IFERROR(VLOOKUP(I979,$A$1:$G$1610,7,FALSE),K978)</f>
        <v>-18.185949930783732</v>
      </c>
      <c r="L979" s="5">
        <f t="shared" si="61"/>
        <v>1</v>
      </c>
    </row>
    <row r="980" spans="1:12" x14ac:dyDescent="0.25">
      <c r="A980" s="2">
        <v>45201</v>
      </c>
      <c r="B980" s="3">
        <v>17.61</v>
      </c>
      <c r="C980" s="3">
        <f t="shared" si="62"/>
        <v>17.61</v>
      </c>
      <c r="D980" s="3">
        <v>4288.3900000000003</v>
      </c>
      <c r="E980" s="3">
        <f t="shared" si="63"/>
        <v>4288.3900000000003</v>
      </c>
      <c r="F980" s="3">
        <f>MAX($E$2:E980)</f>
        <v>4796.5600000000004</v>
      </c>
      <c r="G980" s="3">
        <f t="shared" si="60"/>
        <v>-10.594467701852995</v>
      </c>
      <c r="I980" s="2">
        <v>44809</v>
      </c>
      <c r="J980" s="3">
        <f>IFERROR(VLOOKUP(I980,$A$1:$G$1610,3,FALSE),J979)</f>
        <v>25.99</v>
      </c>
      <c r="K980" s="3">
        <f>IFERROR(VLOOKUP(I980,$A$1:$G$1610,7,FALSE),K979)</f>
        <v>-18.185949930783732</v>
      </c>
      <c r="L980" s="5">
        <f t="shared" si="61"/>
        <v>1</v>
      </c>
    </row>
    <row r="981" spans="1:12" x14ac:dyDescent="0.25">
      <c r="A981" s="2">
        <v>45202</v>
      </c>
      <c r="B981" s="3">
        <v>19.78</v>
      </c>
      <c r="C981" s="3">
        <f t="shared" si="62"/>
        <v>19.78</v>
      </c>
      <c r="D981" s="3">
        <v>4229.45</v>
      </c>
      <c r="E981" s="3">
        <f t="shared" si="63"/>
        <v>4229.45</v>
      </c>
      <c r="F981" s="3">
        <f>MAX($E$2:E981)</f>
        <v>4796.5600000000004</v>
      </c>
      <c r="G981" s="3">
        <f t="shared" si="60"/>
        <v>-11.823265006588066</v>
      </c>
      <c r="I981" s="2">
        <v>44810</v>
      </c>
      <c r="J981" s="3">
        <f>IFERROR(VLOOKUP(I981,$A$1:$G$1610,3,FALSE),J980)</f>
        <v>26.91</v>
      </c>
      <c r="K981" s="3">
        <f>IFERROR(VLOOKUP(I981,$A$1:$G$1610,7,FALSE),K980)</f>
        <v>-18.52098170355422</v>
      </c>
      <c r="L981" s="5">
        <f t="shared" si="61"/>
        <v>1</v>
      </c>
    </row>
    <row r="982" spans="1:12" x14ac:dyDescent="0.25">
      <c r="A982" s="2">
        <v>45203</v>
      </c>
      <c r="B982" s="3">
        <v>18.579999999999998</v>
      </c>
      <c r="C982" s="3">
        <f t="shared" si="62"/>
        <v>18.579999999999998</v>
      </c>
      <c r="D982" s="3">
        <v>4263.75</v>
      </c>
      <c r="E982" s="3">
        <f t="shared" si="63"/>
        <v>4263.75</v>
      </c>
      <c r="F982" s="3">
        <f>MAX($E$2:E982)</f>
        <v>4796.5600000000004</v>
      </c>
      <c r="G982" s="3">
        <f t="shared" si="60"/>
        <v>-11.108169187918016</v>
      </c>
      <c r="I982" s="2">
        <v>44811</v>
      </c>
      <c r="J982" s="3">
        <f>IFERROR(VLOOKUP(I982,$A$1:$G$1610,3,FALSE),J981)</f>
        <v>24.64</v>
      </c>
      <c r="K982" s="3">
        <f>IFERROR(VLOOKUP(I982,$A$1:$G$1610,7,FALSE),K981)</f>
        <v>-17.026577380456004</v>
      </c>
      <c r="L982" s="5">
        <f t="shared" si="61"/>
        <v>1</v>
      </c>
    </row>
    <row r="983" spans="1:12" x14ac:dyDescent="0.25">
      <c r="A983" s="2">
        <v>45204</v>
      </c>
      <c r="B983" s="3">
        <v>18.489999999999998</v>
      </c>
      <c r="C983" s="3">
        <f t="shared" si="62"/>
        <v>18.489999999999998</v>
      </c>
      <c r="D983" s="3">
        <v>4258.1899999999996</v>
      </c>
      <c r="E983" s="3">
        <f t="shared" si="63"/>
        <v>4258.1899999999996</v>
      </c>
      <c r="F983" s="3">
        <f>MAX($E$2:E983)</f>
        <v>4796.5600000000004</v>
      </c>
      <c r="G983" s="3">
        <f t="shared" si="60"/>
        <v>-11.2240855946762</v>
      </c>
      <c r="I983" s="2">
        <v>44812</v>
      </c>
      <c r="J983" s="3">
        <f>IFERROR(VLOOKUP(I983,$A$1:$G$1610,3,FALSE),J982)</f>
        <v>23.61</v>
      </c>
      <c r="K983" s="3">
        <f>IFERROR(VLOOKUP(I983,$A$1:$G$1610,7,FALSE),K982)</f>
        <v>-16.478059275814346</v>
      </c>
      <c r="L983" s="5">
        <f t="shared" si="61"/>
        <v>1</v>
      </c>
    </row>
    <row r="984" spans="1:12" x14ac:dyDescent="0.25">
      <c r="A984" s="2">
        <v>45205</v>
      </c>
      <c r="B984" s="3">
        <v>17.45</v>
      </c>
      <c r="C984" s="3">
        <f t="shared" si="62"/>
        <v>17.45</v>
      </c>
      <c r="D984" s="3">
        <v>4308.5</v>
      </c>
      <c r="E984" s="3">
        <f t="shared" si="63"/>
        <v>4308.5</v>
      </c>
      <c r="F984" s="3">
        <f>MAX($E$2:E984)</f>
        <v>4796.5600000000004</v>
      </c>
      <c r="G984" s="3">
        <f t="shared" si="60"/>
        <v>-10.175208899711468</v>
      </c>
      <c r="I984" s="2">
        <v>44813</v>
      </c>
      <c r="J984" s="3">
        <f>IFERROR(VLOOKUP(I984,$A$1:$G$1610,3,FALSE),J983)</f>
        <v>22.79</v>
      </c>
      <c r="K984" s="3">
        <f>IFERROR(VLOOKUP(I984,$A$1:$G$1610,7,FALSE),K983)</f>
        <v>-15.202561835982459</v>
      </c>
      <c r="L984" s="5">
        <f t="shared" si="61"/>
        <v>1</v>
      </c>
    </row>
    <row r="985" spans="1:12" x14ac:dyDescent="0.25">
      <c r="A985" s="2">
        <v>45208</v>
      </c>
      <c r="B985" s="3">
        <v>17.7</v>
      </c>
      <c r="C985" s="3">
        <f t="shared" si="62"/>
        <v>17.7</v>
      </c>
      <c r="D985" s="3">
        <v>4335.66</v>
      </c>
      <c r="E985" s="3">
        <f t="shared" si="63"/>
        <v>4335.66</v>
      </c>
      <c r="F985" s="3">
        <f>MAX($E$2:E985)</f>
        <v>4796.5600000000004</v>
      </c>
      <c r="G985" s="3">
        <f t="shared" si="60"/>
        <v>-9.6089697616625358</v>
      </c>
      <c r="I985" s="2">
        <v>44814</v>
      </c>
      <c r="J985" s="3">
        <f>IFERROR(VLOOKUP(I985,$A$1:$G$1610,3,FALSE),J984)</f>
        <v>22.79</v>
      </c>
      <c r="K985" s="3">
        <f>IFERROR(VLOOKUP(I985,$A$1:$G$1610,7,FALSE),K984)</f>
        <v>-15.202561835982459</v>
      </c>
      <c r="L985" s="5">
        <f t="shared" si="61"/>
        <v>1</v>
      </c>
    </row>
    <row r="986" spans="1:12" x14ac:dyDescent="0.25">
      <c r="A986" s="2">
        <v>45209</v>
      </c>
      <c r="B986" s="3">
        <v>17.03</v>
      </c>
      <c r="C986" s="3">
        <f t="shared" si="62"/>
        <v>17.03</v>
      </c>
      <c r="D986" s="3">
        <v>4358.24</v>
      </c>
      <c r="E986" s="3">
        <f t="shared" si="63"/>
        <v>4358.24</v>
      </c>
      <c r="F986" s="3">
        <f>MAX($E$2:E986)</f>
        <v>4796.5600000000004</v>
      </c>
      <c r="G986" s="3">
        <f t="shared" si="60"/>
        <v>-9.1382157212669206</v>
      </c>
      <c r="I986" s="2">
        <v>44815</v>
      </c>
      <c r="J986" s="3">
        <f>IFERROR(VLOOKUP(I986,$A$1:$G$1610,3,FALSE),J985)</f>
        <v>22.79</v>
      </c>
      <c r="K986" s="3">
        <f>IFERROR(VLOOKUP(I986,$A$1:$G$1610,7,FALSE),K985)</f>
        <v>-15.202561835982459</v>
      </c>
      <c r="L986" s="5">
        <f t="shared" si="61"/>
        <v>1</v>
      </c>
    </row>
    <row r="987" spans="1:12" x14ac:dyDescent="0.25">
      <c r="A987" s="2">
        <v>45210</v>
      </c>
      <c r="B987" s="3">
        <v>16.09</v>
      </c>
      <c r="C987" s="3">
        <f t="shared" si="62"/>
        <v>16.09</v>
      </c>
      <c r="D987" s="3">
        <v>4376.95</v>
      </c>
      <c r="E987" s="3">
        <f t="shared" si="63"/>
        <v>4376.95</v>
      </c>
      <c r="F987" s="3">
        <f>MAX($E$2:E987)</f>
        <v>4796.5600000000004</v>
      </c>
      <c r="G987" s="3">
        <f t="shared" si="60"/>
        <v>-8.748144503560896</v>
      </c>
      <c r="I987" s="2">
        <v>44816</v>
      </c>
      <c r="J987" s="3">
        <f>IFERROR(VLOOKUP(I987,$A$1:$G$1610,3,FALSE),J986)</f>
        <v>23.87</v>
      </c>
      <c r="K987" s="3">
        <f>IFERROR(VLOOKUP(I987,$A$1:$G$1610,7,FALSE),K986)</f>
        <v>-14.305043614590469</v>
      </c>
      <c r="L987" s="5">
        <f t="shared" si="61"/>
        <v>1</v>
      </c>
    </row>
    <row r="988" spans="1:12" x14ac:dyDescent="0.25">
      <c r="A988" s="2">
        <v>45211</v>
      </c>
      <c r="B988" s="3">
        <v>16.690000000000001</v>
      </c>
      <c r="C988" s="3">
        <f t="shared" si="62"/>
        <v>16.690000000000001</v>
      </c>
      <c r="D988" s="3">
        <v>4349.6099999999997</v>
      </c>
      <c r="E988" s="3">
        <f t="shared" si="63"/>
        <v>4349.6099999999997</v>
      </c>
      <c r="F988" s="3">
        <f>MAX($E$2:E988)</f>
        <v>4796.5600000000004</v>
      </c>
      <c r="G988" s="3">
        <f t="shared" si="60"/>
        <v>-9.3181363310372571</v>
      </c>
      <c r="I988" s="2">
        <v>44817</v>
      </c>
      <c r="J988" s="3">
        <f>IFERROR(VLOOKUP(I988,$A$1:$G$1610,3,FALSE),J987)</f>
        <v>27.27</v>
      </c>
      <c r="K988" s="3">
        <f>IFERROR(VLOOKUP(I988,$A$1:$G$1610,7,FALSE),K987)</f>
        <v>-18.010198975932756</v>
      </c>
      <c r="L988" s="5">
        <f t="shared" si="61"/>
        <v>1</v>
      </c>
    </row>
    <row r="989" spans="1:12" x14ac:dyDescent="0.25">
      <c r="A989" s="2">
        <v>45212</v>
      </c>
      <c r="B989" s="3">
        <v>19.32</v>
      </c>
      <c r="C989" s="3">
        <f t="shared" si="62"/>
        <v>19.32</v>
      </c>
      <c r="D989" s="3">
        <v>4327.78</v>
      </c>
      <c r="E989" s="3">
        <f t="shared" si="63"/>
        <v>4327.78</v>
      </c>
      <c r="F989" s="3">
        <f>MAX($E$2:E989)</f>
        <v>4796.5600000000004</v>
      </c>
      <c r="G989" s="3">
        <f t="shared" si="60"/>
        <v>-9.7732541654852767</v>
      </c>
      <c r="I989" s="2">
        <v>44818</v>
      </c>
      <c r="J989" s="3">
        <f>IFERROR(VLOOKUP(I989,$A$1:$G$1610,3,FALSE),J988)</f>
        <v>26.16</v>
      </c>
      <c r="K989" s="3">
        <f>IFERROR(VLOOKUP(I989,$A$1:$G$1610,7,FALSE),K988)</f>
        <v>-17.732499958303453</v>
      </c>
      <c r="L989" s="5">
        <f t="shared" si="61"/>
        <v>1</v>
      </c>
    </row>
    <row r="990" spans="1:12" x14ac:dyDescent="0.25">
      <c r="A990" s="2">
        <v>45215</v>
      </c>
      <c r="B990" s="3">
        <v>17.21</v>
      </c>
      <c r="C990" s="3">
        <f t="shared" si="62"/>
        <v>17.21</v>
      </c>
      <c r="D990" s="3">
        <v>4373.63</v>
      </c>
      <c r="E990" s="3">
        <f t="shared" si="63"/>
        <v>4373.63</v>
      </c>
      <c r="F990" s="3">
        <f>MAX($E$2:E990)</f>
        <v>4796.5600000000004</v>
      </c>
      <c r="G990" s="3">
        <f t="shared" si="60"/>
        <v>-8.817360775222248</v>
      </c>
      <c r="I990" s="2">
        <v>44819</v>
      </c>
      <c r="J990" s="3">
        <f>IFERROR(VLOOKUP(I990,$A$1:$G$1610,3,FALSE),J989)</f>
        <v>26.27</v>
      </c>
      <c r="K990" s="3">
        <f>IFERROR(VLOOKUP(I990,$A$1:$G$1610,7,FALSE),K989)</f>
        <v>-18.663583901796297</v>
      </c>
      <c r="L990" s="5">
        <f t="shared" si="61"/>
        <v>1</v>
      </c>
    </row>
    <row r="991" spans="1:12" x14ac:dyDescent="0.25">
      <c r="A991" s="2">
        <v>45216</v>
      </c>
      <c r="B991" s="3">
        <v>17.88</v>
      </c>
      <c r="C991" s="3">
        <f t="shared" si="62"/>
        <v>17.88</v>
      </c>
      <c r="D991" s="3">
        <v>4373.2</v>
      </c>
      <c r="E991" s="3">
        <f t="shared" si="63"/>
        <v>4373.2</v>
      </c>
      <c r="F991" s="3">
        <f>MAX($E$2:E991)</f>
        <v>4796.5600000000004</v>
      </c>
      <c r="G991" s="3">
        <f t="shared" si="60"/>
        <v>-8.8263255332988759</v>
      </c>
      <c r="I991" s="2">
        <v>44820</v>
      </c>
      <c r="J991" s="3">
        <f>IFERROR(VLOOKUP(I991,$A$1:$G$1610,3,FALSE),J990)</f>
        <v>26.3</v>
      </c>
      <c r="K991" s="3">
        <f>IFERROR(VLOOKUP(I991,$A$1:$G$1610,7,FALSE),K990)</f>
        <v>-19.247752555998474</v>
      </c>
      <c r="L991" s="5">
        <f t="shared" si="61"/>
        <v>1</v>
      </c>
    </row>
    <row r="992" spans="1:12" x14ac:dyDescent="0.25">
      <c r="A992" s="2">
        <v>45217</v>
      </c>
      <c r="B992" s="3">
        <v>19.22</v>
      </c>
      <c r="C992" s="3">
        <f t="shared" si="62"/>
        <v>19.22</v>
      </c>
      <c r="D992" s="3">
        <v>4314.6000000000004</v>
      </c>
      <c r="E992" s="3">
        <f t="shared" si="63"/>
        <v>4314.6000000000004</v>
      </c>
      <c r="F992" s="3">
        <f>MAX($E$2:E992)</f>
        <v>4796.5600000000004</v>
      </c>
      <c r="G992" s="3">
        <f t="shared" si="60"/>
        <v>-10.048034424671014</v>
      </c>
      <c r="I992" s="2">
        <v>44821</v>
      </c>
      <c r="J992" s="3">
        <f>IFERROR(VLOOKUP(I992,$A$1:$G$1610,3,FALSE),J991)</f>
        <v>26.3</v>
      </c>
      <c r="K992" s="3">
        <f>IFERROR(VLOOKUP(I992,$A$1:$G$1610,7,FALSE),K991)</f>
        <v>-19.247752555998474</v>
      </c>
      <c r="L992" s="5">
        <f t="shared" si="61"/>
        <v>1</v>
      </c>
    </row>
    <row r="993" spans="1:12" x14ac:dyDescent="0.25">
      <c r="A993" s="2">
        <v>45218</v>
      </c>
      <c r="B993" s="3">
        <v>21.4</v>
      </c>
      <c r="C993" s="3">
        <f t="shared" si="62"/>
        <v>21.4</v>
      </c>
      <c r="D993" s="3">
        <v>4278</v>
      </c>
      <c r="E993" s="3">
        <f t="shared" si="63"/>
        <v>4278</v>
      </c>
      <c r="F993" s="3">
        <f>MAX($E$2:E993)</f>
        <v>4796.5600000000004</v>
      </c>
      <c r="G993" s="3">
        <f t="shared" si="60"/>
        <v>-10.811081274913697</v>
      </c>
      <c r="I993" s="2">
        <v>44822</v>
      </c>
      <c r="J993" s="3">
        <f>IFERROR(VLOOKUP(I993,$A$1:$G$1610,3,FALSE),J992)</f>
        <v>26.3</v>
      </c>
      <c r="K993" s="3">
        <f>IFERROR(VLOOKUP(I993,$A$1:$G$1610,7,FALSE),K992)</f>
        <v>-19.247752555998474</v>
      </c>
      <c r="L993" s="5">
        <f t="shared" si="61"/>
        <v>1</v>
      </c>
    </row>
    <row r="994" spans="1:12" x14ac:dyDescent="0.25">
      <c r="A994" s="2">
        <v>45219</v>
      </c>
      <c r="B994" s="3">
        <v>21.71</v>
      </c>
      <c r="C994" s="3">
        <f t="shared" si="62"/>
        <v>21.71</v>
      </c>
      <c r="D994" s="3">
        <v>4224.16</v>
      </c>
      <c r="E994" s="3">
        <f t="shared" si="63"/>
        <v>4224.16</v>
      </c>
      <c r="F994" s="3">
        <f>MAX($E$2:E994)</f>
        <v>4796.5600000000004</v>
      </c>
      <c r="G994" s="3">
        <f t="shared" si="60"/>
        <v>-11.933552379205107</v>
      </c>
      <c r="I994" s="2">
        <v>44823</v>
      </c>
      <c r="J994" s="3">
        <f>IFERROR(VLOOKUP(I994,$A$1:$G$1610,3,FALSE),J993)</f>
        <v>25.76</v>
      </c>
      <c r="K994" s="3">
        <f>IFERROR(VLOOKUP(I994,$A$1:$G$1610,7,FALSE),K993)</f>
        <v>-18.694022382707619</v>
      </c>
      <c r="L994" s="5">
        <f t="shared" si="61"/>
        <v>1</v>
      </c>
    </row>
    <row r="995" spans="1:12" x14ac:dyDescent="0.25">
      <c r="A995" s="2">
        <v>45222</v>
      </c>
      <c r="B995" s="3">
        <v>20.37</v>
      </c>
      <c r="C995" s="3">
        <f t="shared" si="62"/>
        <v>20.37</v>
      </c>
      <c r="D995" s="3">
        <v>4217.04</v>
      </c>
      <c r="E995" s="3">
        <f t="shared" si="63"/>
        <v>4217.04</v>
      </c>
      <c r="F995" s="3">
        <f>MAX($E$2:E995)</f>
        <v>4796.5600000000004</v>
      </c>
      <c r="G995" s="3">
        <f t="shared" si="60"/>
        <v>-12.08199209433428</v>
      </c>
      <c r="I995" s="2">
        <v>44824</v>
      </c>
      <c r="J995" s="3">
        <f>IFERROR(VLOOKUP(I995,$A$1:$G$1610,3,FALSE),J994)</f>
        <v>27.16</v>
      </c>
      <c r="K995" s="3">
        <f>IFERROR(VLOOKUP(I995,$A$1:$G$1610,7,FALSE),K994)</f>
        <v>-19.610512533982696</v>
      </c>
      <c r="L995" s="5">
        <f t="shared" si="61"/>
        <v>1</v>
      </c>
    </row>
    <row r="996" spans="1:12" x14ac:dyDescent="0.25">
      <c r="A996" s="2">
        <v>45223</v>
      </c>
      <c r="B996" s="3">
        <v>18.97</v>
      </c>
      <c r="C996" s="3">
        <f t="shared" si="62"/>
        <v>18.97</v>
      </c>
      <c r="D996" s="3">
        <v>4247.68</v>
      </c>
      <c r="E996" s="3">
        <f t="shared" si="63"/>
        <v>4247.68</v>
      </c>
      <c r="F996" s="3">
        <f>MAX($E$2:E996)</f>
        <v>4796.5600000000004</v>
      </c>
      <c r="G996" s="3">
        <f t="shared" si="60"/>
        <v>-11.443200960688495</v>
      </c>
      <c r="I996" s="2">
        <v>44825</v>
      </c>
      <c r="J996" s="3">
        <f>IFERROR(VLOOKUP(I996,$A$1:$G$1610,3,FALSE),J995)</f>
        <v>27.99</v>
      </c>
      <c r="K996" s="3">
        <f>IFERROR(VLOOKUP(I996,$A$1:$G$1610,7,FALSE),K995)</f>
        <v>-20.986498657371126</v>
      </c>
      <c r="L996" s="5">
        <f t="shared" si="61"/>
        <v>1</v>
      </c>
    </row>
    <row r="997" spans="1:12" x14ac:dyDescent="0.25">
      <c r="A997" s="2">
        <v>45224</v>
      </c>
      <c r="B997" s="3">
        <v>20.190000000000001</v>
      </c>
      <c r="C997" s="3">
        <f t="shared" si="62"/>
        <v>20.190000000000001</v>
      </c>
      <c r="D997" s="3">
        <v>4186.7700000000004</v>
      </c>
      <c r="E997" s="3">
        <f t="shared" si="63"/>
        <v>4186.7700000000004</v>
      </c>
      <c r="F997" s="3">
        <f>MAX($E$2:E997)</f>
        <v>4796.5600000000004</v>
      </c>
      <c r="G997" s="3">
        <f t="shared" si="60"/>
        <v>-12.713069366379237</v>
      </c>
      <c r="I997" s="2">
        <v>44826</v>
      </c>
      <c r="J997" s="3">
        <f>IFERROR(VLOOKUP(I997,$A$1:$G$1610,3,FALSE),J996)</f>
        <v>27.35</v>
      </c>
      <c r="K997" s="3">
        <f>IFERROR(VLOOKUP(I997,$A$1:$G$1610,7,FALSE),K996)</f>
        <v>-21.65239254799274</v>
      </c>
      <c r="L997" s="5">
        <f t="shared" si="61"/>
        <v>1</v>
      </c>
    </row>
    <row r="998" spans="1:12" x14ac:dyDescent="0.25">
      <c r="A998" s="2">
        <v>45225</v>
      </c>
      <c r="B998" s="3">
        <v>20.68</v>
      </c>
      <c r="C998" s="3">
        <f t="shared" si="62"/>
        <v>20.68</v>
      </c>
      <c r="D998" s="3">
        <v>4137.2299999999996</v>
      </c>
      <c r="E998" s="3">
        <f t="shared" si="63"/>
        <v>4137.2299999999996</v>
      </c>
      <c r="F998" s="3">
        <f>MAX($E$2:E998)</f>
        <v>4796.5600000000004</v>
      </c>
      <c r="G998" s="3">
        <f t="shared" si="60"/>
        <v>-13.745892889904448</v>
      </c>
      <c r="I998" s="2">
        <v>44827</v>
      </c>
      <c r="J998" s="3">
        <f>IFERROR(VLOOKUP(I998,$A$1:$G$1610,3,FALSE),J997)</f>
        <v>29.92</v>
      </c>
      <c r="K998" s="3">
        <f>IFERROR(VLOOKUP(I998,$A$1:$G$1610,7,FALSE),K997)</f>
        <v>-23.00252681088114</v>
      </c>
      <c r="L998" s="5">
        <f t="shared" si="61"/>
        <v>1</v>
      </c>
    </row>
    <row r="999" spans="1:12" x14ac:dyDescent="0.25">
      <c r="A999" s="2">
        <v>45226</v>
      </c>
      <c r="B999" s="3">
        <v>21.27</v>
      </c>
      <c r="C999" s="3">
        <f t="shared" si="62"/>
        <v>21.27</v>
      </c>
      <c r="D999" s="3">
        <v>4117.37</v>
      </c>
      <c r="E999" s="3">
        <f t="shared" si="63"/>
        <v>4117.37</v>
      </c>
      <c r="F999" s="3">
        <f>MAX($E$2:E999)</f>
        <v>4796.5600000000004</v>
      </c>
      <c r="G999" s="3">
        <f t="shared" si="60"/>
        <v>-14.159939623396777</v>
      </c>
      <c r="I999" s="2">
        <v>44828</v>
      </c>
      <c r="J999" s="3">
        <f>IFERROR(VLOOKUP(I999,$A$1:$G$1610,3,FALSE),J998)</f>
        <v>29.92</v>
      </c>
      <c r="K999" s="3">
        <f>IFERROR(VLOOKUP(I999,$A$1:$G$1610,7,FALSE),K998)</f>
        <v>-23.00252681088114</v>
      </c>
      <c r="L999" s="5">
        <f t="shared" si="61"/>
        <v>1</v>
      </c>
    </row>
    <row r="1000" spans="1:12" x14ac:dyDescent="0.25">
      <c r="A1000" s="2">
        <v>45229</v>
      </c>
      <c r="B1000" s="3">
        <v>19.75</v>
      </c>
      <c r="C1000" s="3">
        <f t="shared" si="62"/>
        <v>19.75</v>
      </c>
      <c r="D1000" s="3">
        <v>4166.82</v>
      </c>
      <c r="E1000" s="3">
        <f t="shared" si="63"/>
        <v>4166.82</v>
      </c>
      <c r="F1000" s="3">
        <f>MAX($E$2:E1000)</f>
        <v>4796.5600000000004</v>
      </c>
      <c r="G1000" s="3">
        <f t="shared" si="60"/>
        <v>-13.1289924445853</v>
      </c>
      <c r="I1000" s="2">
        <v>44829</v>
      </c>
      <c r="J1000" s="3">
        <f>IFERROR(VLOOKUP(I1000,$A$1:$G$1610,3,FALSE),J999)</f>
        <v>29.92</v>
      </c>
      <c r="K1000" s="3">
        <f>IFERROR(VLOOKUP(I1000,$A$1:$G$1610,7,FALSE),K999)</f>
        <v>-23.00252681088114</v>
      </c>
      <c r="L1000" s="5">
        <f t="shared" si="61"/>
        <v>1</v>
      </c>
    </row>
    <row r="1001" spans="1:12" x14ac:dyDescent="0.25">
      <c r="A1001" s="2">
        <v>45230</v>
      </c>
      <c r="B1001" s="3">
        <v>18.14</v>
      </c>
      <c r="C1001" s="3">
        <f t="shared" si="62"/>
        <v>18.14</v>
      </c>
      <c r="D1001" s="3">
        <v>4193.8</v>
      </c>
      <c r="E1001" s="3">
        <f t="shared" si="63"/>
        <v>4193.8</v>
      </c>
      <c r="F1001" s="3">
        <f>MAX($E$2:E1001)</f>
        <v>4796.5600000000004</v>
      </c>
      <c r="G1001" s="3">
        <f t="shared" si="60"/>
        <v>-12.566505995963778</v>
      </c>
      <c r="I1001" s="2">
        <v>44830</v>
      </c>
      <c r="J1001" s="3">
        <f>IFERROR(VLOOKUP(I1001,$A$1:$G$1610,3,FALSE),J1000)</f>
        <v>32.26</v>
      </c>
      <c r="K1001" s="3">
        <f>IFERROR(VLOOKUP(I1001,$A$1:$G$1610,7,FALSE),K1000)</f>
        <v>-23.798722417732716</v>
      </c>
      <c r="L1001" s="5">
        <f t="shared" si="61"/>
        <v>1</v>
      </c>
    </row>
    <row r="1002" spans="1:12" x14ac:dyDescent="0.25">
      <c r="A1002" s="2">
        <v>45231</v>
      </c>
      <c r="B1002" s="3">
        <v>16.87</v>
      </c>
      <c r="C1002" s="3">
        <f t="shared" si="62"/>
        <v>16.87</v>
      </c>
      <c r="D1002" s="3">
        <v>4237.8599999999997</v>
      </c>
      <c r="E1002" s="3">
        <f t="shared" si="63"/>
        <v>4237.8599999999997</v>
      </c>
      <c r="F1002" s="3">
        <f>MAX($E$2:E1002)</f>
        <v>4796.5600000000004</v>
      </c>
      <c r="G1002" s="3">
        <f t="shared" si="60"/>
        <v>-11.647931017229029</v>
      </c>
      <c r="I1002" s="2">
        <v>44831</v>
      </c>
      <c r="J1002" s="3">
        <f>IFERROR(VLOOKUP(I1002,$A$1:$G$1610,3,FALSE),J1001)</f>
        <v>32.6</v>
      </c>
      <c r="K1002" s="3">
        <f>IFERROR(VLOOKUP(I1002,$A$1:$G$1610,7,FALSE),K1001)</f>
        <v>-23.960296545857872</v>
      </c>
      <c r="L1002" s="5">
        <f t="shared" si="61"/>
        <v>1</v>
      </c>
    </row>
    <row r="1003" spans="1:12" x14ac:dyDescent="0.25">
      <c r="A1003" s="2">
        <v>45232</v>
      </c>
      <c r="B1003" s="3">
        <v>15.66</v>
      </c>
      <c r="C1003" s="3">
        <f t="shared" si="62"/>
        <v>15.66</v>
      </c>
      <c r="D1003" s="3">
        <v>4317.78</v>
      </c>
      <c r="E1003" s="3">
        <f t="shared" si="63"/>
        <v>4317.78</v>
      </c>
      <c r="F1003" s="3">
        <f>MAX($E$2:E1003)</f>
        <v>4796.5600000000004</v>
      </c>
      <c r="G1003" s="3">
        <f t="shared" si="60"/>
        <v>-9.9817369114532202</v>
      </c>
      <c r="I1003" s="2">
        <v>44832</v>
      </c>
      <c r="J1003" s="3">
        <f>IFERROR(VLOOKUP(I1003,$A$1:$G$1610,3,FALSE),J1002)</f>
        <v>30.18</v>
      </c>
      <c r="K1003" s="3">
        <f>IFERROR(VLOOKUP(I1003,$A$1:$G$1610,7,FALSE),K1002)</f>
        <v>-22.464432843537878</v>
      </c>
      <c r="L1003" s="5">
        <f t="shared" si="61"/>
        <v>1</v>
      </c>
    </row>
    <row r="1004" spans="1:12" x14ac:dyDescent="0.25">
      <c r="A1004" s="2">
        <v>45233</v>
      </c>
      <c r="B1004" s="3">
        <v>14.91</v>
      </c>
      <c r="C1004" s="3">
        <f t="shared" si="62"/>
        <v>14.91</v>
      </c>
      <c r="D1004" s="3">
        <v>4358.34</v>
      </c>
      <c r="E1004" s="3">
        <f t="shared" si="63"/>
        <v>4358.34</v>
      </c>
      <c r="F1004" s="3">
        <f>MAX($E$2:E1004)</f>
        <v>4796.5600000000004</v>
      </c>
      <c r="G1004" s="3">
        <f t="shared" si="60"/>
        <v>-9.1361308938072323</v>
      </c>
      <c r="I1004" s="2">
        <v>44833</v>
      </c>
      <c r="J1004" s="3">
        <f>IFERROR(VLOOKUP(I1004,$A$1:$G$1610,3,FALSE),J1003)</f>
        <v>31.84</v>
      </c>
      <c r="K1004" s="3">
        <f>IFERROR(VLOOKUP(I1004,$A$1:$G$1610,7,FALSE),K1003)</f>
        <v>-24.102481778608013</v>
      </c>
      <c r="L1004" s="5">
        <f t="shared" si="61"/>
        <v>1</v>
      </c>
    </row>
    <row r="1005" spans="1:12" x14ac:dyDescent="0.25">
      <c r="A1005" s="2">
        <v>45236</v>
      </c>
      <c r="B1005" s="3">
        <v>14.89</v>
      </c>
      <c r="C1005" s="3">
        <f t="shared" si="62"/>
        <v>14.89</v>
      </c>
      <c r="D1005" s="3">
        <v>4365.9799999999996</v>
      </c>
      <c r="E1005" s="3">
        <f t="shared" si="63"/>
        <v>4365.9799999999996</v>
      </c>
      <c r="F1005" s="3">
        <f>MAX($E$2:E1005)</f>
        <v>4796.5600000000004</v>
      </c>
      <c r="G1005" s="3">
        <f t="shared" si="60"/>
        <v>-8.9768500758877359</v>
      </c>
      <c r="I1005" s="2">
        <v>44834</v>
      </c>
      <c r="J1005" s="3">
        <f>IFERROR(VLOOKUP(I1005,$A$1:$G$1610,3,FALSE),J1004)</f>
        <v>31.62</v>
      </c>
      <c r="K1005" s="3">
        <f>IFERROR(VLOOKUP(I1005,$A$1:$G$1610,7,FALSE),K1004)</f>
        <v>-25.246009640242185</v>
      </c>
      <c r="L1005" s="5">
        <f t="shared" si="61"/>
        <v>1</v>
      </c>
    </row>
    <row r="1006" spans="1:12" x14ac:dyDescent="0.25">
      <c r="A1006" s="2">
        <v>45237</v>
      </c>
      <c r="B1006" s="3">
        <v>14.81</v>
      </c>
      <c r="C1006" s="3">
        <f t="shared" si="62"/>
        <v>14.81</v>
      </c>
      <c r="D1006" s="3">
        <v>4378.38</v>
      </c>
      <c r="E1006" s="3">
        <f t="shared" si="63"/>
        <v>4378.38</v>
      </c>
      <c r="F1006" s="3">
        <f>MAX($E$2:E1006)</f>
        <v>4796.5600000000004</v>
      </c>
      <c r="G1006" s="3">
        <f t="shared" si="60"/>
        <v>-8.718331470887474</v>
      </c>
      <c r="I1006" s="2">
        <v>44835</v>
      </c>
      <c r="J1006" s="3">
        <f>IFERROR(VLOOKUP(I1006,$A$1:$G$1610,3,FALSE),J1005)</f>
        <v>31.62</v>
      </c>
      <c r="K1006" s="3">
        <f>IFERROR(VLOOKUP(I1006,$A$1:$G$1610,7,FALSE),K1005)</f>
        <v>-25.246009640242185</v>
      </c>
      <c r="L1006" s="5">
        <f t="shared" si="61"/>
        <v>1</v>
      </c>
    </row>
    <row r="1007" spans="1:12" x14ac:dyDescent="0.25">
      <c r="A1007" s="2">
        <v>45238</v>
      </c>
      <c r="B1007" s="3">
        <v>14.45</v>
      </c>
      <c r="C1007" s="3">
        <f t="shared" si="62"/>
        <v>14.45</v>
      </c>
      <c r="D1007" s="3">
        <v>4382.78</v>
      </c>
      <c r="E1007" s="3">
        <f t="shared" si="63"/>
        <v>4382.78</v>
      </c>
      <c r="F1007" s="3">
        <f>MAX($E$2:E1007)</f>
        <v>4796.5600000000004</v>
      </c>
      <c r="G1007" s="3">
        <f t="shared" si="60"/>
        <v>-8.6265990626615867</v>
      </c>
      <c r="I1007" s="2">
        <v>44836</v>
      </c>
      <c r="J1007" s="3">
        <f>IFERROR(VLOOKUP(I1007,$A$1:$G$1610,3,FALSE),J1006)</f>
        <v>31.62</v>
      </c>
      <c r="K1007" s="3">
        <f>IFERROR(VLOOKUP(I1007,$A$1:$G$1610,7,FALSE),K1006)</f>
        <v>-25.246009640242185</v>
      </c>
      <c r="L1007" s="5">
        <f t="shared" si="61"/>
        <v>1</v>
      </c>
    </row>
    <row r="1008" spans="1:12" x14ac:dyDescent="0.25">
      <c r="A1008" s="2">
        <v>45239</v>
      </c>
      <c r="B1008" s="3">
        <v>15.29</v>
      </c>
      <c r="C1008" s="3">
        <f t="shared" si="62"/>
        <v>15.29</v>
      </c>
      <c r="D1008" s="3">
        <v>4347.3500000000004</v>
      </c>
      <c r="E1008" s="3">
        <f t="shared" si="63"/>
        <v>4347.3500000000004</v>
      </c>
      <c r="F1008" s="3">
        <f>MAX($E$2:E1008)</f>
        <v>4796.5600000000004</v>
      </c>
      <c r="G1008" s="3">
        <f t="shared" si="60"/>
        <v>-9.3652534316259981</v>
      </c>
      <c r="I1008" s="2">
        <v>44837</v>
      </c>
      <c r="J1008" s="3">
        <f>IFERROR(VLOOKUP(I1008,$A$1:$G$1610,3,FALSE),J1007)</f>
        <v>30.1</v>
      </c>
      <c r="K1008" s="3">
        <f>IFERROR(VLOOKUP(I1008,$A$1:$G$1610,7,FALSE),K1007)</f>
        <v>-23.311081274913697</v>
      </c>
      <c r="L1008" s="5">
        <f t="shared" si="61"/>
        <v>1</v>
      </c>
    </row>
    <row r="1009" spans="1:12" x14ac:dyDescent="0.25">
      <c r="A1009" s="2">
        <v>45240</v>
      </c>
      <c r="B1009" s="3">
        <v>14.17</v>
      </c>
      <c r="C1009" s="3">
        <f t="shared" si="62"/>
        <v>14.17</v>
      </c>
      <c r="D1009" s="3">
        <v>4415.24</v>
      </c>
      <c r="E1009" s="3">
        <f t="shared" si="63"/>
        <v>4415.24</v>
      </c>
      <c r="F1009" s="3">
        <f>MAX($E$2:E1009)</f>
        <v>4796.5600000000004</v>
      </c>
      <c r="G1009" s="3">
        <f t="shared" si="60"/>
        <v>-7.9498640692496414</v>
      </c>
      <c r="I1009" s="2">
        <v>44838</v>
      </c>
      <c r="J1009" s="3">
        <f>IFERROR(VLOOKUP(I1009,$A$1:$G$1610,3,FALSE),J1008)</f>
        <v>29.07</v>
      </c>
      <c r="K1009" s="3">
        <f>IFERROR(VLOOKUP(I1009,$A$1:$G$1610,7,FALSE),K1008)</f>
        <v>-20.965650382774331</v>
      </c>
      <c r="L1009" s="5">
        <f t="shared" si="61"/>
        <v>1</v>
      </c>
    </row>
    <row r="1010" spans="1:12" x14ac:dyDescent="0.25">
      <c r="A1010" s="2">
        <v>45243</v>
      </c>
      <c r="B1010" s="3">
        <v>14.76</v>
      </c>
      <c r="C1010" s="3">
        <f t="shared" si="62"/>
        <v>14.76</v>
      </c>
      <c r="D1010" s="3">
        <v>4411.55</v>
      </c>
      <c r="E1010" s="3">
        <f t="shared" si="63"/>
        <v>4411.55</v>
      </c>
      <c r="F1010" s="3">
        <f>MAX($E$2:E1010)</f>
        <v>4796.5600000000004</v>
      </c>
      <c r="G1010" s="3">
        <f t="shared" si="60"/>
        <v>-8.0267942025118035</v>
      </c>
      <c r="I1010" s="2">
        <v>44839</v>
      </c>
      <c r="J1010" s="3">
        <f>IFERROR(VLOOKUP(I1010,$A$1:$G$1610,3,FALSE),J1009)</f>
        <v>28.55</v>
      </c>
      <c r="K1010" s="3">
        <f>IFERROR(VLOOKUP(I1010,$A$1:$G$1610,7,FALSE),K1009)</f>
        <v>-21.125139683439802</v>
      </c>
      <c r="L1010" s="5">
        <f t="shared" si="61"/>
        <v>1</v>
      </c>
    </row>
    <row r="1011" spans="1:12" x14ac:dyDescent="0.25">
      <c r="A1011" s="2">
        <v>45244</v>
      </c>
      <c r="B1011" s="3">
        <v>14.16</v>
      </c>
      <c r="C1011" s="3">
        <f t="shared" si="62"/>
        <v>14.16</v>
      </c>
      <c r="D1011" s="3">
        <v>4495.7</v>
      </c>
      <c r="E1011" s="3">
        <f t="shared" si="63"/>
        <v>4495.7</v>
      </c>
      <c r="F1011" s="3">
        <f>MAX($E$2:E1011)</f>
        <v>4796.5600000000004</v>
      </c>
      <c r="G1011" s="3">
        <f t="shared" si="60"/>
        <v>-6.2724118951915653</v>
      </c>
      <c r="I1011" s="2">
        <v>44840</v>
      </c>
      <c r="J1011" s="3">
        <f>IFERROR(VLOOKUP(I1011,$A$1:$G$1610,3,FALSE),J1010)</f>
        <v>30.52</v>
      </c>
      <c r="K1011" s="3">
        <f>IFERROR(VLOOKUP(I1011,$A$1:$G$1610,7,FALSE),K1010)</f>
        <v>-21.933218806811556</v>
      </c>
      <c r="L1011" s="5">
        <f t="shared" si="61"/>
        <v>1</v>
      </c>
    </row>
    <row r="1012" spans="1:12" x14ac:dyDescent="0.25">
      <c r="A1012" s="2">
        <v>45245</v>
      </c>
      <c r="B1012" s="3">
        <v>14.18</v>
      </c>
      <c r="C1012" s="3">
        <f t="shared" si="62"/>
        <v>14.18</v>
      </c>
      <c r="D1012" s="3">
        <v>4502.88</v>
      </c>
      <c r="E1012" s="3">
        <f t="shared" si="63"/>
        <v>4502.88</v>
      </c>
      <c r="F1012" s="3">
        <f>MAX($E$2:E1012)</f>
        <v>4796.5600000000004</v>
      </c>
      <c r="G1012" s="3">
        <f t="shared" si="60"/>
        <v>-6.1227212835865759</v>
      </c>
      <c r="I1012" s="2">
        <v>44841</v>
      </c>
      <c r="J1012" s="3">
        <f>IFERROR(VLOOKUP(I1012,$A$1:$G$1610,3,FALSE),J1011)</f>
        <v>31.36</v>
      </c>
      <c r="K1012" s="3">
        <f>IFERROR(VLOOKUP(I1012,$A$1:$G$1610,7,FALSE),K1011)</f>
        <v>-24.119368881031413</v>
      </c>
      <c r="L1012" s="5">
        <f t="shared" si="61"/>
        <v>1</v>
      </c>
    </row>
    <row r="1013" spans="1:12" x14ac:dyDescent="0.25">
      <c r="A1013" s="2">
        <v>45246</v>
      </c>
      <c r="B1013" s="3">
        <v>14.32</v>
      </c>
      <c r="C1013" s="3">
        <f t="shared" si="62"/>
        <v>14.32</v>
      </c>
      <c r="D1013" s="3">
        <v>4508.24</v>
      </c>
      <c r="E1013" s="3">
        <f t="shared" si="63"/>
        <v>4508.24</v>
      </c>
      <c r="F1013" s="3">
        <f>MAX($E$2:E1013)</f>
        <v>4796.5600000000004</v>
      </c>
      <c r="G1013" s="3">
        <f t="shared" si="60"/>
        <v>-6.010974531747765</v>
      </c>
      <c r="I1013" s="2">
        <v>44842</v>
      </c>
      <c r="J1013" s="3">
        <f>IFERROR(VLOOKUP(I1013,$A$1:$G$1610,3,FALSE),J1012)</f>
        <v>31.36</v>
      </c>
      <c r="K1013" s="3">
        <f>IFERROR(VLOOKUP(I1013,$A$1:$G$1610,7,FALSE),K1012)</f>
        <v>-24.119368881031413</v>
      </c>
      <c r="L1013" s="5">
        <f t="shared" si="61"/>
        <v>1</v>
      </c>
    </row>
    <row r="1014" spans="1:12" x14ac:dyDescent="0.25">
      <c r="A1014" s="2">
        <v>45247</v>
      </c>
      <c r="B1014" s="3">
        <v>13.8</v>
      </c>
      <c r="C1014" s="3">
        <f t="shared" si="62"/>
        <v>13.8</v>
      </c>
      <c r="D1014" s="3">
        <v>4514.0200000000004</v>
      </c>
      <c r="E1014" s="3">
        <f t="shared" si="63"/>
        <v>4514.0200000000004</v>
      </c>
      <c r="F1014" s="3">
        <f>MAX($E$2:E1014)</f>
        <v>4796.5600000000004</v>
      </c>
      <c r="G1014" s="3">
        <f t="shared" si="60"/>
        <v>-5.8904715045782794</v>
      </c>
      <c r="I1014" s="2">
        <v>44843</v>
      </c>
      <c r="J1014" s="3">
        <f>IFERROR(VLOOKUP(I1014,$A$1:$G$1610,3,FALSE),J1013)</f>
        <v>31.36</v>
      </c>
      <c r="K1014" s="3">
        <f>IFERROR(VLOOKUP(I1014,$A$1:$G$1610,7,FALSE),K1013)</f>
        <v>-24.119368881031413</v>
      </c>
      <c r="L1014" s="5">
        <f t="shared" si="61"/>
        <v>1</v>
      </c>
    </row>
    <row r="1015" spans="1:12" x14ac:dyDescent="0.25">
      <c r="A1015" s="2">
        <v>45250</v>
      </c>
      <c r="B1015" s="3">
        <v>13.41</v>
      </c>
      <c r="C1015" s="3">
        <f t="shared" si="62"/>
        <v>13.41</v>
      </c>
      <c r="D1015" s="3">
        <v>4547.38</v>
      </c>
      <c r="E1015" s="3">
        <f t="shared" si="63"/>
        <v>4547.38</v>
      </c>
      <c r="F1015" s="3">
        <f>MAX($E$2:E1015)</f>
        <v>4796.5600000000004</v>
      </c>
      <c r="G1015" s="3">
        <f t="shared" si="60"/>
        <v>-5.1949730640292264</v>
      </c>
      <c r="I1015" s="2">
        <v>44844</v>
      </c>
      <c r="J1015" s="3">
        <f>IFERROR(VLOOKUP(I1015,$A$1:$G$1610,3,FALSE),J1014)</f>
        <v>32.450000000000003</v>
      </c>
      <c r="K1015" s="3">
        <f>IFERROR(VLOOKUP(I1015,$A$1:$G$1610,7,FALSE),K1014)</f>
        <v>-24.687901329285996</v>
      </c>
      <c r="L1015" s="5">
        <f t="shared" si="61"/>
        <v>1</v>
      </c>
    </row>
    <row r="1016" spans="1:12" x14ac:dyDescent="0.25">
      <c r="A1016" s="2">
        <v>45251</v>
      </c>
      <c r="B1016" s="3">
        <v>13.35</v>
      </c>
      <c r="C1016" s="3">
        <f t="shared" si="62"/>
        <v>13.35</v>
      </c>
      <c r="D1016" s="3">
        <v>4538.1899999999996</v>
      </c>
      <c r="E1016" s="3">
        <f t="shared" si="63"/>
        <v>4538.1899999999996</v>
      </c>
      <c r="F1016" s="3">
        <f>MAX($E$2:E1016)</f>
        <v>4796.5600000000004</v>
      </c>
      <c r="G1016" s="3">
        <f t="shared" si="60"/>
        <v>-5.3865687075737769</v>
      </c>
      <c r="I1016" s="2">
        <v>44845</v>
      </c>
      <c r="J1016" s="3">
        <f>IFERROR(VLOOKUP(I1016,$A$1:$G$1610,3,FALSE),J1015)</f>
        <v>33.630000000000003</v>
      </c>
      <c r="K1016" s="3">
        <f>IFERROR(VLOOKUP(I1016,$A$1:$G$1610,7,FALSE),K1015)</f>
        <v>-25.1788781960405</v>
      </c>
      <c r="L1016" s="5">
        <f t="shared" si="61"/>
        <v>1</v>
      </c>
    </row>
    <row r="1017" spans="1:12" x14ac:dyDescent="0.25">
      <c r="A1017" s="2">
        <v>45252</v>
      </c>
      <c r="B1017" s="3">
        <v>12.85</v>
      </c>
      <c r="C1017" s="3">
        <f t="shared" si="62"/>
        <v>12.85</v>
      </c>
      <c r="D1017" s="3">
        <v>4556.62</v>
      </c>
      <c r="E1017" s="3">
        <f t="shared" si="63"/>
        <v>4556.62</v>
      </c>
      <c r="F1017" s="3">
        <f>MAX($E$2:E1017)</f>
        <v>4796.5600000000004</v>
      </c>
      <c r="G1017" s="3">
        <f t="shared" si="60"/>
        <v>-5.0023350067548513</v>
      </c>
      <c r="I1017" s="2">
        <v>44846</v>
      </c>
      <c r="J1017" s="3">
        <f>IFERROR(VLOOKUP(I1017,$A$1:$G$1610,3,FALSE),J1016)</f>
        <v>33.57</v>
      </c>
      <c r="K1017" s="3">
        <f>IFERROR(VLOOKUP(I1017,$A$1:$G$1610,7,FALSE),K1016)</f>
        <v>-25.42509631902864</v>
      </c>
      <c r="L1017" s="5">
        <f t="shared" si="61"/>
        <v>1</v>
      </c>
    </row>
    <row r="1018" spans="1:12" x14ac:dyDescent="0.25">
      <c r="A1018" s="2">
        <v>45253</v>
      </c>
      <c r="B1018" s="3">
        <v>12.8</v>
      </c>
      <c r="C1018" s="3">
        <f t="shared" si="62"/>
        <v>12.8</v>
      </c>
      <c r="E1018" s="3">
        <f t="shared" si="63"/>
        <v>4556.62</v>
      </c>
      <c r="F1018" s="3">
        <f>MAX($E$2:E1018)</f>
        <v>4796.5600000000004</v>
      </c>
      <c r="G1018" s="3">
        <f t="shared" si="60"/>
        <v>-5.0023350067548513</v>
      </c>
      <c r="I1018" s="2">
        <v>44847</v>
      </c>
      <c r="J1018" s="3">
        <f>IFERROR(VLOOKUP(I1018,$A$1:$G$1610,3,FALSE),J1017)</f>
        <v>31.94</v>
      </c>
      <c r="K1018" s="3">
        <f>IFERROR(VLOOKUP(I1018,$A$1:$G$1610,7,FALSE),K1017)</f>
        <v>-23.488708574478387</v>
      </c>
      <c r="L1018" s="5">
        <f t="shared" si="61"/>
        <v>1</v>
      </c>
    </row>
    <row r="1019" spans="1:12" x14ac:dyDescent="0.25">
      <c r="A1019" s="2">
        <v>45254</v>
      </c>
      <c r="B1019" s="3">
        <v>12.46</v>
      </c>
      <c r="C1019" s="3">
        <f t="shared" si="62"/>
        <v>12.46</v>
      </c>
      <c r="D1019" s="3">
        <v>4559.34</v>
      </c>
      <c r="E1019" s="3">
        <f t="shared" si="63"/>
        <v>4559.34</v>
      </c>
      <c r="F1019" s="3">
        <f>MAX($E$2:E1019)</f>
        <v>4796.5600000000004</v>
      </c>
      <c r="G1019" s="3">
        <f t="shared" si="60"/>
        <v>-4.9456276998515651</v>
      </c>
      <c r="I1019" s="2">
        <v>44848</v>
      </c>
      <c r="J1019" s="3">
        <f>IFERROR(VLOOKUP(I1019,$A$1:$G$1610,3,FALSE),J1018)</f>
        <v>32.020000000000003</v>
      </c>
      <c r="K1019" s="3">
        <f>IFERROR(VLOOKUP(I1019,$A$1:$G$1610,7,FALSE),K1018)</f>
        <v>-25.299172740464005</v>
      </c>
      <c r="L1019" s="5">
        <f t="shared" si="61"/>
        <v>1</v>
      </c>
    </row>
    <row r="1020" spans="1:12" x14ac:dyDescent="0.25">
      <c r="A1020" s="2">
        <v>45257</v>
      </c>
      <c r="B1020" s="3">
        <v>12.69</v>
      </c>
      <c r="C1020" s="3">
        <f t="shared" si="62"/>
        <v>12.69</v>
      </c>
      <c r="D1020" s="3">
        <v>4550.43</v>
      </c>
      <c r="E1020" s="3">
        <f t="shared" si="63"/>
        <v>4550.43</v>
      </c>
      <c r="F1020" s="3">
        <f>MAX($E$2:E1020)</f>
        <v>4796.5600000000004</v>
      </c>
      <c r="G1020" s="3">
        <f t="shared" si="60"/>
        <v>-5.1313858265090007</v>
      </c>
      <c r="I1020" s="2">
        <v>44849</v>
      </c>
      <c r="J1020" s="3">
        <f>IFERROR(VLOOKUP(I1020,$A$1:$G$1610,3,FALSE),J1019)</f>
        <v>32.020000000000003</v>
      </c>
      <c r="K1020" s="3">
        <f>IFERROR(VLOOKUP(I1020,$A$1:$G$1610,7,FALSE),K1019)</f>
        <v>-25.299172740464005</v>
      </c>
      <c r="L1020" s="5">
        <f t="shared" si="61"/>
        <v>1</v>
      </c>
    </row>
    <row r="1021" spans="1:12" x14ac:dyDescent="0.25">
      <c r="A1021" s="2">
        <v>45258</v>
      </c>
      <c r="B1021" s="3">
        <v>12.69</v>
      </c>
      <c r="C1021" s="3">
        <f t="shared" si="62"/>
        <v>12.69</v>
      </c>
      <c r="D1021" s="3">
        <v>4554.8900000000003</v>
      </c>
      <c r="E1021" s="3">
        <f t="shared" si="63"/>
        <v>4554.8900000000003</v>
      </c>
      <c r="F1021" s="3">
        <f>MAX($E$2:E1021)</f>
        <v>4796.5600000000004</v>
      </c>
      <c r="G1021" s="3">
        <f t="shared" si="60"/>
        <v>-5.0384025218072965</v>
      </c>
      <c r="I1021" s="2">
        <v>44850</v>
      </c>
      <c r="J1021" s="3">
        <f>IFERROR(VLOOKUP(I1021,$A$1:$G$1610,3,FALSE),J1020)</f>
        <v>32.020000000000003</v>
      </c>
      <c r="K1021" s="3">
        <f>IFERROR(VLOOKUP(I1021,$A$1:$G$1610,7,FALSE),K1020)</f>
        <v>-25.299172740464005</v>
      </c>
      <c r="L1021" s="5">
        <f t="shared" si="61"/>
        <v>1</v>
      </c>
    </row>
    <row r="1022" spans="1:12" x14ac:dyDescent="0.25">
      <c r="A1022" s="2">
        <v>45259</v>
      </c>
      <c r="B1022" s="3">
        <v>12.98</v>
      </c>
      <c r="C1022" s="3">
        <f t="shared" si="62"/>
        <v>12.98</v>
      </c>
      <c r="D1022" s="3">
        <v>4550.58</v>
      </c>
      <c r="E1022" s="3">
        <f t="shared" si="63"/>
        <v>4550.58</v>
      </c>
      <c r="F1022" s="3">
        <f>MAX($E$2:E1022)</f>
        <v>4796.5600000000004</v>
      </c>
      <c r="G1022" s="3">
        <f t="shared" si="60"/>
        <v>-5.1282585853194878</v>
      </c>
      <c r="I1022" s="2">
        <v>44851</v>
      </c>
      <c r="J1022" s="3">
        <f>IFERROR(VLOOKUP(I1022,$A$1:$G$1610,3,FALSE),J1021)</f>
        <v>31.37</v>
      </c>
      <c r="K1022" s="3">
        <f>IFERROR(VLOOKUP(I1022,$A$1:$G$1610,7,FALSE),K1021)</f>
        <v>-23.321088446720157</v>
      </c>
      <c r="L1022" s="5">
        <f t="shared" si="61"/>
        <v>1</v>
      </c>
    </row>
    <row r="1023" spans="1:12" x14ac:dyDescent="0.25">
      <c r="A1023" s="2">
        <v>45260</v>
      </c>
      <c r="B1023" s="3">
        <v>12.92</v>
      </c>
      <c r="C1023" s="3">
        <f t="shared" si="62"/>
        <v>12.92</v>
      </c>
      <c r="D1023" s="3">
        <v>4567.8</v>
      </c>
      <c r="E1023" s="3">
        <f t="shared" si="63"/>
        <v>4567.8</v>
      </c>
      <c r="F1023" s="3">
        <f>MAX($E$2:E1023)</f>
        <v>4796.5600000000004</v>
      </c>
      <c r="G1023" s="3">
        <f t="shared" si="60"/>
        <v>-4.7692512967626843</v>
      </c>
      <c r="I1023" s="2">
        <v>44852</v>
      </c>
      <c r="J1023" s="3">
        <f>IFERROR(VLOOKUP(I1023,$A$1:$G$1610,3,FALSE),J1022)</f>
        <v>30.5</v>
      </c>
      <c r="K1023" s="3">
        <f>IFERROR(VLOOKUP(I1023,$A$1:$G$1610,7,FALSE),K1022)</f>
        <v>-22.444835465416887</v>
      </c>
      <c r="L1023" s="5">
        <f t="shared" si="61"/>
        <v>1</v>
      </c>
    </row>
    <row r="1024" spans="1:12" x14ac:dyDescent="0.25">
      <c r="A1024" s="2">
        <v>45261</v>
      </c>
      <c r="B1024" s="3">
        <v>12.63</v>
      </c>
      <c r="C1024" s="3">
        <f t="shared" si="62"/>
        <v>12.63</v>
      </c>
      <c r="D1024" s="3">
        <v>4594.63</v>
      </c>
      <c r="E1024" s="3">
        <f t="shared" si="63"/>
        <v>4594.63</v>
      </c>
      <c r="F1024" s="3">
        <f>MAX($E$2:E1024)</f>
        <v>4796.5600000000004</v>
      </c>
      <c r="G1024" s="3">
        <f t="shared" si="60"/>
        <v>-4.209892089330693</v>
      </c>
      <c r="I1024" s="2">
        <v>44853</v>
      </c>
      <c r="J1024" s="3">
        <f>IFERROR(VLOOKUP(I1024,$A$1:$G$1610,3,FALSE),J1023)</f>
        <v>30.76</v>
      </c>
      <c r="K1024" s="3">
        <f>IFERROR(VLOOKUP(I1024,$A$1:$G$1610,7,FALSE),K1023)</f>
        <v>-22.962289640909329</v>
      </c>
      <c r="L1024" s="5">
        <f t="shared" si="61"/>
        <v>1</v>
      </c>
    </row>
    <row r="1025" spans="1:12" x14ac:dyDescent="0.25">
      <c r="A1025" s="2">
        <v>45264</v>
      </c>
      <c r="B1025" s="3">
        <v>13.08</v>
      </c>
      <c r="C1025" s="3">
        <f t="shared" si="62"/>
        <v>13.08</v>
      </c>
      <c r="D1025" s="3">
        <v>4569.78</v>
      </c>
      <c r="E1025" s="3">
        <f t="shared" si="63"/>
        <v>4569.78</v>
      </c>
      <c r="F1025" s="3">
        <f>MAX($E$2:E1025)</f>
        <v>4796.5600000000004</v>
      </c>
      <c r="G1025" s="3">
        <f t="shared" si="60"/>
        <v>-4.7279717130610406</v>
      </c>
      <c r="I1025" s="2">
        <v>44854</v>
      </c>
      <c r="J1025" s="3">
        <f>IFERROR(VLOOKUP(I1025,$A$1:$G$1610,3,FALSE),J1024)</f>
        <v>29.98</v>
      </c>
      <c r="K1025" s="3">
        <f>IFERROR(VLOOKUP(I1025,$A$1:$G$1610,7,FALSE),K1024)</f>
        <v>-23.574811948563141</v>
      </c>
      <c r="L1025" s="5">
        <f t="shared" si="61"/>
        <v>1</v>
      </c>
    </row>
    <row r="1026" spans="1:12" x14ac:dyDescent="0.25">
      <c r="A1026" s="2">
        <v>45265</v>
      </c>
      <c r="B1026" s="3">
        <v>12.85</v>
      </c>
      <c r="C1026" s="3">
        <f t="shared" si="62"/>
        <v>12.85</v>
      </c>
      <c r="D1026" s="3">
        <v>4567.18</v>
      </c>
      <c r="E1026" s="3">
        <f t="shared" si="63"/>
        <v>4567.18</v>
      </c>
      <c r="F1026" s="3">
        <f>MAX($E$2:E1026)</f>
        <v>4796.5600000000004</v>
      </c>
      <c r="G1026" s="3">
        <f t="shared" ref="G1026:G1089" si="64">(E1026-F1026)/F1026*100</f>
        <v>-4.7821772270126939</v>
      </c>
      <c r="I1026" s="2">
        <v>44855</v>
      </c>
      <c r="J1026" s="3">
        <f>IFERROR(VLOOKUP(I1026,$A$1:$G$1610,3,FALSE),J1025)</f>
        <v>29.69</v>
      </c>
      <c r="K1026" s="3">
        <f>IFERROR(VLOOKUP(I1026,$A$1:$G$1610,7,FALSE),K1025)</f>
        <v>-21.761637506879939</v>
      </c>
      <c r="L1026" s="5">
        <f t="shared" ref="L1026:L1089" si="65">IF(OR(J1026&gt;=30,K1026&lt;-10),1,0)</f>
        <v>1</v>
      </c>
    </row>
    <row r="1027" spans="1:12" x14ac:dyDescent="0.25">
      <c r="A1027" s="2">
        <v>45266</v>
      </c>
      <c r="B1027" s="3">
        <v>12.97</v>
      </c>
      <c r="C1027" s="3">
        <f t="shared" ref="C1027:C1090" si="66">IF(B1027="",B1026,B1027)</f>
        <v>12.97</v>
      </c>
      <c r="D1027" s="3">
        <v>4549.34</v>
      </c>
      <c r="E1027" s="3">
        <f t="shared" si="63"/>
        <v>4549.34</v>
      </c>
      <c r="F1027" s="3">
        <f>MAX($E$2:E1027)</f>
        <v>4796.5600000000004</v>
      </c>
      <c r="G1027" s="3">
        <f t="shared" si="64"/>
        <v>-5.1541104458195086</v>
      </c>
      <c r="I1027" s="2">
        <v>44856</v>
      </c>
      <c r="J1027" s="3">
        <f>IFERROR(VLOOKUP(I1027,$A$1:$G$1610,3,FALSE),J1026)</f>
        <v>29.69</v>
      </c>
      <c r="K1027" s="3">
        <f>IFERROR(VLOOKUP(I1027,$A$1:$G$1610,7,FALSE),K1026)</f>
        <v>-21.761637506879939</v>
      </c>
      <c r="L1027" s="5">
        <f t="shared" si="65"/>
        <v>1</v>
      </c>
    </row>
    <row r="1028" spans="1:12" x14ac:dyDescent="0.25">
      <c r="A1028" s="2">
        <v>45267</v>
      </c>
      <c r="B1028" s="3">
        <v>13.06</v>
      </c>
      <c r="C1028" s="3">
        <f t="shared" si="66"/>
        <v>13.06</v>
      </c>
      <c r="D1028" s="3">
        <v>4585.59</v>
      </c>
      <c r="E1028" s="3">
        <f t="shared" si="63"/>
        <v>4585.59</v>
      </c>
      <c r="F1028" s="3">
        <f>MAX($E$2:E1028)</f>
        <v>4796.5600000000004</v>
      </c>
      <c r="G1028" s="3">
        <f t="shared" si="64"/>
        <v>-4.3983604916857129</v>
      </c>
      <c r="I1028" s="2">
        <v>44857</v>
      </c>
      <c r="J1028" s="3">
        <f>IFERROR(VLOOKUP(I1028,$A$1:$G$1610,3,FALSE),J1027)</f>
        <v>29.69</v>
      </c>
      <c r="K1028" s="3">
        <f>IFERROR(VLOOKUP(I1028,$A$1:$G$1610,7,FALSE),K1027)</f>
        <v>-21.761637506879939</v>
      </c>
      <c r="L1028" s="5">
        <f t="shared" si="65"/>
        <v>1</v>
      </c>
    </row>
    <row r="1029" spans="1:12" x14ac:dyDescent="0.25">
      <c r="A1029" s="2">
        <v>45268</v>
      </c>
      <c r="B1029" s="3">
        <v>12.35</v>
      </c>
      <c r="C1029" s="3">
        <f t="shared" si="66"/>
        <v>12.35</v>
      </c>
      <c r="D1029" s="3">
        <v>4604.37</v>
      </c>
      <c r="E1029" s="3">
        <f t="shared" ref="E1029:E1092" si="67">IF(D1029="",D1028,D1029)</f>
        <v>4604.37</v>
      </c>
      <c r="F1029" s="3">
        <f>MAX($E$2:E1029)</f>
        <v>4796.5600000000004</v>
      </c>
      <c r="G1029" s="3">
        <f t="shared" si="64"/>
        <v>-4.00682989475792</v>
      </c>
      <c r="I1029" s="2">
        <v>44858</v>
      </c>
      <c r="J1029" s="3">
        <f>IFERROR(VLOOKUP(I1029,$A$1:$G$1610,3,FALSE),J1028)</f>
        <v>29.85</v>
      </c>
      <c r="K1029" s="3">
        <f>IFERROR(VLOOKUP(I1029,$A$1:$G$1610,7,FALSE),K1028)</f>
        <v>-20.832012942608873</v>
      </c>
      <c r="L1029" s="5">
        <f t="shared" si="65"/>
        <v>1</v>
      </c>
    </row>
    <row r="1030" spans="1:12" x14ac:dyDescent="0.25">
      <c r="A1030" s="2">
        <v>45271</v>
      </c>
      <c r="B1030" s="3">
        <v>12.63</v>
      </c>
      <c r="C1030" s="3">
        <f t="shared" si="66"/>
        <v>12.63</v>
      </c>
      <c r="D1030" s="3">
        <v>4622.4399999999996</v>
      </c>
      <c r="E1030" s="3">
        <f t="shared" si="67"/>
        <v>4622.4399999999996</v>
      </c>
      <c r="F1030" s="3">
        <f>MAX($E$2:E1030)</f>
        <v>4796.5600000000004</v>
      </c>
      <c r="G1030" s="3">
        <f t="shared" si="64"/>
        <v>-3.6301015727938521</v>
      </c>
      <c r="I1030" s="2">
        <v>44859</v>
      </c>
      <c r="J1030" s="3">
        <f>IFERROR(VLOOKUP(I1030,$A$1:$G$1610,3,FALSE),J1029)</f>
        <v>28.46</v>
      </c>
      <c r="K1030" s="3">
        <f>IFERROR(VLOOKUP(I1030,$A$1:$G$1610,7,FALSE),K1029)</f>
        <v>-19.544215020764884</v>
      </c>
      <c r="L1030" s="5">
        <f t="shared" si="65"/>
        <v>1</v>
      </c>
    </row>
    <row r="1031" spans="1:12" x14ac:dyDescent="0.25">
      <c r="A1031" s="2">
        <v>45272</v>
      </c>
      <c r="B1031" s="3">
        <v>12.07</v>
      </c>
      <c r="C1031" s="3">
        <f t="shared" si="66"/>
        <v>12.07</v>
      </c>
      <c r="D1031" s="3">
        <v>4643.7</v>
      </c>
      <c r="E1031" s="3">
        <f t="shared" si="67"/>
        <v>4643.7</v>
      </c>
      <c r="F1031" s="3">
        <f>MAX($E$2:E1031)</f>
        <v>4796.5600000000004</v>
      </c>
      <c r="G1031" s="3">
        <f t="shared" si="64"/>
        <v>-3.1868672548659993</v>
      </c>
      <c r="I1031" s="2">
        <v>44860</v>
      </c>
      <c r="J1031" s="3">
        <f>IFERROR(VLOOKUP(I1031,$A$1:$G$1610,3,FALSE),J1030)</f>
        <v>27.28</v>
      </c>
      <c r="K1031" s="3">
        <f>IFERROR(VLOOKUP(I1031,$A$1:$G$1610,7,FALSE),K1030)</f>
        <v>-20.138599329519497</v>
      </c>
      <c r="L1031" s="5">
        <f t="shared" si="65"/>
        <v>1</v>
      </c>
    </row>
    <row r="1032" spans="1:12" x14ac:dyDescent="0.25">
      <c r="A1032" s="2">
        <v>45273</v>
      </c>
      <c r="B1032" s="3">
        <v>12.19</v>
      </c>
      <c r="C1032" s="3">
        <f t="shared" si="66"/>
        <v>12.19</v>
      </c>
      <c r="D1032" s="3">
        <v>4707.09</v>
      </c>
      <c r="E1032" s="3">
        <f t="shared" si="67"/>
        <v>4707.09</v>
      </c>
      <c r="F1032" s="3">
        <f>MAX($E$2:E1032)</f>
        <v>4796.5600000000004</v>
      </c>
      <c r="G1032" s="3">
        <f t="shared" si="64"/>
        <v>-1.8652951281751973</v>
      </c>
      <c r="I1032" s="2">
        <v>44861</v>
      </c>
      <c r="J1032" s="3">
        <f>IFERROR(VLOOKUP(I1032,$A$1:$G$1610,3,FALSE),J1031)</f>
        <v>27.39</v>
      </c>
      <c r="K1032" s="3">
        <f>IFERROR(VLOOKUP(I1032,$A$1:$G$1610,7,FALSE),K1031)</f>
        <v>-20.624364127624801</v>
      </c>
      <c r="L1032" s="5">
        <f t="shared" si="65"/>
        <v>1</v>
      </c>
    </row>
    <row r="1033" spans="1:12" x14ac:dyDescent="0.25">
      <c r="A1033" s="2">
        <v>45274</v>
      </c>
      <c r="B1033" s="3">
        <v>12.48</v>
      </c>
      <c r="C1033" s="3">
        <f t="shared" si="66"/>
        <v>12.48</v>
      </c>
      <c r="D1033" s="3">
        <v>4719.55</v>
      </c>
      <c r="E1033" s="3">
        <f t="shared" si="67"/>
        <v>4719.55</v>
      </c>
      <c r="F1033" s="3">
        <f>MAX($E$2:E1033)</f>
        <v>4796.5600000000004</v>
      </c>
      <c r="G1033" s="3">
        <f t="shared" si="64"/>
        <v>-1.6055256266991387</v>
      </c>
      <c r="I1033" s="2">
        <v>44862</v>
      </c>
      <c r="J1033" s="3">
        <f>IFERROR(VLOOKUP(I1033,$A$1:$G$1610,3,FALSE),J1032)</f>
        <v>25.75</v>
      </c>
      <c r="K1033" s="3">
        <f>IFERROR(VLOOKUP(I1033,$A$1:$G$1610,7,FALSE),K1032)</f>
        <v>-18.669629901429367</v>
      </c>
      <c r="L1033" s="5">
        <f t="shared" si="65"/>
        <v>1</v>
      </c>
    </row>
    <row r="1034" spans="1:12" x14ac:dyDescent="0.25">
      <c r="A1034" s="2">
        <v>45275</v>
      </c>
      <c r="B1034" s="3">
        <v>12.28</v>
      </c>
      <c r="C1034" s="3">
        <f t="shared" si="66"/>
        <v>12.28</v>
      </c>
      <c r="D1034" s="3">
        <v>4719.1899999999996</v>
      </c>
      <c r="E1034" s="3">
        <f t="shared" si="67"/>
        <v>4719.1899999999996</v>
      </c>
      <c r="F1034" s="3">
        <f>MAX($E$2:E1034)</f>
        <v>4796.5600000000004</v>
      </c>
      <c r="G1034" s="3">
        <f t="shared" si="64"/>
        <v>-1.6130310055539971</v>
      </c>
      <c r="I1034" s="2">
        <v>44863</v>
      </c>
      <c r="J1034" s="3">
        <f>IFERROR(VLOOKUP(I1034,$A$1:$G$1610,3,FALSE),J1033)</f>
        <v>25.75</v>
      </c>
      <c r="K1034" s="3">
        <f>IFERROR(VLOOKUP(I1034,$A$1:$G$1610,7,FALSE),K1033)</f>
        <v>-18.669629901429367</v>
      </c>
      <c r="L1034" s="5">
        <f t="shared" si="65"/>
        <v>1</v>
      </c>
    </row>
    <row r="1035" spans="1:12" x14ac:dyDescent="0.25">
      <c r="A1035" s="2">
        <v>45278</v>
      </c>
      <c r="B1035" s="3">
        <v>12.56</v>
      </c>
      <c r="C1035" s="3">
        <f t="shared" si="66"/>
        <v>12.56</v>
      </c>
      <c r="D1035" s="3">
        <v>4740.5600000000004</v>
      </c>
      <c r="E1035" s="3">
        <f t="shared" si="67"/>
        <v>4740.5600000000004</v>
      </c>
      <c r="F1035" s="3">
        <f>MAX($E$2:E1035)</f>
        <v>4796.5600000000004</v>
      </c>
      <c r="G1035" s="3">
        <f t="shared" si="64"/>
        <v>-1.1675033774204846</v>
      </c>
      <c r="I1035" s="2">
        <v>44864</v>
      </c>
      <c r="J1035" s="3">
        <f>IFERROR(VLOOKUP(I1035,$A$1:$G$1610,3,FALSE),J1034)</f>
        <v>25.75</v>
      </c>
      <c r="K1035" s="3">
        <f>IFERROR(VLOOKUP(I1035,$A$1:$G$1610,7,FALSE),K1034)</f>
        <v>-18.669629901429367</v>
      </c>
      <c r="L1035" s="5">
        <f t="shared" si="65"/>
        <v>1</v>
      </c>
    </row>
    <row r="1036" spans="1:12" x14ac:dyDescent="0.25">
      <c r="A1036" s="2">
        <v>45279</v>
      </c>
      <c r="B1036" s="3">
        <v>12.53</v>
      </c>
      <c r="C1036" s="3">
        <f t="shared" si="66"/>
        <v>12.53</v>
      </c>
      <c r="D1036" s="3">
        <v>4768.37</v>
      </c>
      <c r="E1036" s="3">
        <f t="shared" si="67"/>
        <v>4768.37</v>
      </c>
      <c r="F1036" s="3">
        <f>MAX($E$2:E1036)</f>
        <v>4796.5600000000004</v>
      </c>
      <c r="G1036" s="3">
        <f t="shared" si="64"/>
        <v>-0.58771286088364383</v>
      </c>
      <c r="I1036" s="2">
        <v>44865</v>
      </c>
      <c r="J1036" s="3">
        <f>IFERROR(VLOOKUP(I1036,$A$1:$G$1610,3,FALSE),J1035)</f>
        <v>25.88</v>
      </c>
      <c r="K1036" s="3">
        <f>IFERROR(VLOOKUP(I1036,$A$1:$G$1610,7,FALSE),K1035)</f>
        <v>-19.275897726704144</v>
      </c>
      <c r="L1036" s="5">
        <f t="shared" si="65"/>
        <v>1</v>
      </c>
    </row>
    <row r="1037" spans="1:12" x14ac:dyDescent="0.25">
      <c r="A1037" s="2">
        <v>45280</v>
      </c>
      <c r="B1037" s="3">
        <v>13.67</v>
      </c>
      <c r="C1037" s="3">
        <f t="shared" si="66"/>
        <v>13.67</v>
      </c>
      <c r="D1037" s="3">
        <v>4698.3500000000004</v>
      </c>
      <c r="E1037" s="3">
        <f t="shared" si="67"/>
        <v>4698.3500000000004</v>
      </c>
      <c r="F1037" s="3">
        <f>MAX($E$2:E1037)</f>
        <v>4796.5600000000004</v>
      </c>
      <c r="G1037" s="3">
        <f t="shared" si="64"/>
        <v>-2.0475090481511757</v>
      </c>
      <c r="I1037" s="2">
        <v>44866</v>
      </c>
      <c r="J1037" s="3">
        <f>IFERROR(VLOOKUP(I1037,$A$1:$G$1610,3,FALSE),J1036)</f>
        <v>25.81</v>
      </c>
      <c r="K1037" s="3">
        <f>IFERROR(VLOOKUP(I1037,$A$1:$G$1610,7,FALSE),K1036)</f>
        <v>-19.606968327301242</v>
      </c>
      <c r="L1037" s="5">
        <f t="shared" si="65"/>
        <v>1</v>
      </c>
    </row>
    <row r="1038" spans="1:12" x14ac:dyDescent="0.25">
      <c r="A1038" s="2">
        <v>45281</v>
      </c>
      <c r="B1038" s="3">
        <v>13.65</v>
      </c>
      <c r="C1038" s="3">
        <f t="shared" si="66"/>
        <v>13.65</v>
      </c>
      <c r="D1038" s="3">
        <v>4746.75</v>
      </c>
      <c r="E1038" s="3">
        <f t="shared" si="67"/>
        <v>4746.75</v>
      </c>
      <c r="F1038" s="3">
        <f>MAX($E$2:E1038)</f>
        <v>4796.5600000000004</v>
      </c>
      <c r="G1038" s="3">
        <f t="shared" si="64"/>
        <v>-1.0384525576663357</v>
      </c>
      <c r="I1038" s="2">
        <v>44867</v>
      </c>
      <c r="J1038" s="3">
        <f>IFERROR(VLOOKUP(I1038,$A$1:$G$1610,3,FALSE),J1037)</f>
        <v>25.86</v>
      </c>
      <c r="K1038" s="3">
        <f>IFERROR(VLOOKUP(I1038,$A$1:$G$1610,7,FALSE),K1037)</f>
        <v>-21.616950481178183</v>
      </c>
      <c r="L1038" s="5">
        <f t="shared" si="65"/>
        <v>1</v>
      </c>
    </row>
    <row r="1039" spans="1:12" x14ac:dyDescent="0.25">
      <c r="A1039" s="2">
        <v>45282</v>
      </c>
      <c r="B1039" s="3">
        <v>13.03</v>
      </c>
      <c r="C1039" s="3">
        <f t="shared" si="66"/>
        <v>13.03</v>
      </c>
      <c r="D1039" s="3">
        <v>4754.63</v>
      </c>
      <c r="E1039" s="3">
        <f t="shared" si="67"/>
        <v>4754.63</v>
      </c>
      <c r="F1039" s="3">
        <f>MAX($E$2:E1039)</f>
        <v>4796.5600000000004</v>
      </c>
      <c r="G1039" s="3">
        <f t="shared" si="64"/>
        <v>-0.87416815384359392</v>
      </c>
      <c r="I1039" s="2">
        <v>44868</v>
      </c>
      <c r="J1039" s="3">
        <f>IFERROR(VLOOKUP(I1039,$A$1:$G$1610,3,FALSE),J1038)</f>
        <v>25.3</v>
      </c>
      <c r="K1039" s="3">
        <f>IFERROR(VLOOKUP(I1039,$A$1:$G$1610,7,FALSE),K1038)</f>
        <v>-22.446711810130605</v>
      </c>
      <c r="L1039" s="5">
        <f t="shared" si="65"/>
        <v>1</v>
      </c>
    </row>
    <row r="1040" spans="1:12" x14ac:dyDescent="0.25">
      <c r="A1040" s="2">
        <v>45285</v>
      </c>
      <c r="C1040" s="3">
        <f t="shared" si="66"/>
        <v>13.03</v>
      </c>
      <c r="E1040" s="3">
        <f t="shared" si="67"/>
        <v>4754.63</v>
      </c>
      <c r="F1040" s="3">
        <f>MAX($E$2:E1040)</f>
        <v>4796.5600000000004</v>
      </c>
      <c r="G1040" s="3">
        <f t="shared" si="64"/>
        <v>-0.87416815384359392</v>
      </c>
      <c r="I1040" s="2">
        <v>44869</v>
      </c>
      <c r="J1040" s="3">
        <f>IFERROR(VLOOKUP(I1040,$A$1:$G$1610,3,FALSE),J1039)</f>
        <v>24.55</v>
      </c>
      <c r="K1040" s="3">
        <f>IFERROR(VLOOKUP(I1040,$A$1:$G$1610,7,FALSE),K1039)</f>
        <v>-21.390538219056992</v>
      </c>
      <c r="L1040" s="5">
        <f t="shared" si="65"/>
        <v>1</v>
      </c>
    </row>
    <row r="1041" spans="1:12" x14ac:dyDescent="0.25">
      <c r="A1041" s="2">
        <v>45286</v>
      </c>
      <c r="B1041" s="3">
        <v>12.99</v>
      </c>
      <c r="C1041" s="3">
        <f t="shared" si="66"/>
        <v>12.99</v>
      </c>
      <c r="D1041" s="3">
        <v>4774.75</v>
      </c>
      <c r="E1041" s="3">
        <f t="shared" si="67"/>
        <v>4774.75</v>
      </c>
      <c r="F1041" s="3">
        <f>MAX($E$2:E1041)</f>
        <v>4796.5600000000004</v>
      </c>
      <c r="G1041" s="3">
        <f t="shared" si="64"/>
        <v>-0.45470086895609352</v>
      </c>
      <c r="I1041" s="2">
        <v>44870</v>
      </c>
      <c r="J1041" s="3">
        <f>IFERROR(VLOOKUP(I1041,$A$1:$G$1610,3,FALSE),J1040)</f>
        <v>24.55</v>
      </c>
      <c r="K1041" s="3">
        <f>IFERROR(VLOOKUP(I1041,$A$1:$G$1610,7,FALSE),K1040)</f>
        <v>-21.390538219056992</v>
      </c>
      <c r="L1041" s="5">
        <f t="shared" si="65"/>
        <v>1</v>
      </c>
    </row>
    <row r="1042" spans="1:12" x14ac:dyDescent="0.25">
      <c r="A1042" s="2">
        <v>45287</v>
      </c>
      <c r="B1042" s="3">
        <v>12.43</v>
      </c>
      <c r="C1042" s="3">
        <f t="shared" si="66"/>
        <v>12.43</v>
      </c>
      <c r="D1042" s="3">
        <v>4781.58</v>
      </c>
      <c r="E1042" s="3">
        <f t="shared" si="67"/>
        <v>4781.58</v>
      </c>
      <c r="F1042" s="3">
        <f>MAX($E$2:E1042)</f>
        <v>4796.5600000000004</v>
      </c>
      <c r="G1042" s="3">
        <f t="shared" si="64"/>
        <v>-0.31230715345998949</v>
      </c>
      <c r="I1042" s="2">
        <v>44871</v>
      </c>
      <c r="J1042" s="3">
        <f>IFERROR(VLOOKUP(I1042,$A$1:$G$1610,3,FALSE),J1041)</f>
        <v>24.55</v>
      </c>
      <c r="K1042" s="3">
        <f>IFERROR(VLOOKUP(I1042,$A$1:$G$1610,7,FALSE),K1041)</f>
        <v>-21.390538219056992</v>
      </c>
      <c r="L1042" s="5">
        <f t="shared" si="65"/>
        <v>1</v>
      </c>
    </row>
    <row r="1043" spans="1:12" x14ac:dyDescent="0.25">
      <c r="A1043" s="2">
        <v>45288</v>
      </c>
      <c r="B1043" s="3">
        <v>12.47</v>
      </c>
      <c r="C1043" s="3">
        <f t="shared" si="66"/>
        <v>12.47</v>
      </c>
      <c r="D1043" s="3">
        <v>4783.3500000000004</v>
      </c>
      <c r="E1043" s="3">
        <f t="shared" si="67"/>
        <v>4783.3500000000004</v>
      </c>
      <c r="F1043" s="3">
        <f>MAX($E$2:E1043)</f>
        <v>4796.5600000000004</v>
      </c>
      <c r="G1043" s="3">
        <f t="shared" si="64"/>
        <v>-0.27540570742365433</v>
      </c>
      <c r="I1043" s="2">
        <v>44872</v>
      </c>
      <c r="J1043" s="3">
        <f>IFERROR(VLOOKUP(I1043,$A$1:$G$1610,3,FALSE),J1042)</f>
        <v>24.35</v>
      </c>
      <c r="K1043" s="3">
        <f>IFERROR(VLOOKUP(I1043,$A$1:$G$1610,7,FALSE),K1042)</f>
        <v>-20.634788264923198</v>
      </c>
      <c r="L1043" s="5">
        <f t="shared" si="65"/>
        <v>1</v>
      </c>
    </row>
    <row r="1044" spans="1:12" x14ac:dyDescent="0.25">
      <c r="A1044" s="2">
        <v>45289</v>
      </c>
      <c r="B1044" s="3">
        <v>12.45</v>
      </c>
      <c r="C1044" s="3">
        <f t="shared" si="66"/>
        <v>12.45</v>
      </c>
      <c r="D1044" s="3">
        <v>4769.83</v>
      </c>
      <c r="E1044" s="3">
        <f t="shared" si="67"/>
        <v>4769.83</v>
      </c>
      <c r="F1044" s="3">
        <f>MAX($E$2:E1044)</f>
        <v>4796.5600000000004</v>
      </c>
      <c r="G1044" s="3">
        <f t="shared" si="64"/>
        <v>-0.55727437997232332</v>
      </c>
      <c r="I1044" s="2">
        <v>44873</v>
      </c>
      <c r="J1044" s="3">
        <f>IFERROR(VLOOKUP(I1044,$A$1:$G$1610,3,FALSE),J1043)</f>
        <v>25.54</v>
      </c>
      <c r="K1044" s="3">
        <f>IFERROR(VLOOKUP(I1044,$A$1:$G$1610,7,FALSE),K1043)</f>
        <v>-20.190511533265511</v>
      </c>
      <c r="L1044" s="5">
        <f t="shared" si="65"/>
        <v>1</v>
      </c>
    </row>
    <row r="1045" spans="1:12" x14ac:dyDescent="0.25">
      <c r="A1045" s="2">
        <v>45292</v>
      </c>
      <c r="C1045" s="3">
        <f t="shared" si="66"/>
        <v>12.45</v>
      </c>
      <c r="E1045" s="3">
        <f t="shared" si="67"/>
        <v>4769.83</v>
      </c>
      <c r="F1045" s="3">
        <f>MAX($E$2:E1045)</f>
        <v>4796.5600000000004</v>
      </c>
      <c r="G1045" s="3">
        <f t="shared" si="64"/>
        <v>-0.55727437997232332</v>
      </c>
      <c r="I1045" s="2">
        <v>44874</v>
      </c>
      <c r="J1045" s="3">
        <f>IFERROR(VLOOKUP(I1045,$A$1:$G$1610,3,FALSE),J1044)</f>
        <v>26.09</v>
      </c>
      <c r="K1045" s="3">
        <f>IFERROR(VLOOKUP(I1045,$A$1:$G$1610,7,FALSE),K1044)</f>
        <v>-21.848783294694535</v>
      </c>
      <c r="L1045" s="5">
        <f t="shared" si="65"/>
        <v>1</v>
      </c>
    </row>
    <row r="1046" spans="1:12" x14ac:dyDescent="0.25">
      <c r="A1046" s="2">
        <v>45293</v>
      </c>
      <c r="B1046" s="3">
        <v>13.2</v>
      </c>
      <c r="C1046" s="3">
        <f t="shared" si="66"/>
        <v>13.2</v>
      </c>
      <c r="D1046" s="3">
        <v>4742.83</v>
      </c>
      <c r="E1046" s="3">
        <f t="shared" si="67"/>
        <v>4742.83</v>
      </c>
      <c r="F1046" s="3">
        <f>MAX($E$2:E1046)</f>
        <v>4796.5600000000004</v>
      </c>
      <c r="G1046" s="3">
        <f t="shared" si="64"/>
        <v>-1.1201777940857713</v>
      </c>
      <c r="I1046" s="2">
        <v>44875</v>
      </c>
      <c r="J1046" s="3">
        <f>IFERROR(VLOOKUP(I1046,$A$1:$G$1610,3,FALSE),J1045)</f>
        <v>23.53</v>
      </c>
      <c r="K1046" s="3">
        <f>IFERROR(VLOOKUP(I1046,$A$1:$G$1610,7,FALSE),K1045)</f>
        <v>-17.516511833480671</v>
      </c>
      <c r="L1046" s="5">
        <f t="shared" si="65"/>
        <v>1</v>
      </c>
    </row>
    <row r="1047" spans="1:12" x14ac:dyDescent="0.25">
      <c r="A1047" s="2">
        <v>45294</v>
      </c>
      <c r="B1047" s="3">
        <v>14.04</v>
      </c>
      <c r="C1047" s="3">
        <f t="shared" si="66"/>
        <v>14.04</v>
      </c>
      <c r="D1047" s="3">
        <v>4704.8100000000004</v>
      </c>
      <c r="E1047" s="3">
        <f t="shared" si="67"/>
        <v>4704.8100000000004</v>
      </c>
      <c r="F1047" s="3">
        <f>MAX($E$2:E1047)</f>
        <v>4796.5600000000004</v>
      </c>
      <c r="G1047" s="3">
        <f t="shared" si="64"/>
        <v>-1.9128291942558833</v>
      </c>
      <c r="I1047" s="2">
        <v>44876</v>
      </c>
      <c r="J1047" s="3">
        <f>IFERROR(VLOOKUP(I1047,$A$1:$G$1610,3,FALSE),J1046)</f>
        <v>22.52</v>
      </c>
      <c r="K1047" s="3">
        <f>IFERROR(VLOOKUP(I1047,$A$1:$G$1610,7,FALSE),K1046)</f>
        <v>-16.75429891422187</v>
      </c>
      <c r="L1047" s="5">
        <f t="shared" si="65"/>
        <v>1</v>
      </c>
    </row>
    <row r="1048" spans="1:12" x14ac:dyDescent="0.25">
      <c r="A1048" s="2">
        <v>45295</v>
      </c>
      <c r="B1048" s="3">
        <v>14.13</v>
      </c>
      <c r="C1048" s="3">
        <f t="shared" si="66"/>
        <v>14.13</v>
      </c>
      <c r="D1048" s="3">
        <v>4688.68</v>
      </c>
      <c r="E1048" s="3">
        <f t="shared" si="67"/>
        <v>4688.68</v>
      </c>
      <c r="F1048" s="3">
        <f>MAX($E$2:E1048)</f>
        <v>4796.5600000000004</v>
      </c>
      <c r="G1048" s="3">
        <f t="shared" si="64"/>
        <v>-2.2491118635021787</v>
      </c>
      <c r="I1048" s="2">
        <v>44877</v>
      </c>
      <c r="J1048" s="3">
        <f>IFERROR(VLOOKUP(I1048,$A$1:$G$1610,3,FALSE),J1047)</f>
        <v>22.52</v>
      </c>
      <c r="K1048" s="3">
        <f>IFERROR(VLOOKUP(I1048,$A$1:$G$1610,7,FALSE),K1047)</f>
        <v>-16.75429891422187</v>
      </c>
      <c r="L1048" s="5">
        <f t="shared" si="65"/>
        <v>1</v>
      </c>
    </row>
    <row r="1049" spans="1:12" x14ac:dyDescent="0.25">
      <c r="A1049" s="2">
        <v>45296</v>
      </c>
      <c r="B1049" s="3">
        <v>13.35</v>
      </c>
      <c r="C1049" s="3">
        <f t="shared" si="66"/>
        <v>13.35</v>
      </c>
      <c r="D1049" s="3">
        <v>4697.24</v>
      </c>
      <c r="E1049" s="3">
        <f t="shared" si="67"/>
        <v>4697.24</v>
      </c>
      <c r="F1049" s="3">
        <f>MAX($E$2:E1049)</f>
        <v>4796.5600000000004</v>
      </c>
      <c r="G1049" s="3">
        <f t="shared" si="64"/>
        <v>-2.0706506329536292</v>
      </c>
      <c r="I1049" s="2">
        <v>44878</v>
      </c>
      <c r="J1049" s="3">
        <f>IFERROR(VLOOKUP(I1049,$A$1:$G$1610,3,FALSE),J1048)</f>
        <v>22.52</v>
      </c>
      <c r="K1049" s="3">
        <f>IFERROR(VLOOKUP(I1049,$A$1:$G$1610,7,FALSE),K1048)</f>
        <v>-16.75429891422187</v>
      </c>
      <c r="L1049" s="5">
        <f t="shared" si="65"/>
        <v>1</v>
      </c>
    </row>
    <row r="1050" spans="1:12" x14ac:dyDescent="0.25">
      <c r="A1050" s="2">
        <v>45299</v>
      </c>
      <c r="B1050" s="3">
        <v>13.08</v>
      </c>
      <c r="C1050" s="3">
        <f t="shared" si="66"/>
        <v>13.08</v>
      </c>
      <c r="D1050" s="3">
        <v>4763.54</v>
      </c>
      <c r="E1050" s="3">
        <f t="shared" si="67"/>
        <v>4763.54</v>
      </c>
      <c r="F1050" s="3">
        <f>MAX($E$2:E1050)</f>
        <v>4796.5600000000004</v>
      </c>
      <c r="G1050" s="3">
        <f t="shared" si="64"/>
        <v>-0.68841002718615907</v>
      </c>
      <c r="I1050" s="2">
        <v>44879</v>
      </c>
      <c r="J1050" s="3">
        <f>IFERROR(VLOOKUP(I1050,$A$1:$G$1610,3,FALSE),J1049)</f>
        <v>23.73</v>
      </c>
      <c r="K1050" s="3">
        <f>IFERROR(VLOOKUP(I1050,$A$1:$G$1610,7,FALSE),K1049)</f>
        <v>-17.498165351835489</v>
      </c>
      <c r="L1050" s="5">
        <f t="shared" si="65"/>
        <v>1</v>
      </c>
    </row>
    <row r="1051" spans="1:12" x14ac:dyDescent="0.25">
      <c r="A1051" s="2">
        <v>45300</v>
      </c>
      <c r="B1051" s="3">
        <v>12.76</v>
      </c>
      <c r="C1051" s="3">
        <f t="shared" si="66"/>
        <v>12.76</v>
      </c>
      <c r="D1051" s="3">
        <v>4756.5</v>
      </c>
      <c r="E1051" s="3">
        <f t="shared" si="67"/>
        <v>4756.5</v>
      </c>
      <c r="F1051" s="3">
        <f>MAX($E$2:E1051)</f>
        <v>4796.5600000000004</v>
      </c>
      <c r="G1051" s="3">
        <f t="shared" si="64"/>
        <v>-0.83518188034759078</v>
      </c>
      <c r="I1051" s="2">
        <v>44880</v>
      </c>
      <c r="J1051" s="3">
        <f>IFERROR(VLOOKUP(I1051,$A$1:$G$1610,3,FALSE),J1050)</f>
        <v>24.54</v>
      </c>
      <c r="K1051" s="3">
        <f>IFERROR(VLOOKUP(I1051,$A$1:$G$1610,7,FALSE),K1050)</f>
        <v>-16.77931684373802</v>
      </c>
      <c r="L1051" s="5">
        <f t="shared" si="65"/>
        <v>1</v>
      </c>
    </row>
    <row r="1052" spans="1:12" x14ac:dyDescent="0.25">
      <c r="A1052" s="2">
        <v>45301</v>
      </c>
      <c r="B1052" s="3">
        <v>12.69</v>
      </c>
      <c r="C1052" s="3">
        <f t="shared" si="66"/>
        <v>12.69</v>
      </c>
      <c r="D1052" s="3">
        <v>4783.45</v>
      </c>
      <c r="E1052" s="3">
        <f t="shared" si="67"/>
        <v>4783.45</v>
      </c>
      <c r="F1052" s="3">
        <f>MAX($E$2:E1052)</f>
        <v>4796.5600000000004</v>
      </c>
      <c r="G1052" s="3">
        <f t="shared" si="64"/>
        <v>-0.2733208799639863</v>
      </c>
      <c r="I1052" s="2">
        <v>44881</v>
      </c>
      <c r="J1052" s="3">
        <f>IFERROR(VLOOKUP(I1052,$A$1:$G$1610,3,FALSE),J1051)</f>
        <v>24.11</v>
      </c>
      <c r="K1052" s="3">
        <f>IFERROR(VLOOKUP(I1052,$A$1:$G$1610,7,FALSE),K1051)</f>
        <v>-17.466059008956428</v>
      </c>
      <c r="L1052" s="5">
        <f t="shared" si="65"/>
        <v>1</v>
      </c>
    </row>
    <row r="1053" spans="1:12" x14ac:dyDescent="0.25">
      <c r="A1053" s="2">
        <v>45302</v>
      </c>
      <c r="B1053" s="3">
        <v>12.44</v>
      </c>
      <c r="C1053" s="3">
        <f t="shared" si="66"/>
        <v>12.44</v>
      </c>
      <c r="D1053" s="3">
        <v>4780.24</v>
      </c>
      <c r="E1053" s="3">
        <f t="shared" si="67"/>
        <v>4780.24</v>
      </c>
      <c r="F1053" s="3">
        <f>MAX($E$2:E1053)</f>
        <v>4796.5600000000004</v>
      </c>
      <c r="G1053" s="3">
        <f t="shared" si="64"/>
        <v>-0.34024384141969694</v>
      </c>
      <c r="I1053" s="2">
        <v>44882</v>
      </c>
      <c r="J1053" s="3">
        <f>IFERROR(VLOOKUP(I1053,$A$1:$G$1610,3,FALSE),J1052)</f>
        <v>23.93</v>
      </c>
      <c r="K1053" s="3">
        <f>IFERROR(VLOOKUP(I1053,$A$1:$G$1610,7,FALSE),K1052)</f>
        <v>-17.721033407275222</v>
      </c>
      <c r="L1053" s="5">
        <f t="shared" si="65"/>
        <v>1</v>
      </c>
    </row>
    <row r="1054" spans="1:12" x14ac:dyDescent="0.25">
      <c r="A1054" s="2">
        <v>45303</v>
      </c>
      <c r="B1054" s="3">
        <v>12.7</v>
      </c>
      <c r="C1054" s="3">
        <f t="shared" si="66"/>
        <v>12.7</v>
      </c>
      <c r="D1054" s="3">
        <v>4783.83</v>
      </c>
      <c r="E1054" s="3">
        <f t="shared" si="67"/>
        <v>4783.83</v>
      </c>
      <c r="F1054" s="3">
        <f>MAX($E$2:E1054)</f>
        <v>4796.5600000000004</v>
      </c>
      <c r="G1054" s="3">
        <f t="shared" si="64"/>
        <v>-0.26539853561720217</v>
      </c>
      <c r="I1054" s="2">
        <v>44883</v>
      </c>
      <c r="J1054" s="3">
        <f>IFERROR(VLOOKUP(I1054,$A$1:$G$1610,3,FALSE),J1053)</f>
        <v>23.12</v>
      </c>
      <c r="K1054" s="3">
        <f>IFERROR(VLOOKUP(I1054,$A$1:$G$1610,7,FALSE),K1053)</f>
        <v>-17.329502810347421</v>
      </c>
      <c r="L1054" s="5">
        <f t="shared" si="65"/>
        <v>1</v>
      </c>
    </row>
    <row r="1055" spans="1:12" x14ac:dyDescent="0.25">
      <c r="A1055" s="2">
        <v>45306</v>
      </c>
      <c r="B1055" s="3">
        <v>13.25</v>
      </c>
      <c r="C1055" s="3">
        <f t="shared" si="66"/>
        <v>13.25</v>
      </c>
      <c r="E1055" s="3">
        <f t="shared" si="67"/>
        <v>4783.83</v>
      </c>
      <c r="F1055" s="3">
        <f>MAX($E$2:E1055)</f>
        <v>4796.5600000000004</v>
      </c>
      <c r="G1055" s="3">
        <f t="shared" si="64"/>
        <v>-0.26539853561720217</v>
      </c>
      <c r="I1055" s="2">
        <v>44884</v>
      </c>
      <c r="J1055" s="3">
        <f>IFERROR(VLOOKUP(I1055,$A$1:$G$1610,3,FALSE),J1054)</f>
        <v>23.12</v>
      </c>
      <c r="K1055" s="3">
        <f>IFERROR(VLOOKUP(I1055,$A$1:$G$1610,7,FALSE),K1054)</f>
        <v>-17.329502810347421</v>
      </c>
      <c r="L1055" s="5">
        <f t="shared" si="65"/>
        <v>1</v>
      </c>
    </row>
    <row r="1056" spans="1:12" x14ac:dyDescent="0.25">
      <c r="A1056" s="2">
        <v>45307</v>
      </c>
      <c r="B1056" s="3">
        <v>13.84</v>
      </c>
      <c r="C1056" s="3">
        <f t="shared" si="66"/>
        <v>13.84</v>
      </c>
      <c r="D1056" s="3">
        <v>4765.9799999999996</v>
      </c>
      <c r="E1056" s="3">
        <f t="shared" si="67"/>
        <v>4765.9799999999996</v>
      </c>
      <c r="F1056" s="3">
        <f>MAX($E$2:E1056)</f>
        <v>4796.5600000000004</v>
      </c>
      <c r="G1056" s="3">
        <f t="shared" si="64"/>
        <v>-0.6375402371699892</v>
      </c>
      <c r="I1056" s="2">
        <v>44885</v>
      </c>
      <c r="J1056" s="3">
        <f>IFERROR(VLOOKUP(I1056,$A$1:$G$1610,3,FALSE),J1055)</f>
        <v>23.12</v>
      </c>
      <c r="K1056" s="3">
        <f>IFERROR(VLOOKUP(I1056,$A$1:$G$1610,7,FALSE),K1055)</f>
        <v>-17.329502810347421</v>
      </c>
      <c r="L1056" s="5">
        <f t="shared" si="65"/>
        <v>1</v>
      </c>
    </row>
    <row r="1057" spans="1:12" x14ac:dyDescent="0.25">
      <c r="A1057" s="2">
        <v>45308</v>
      </c>
      <c r="B1057" s="3">
        <v>14.79</v>
      </c>
      <c r="C1057" s="3">
        <f t="shared" si="66"/>
        <v>14.79</v>
      </c>
      <c r="D1057" s="3">
        <v>4739.21</v>
      </c>
      <c r="E1057" s="3">
        <f t="shared" si="67"/>
        <v>4739.21</v>
      </c>
      <c r="F1057" s="3">
        <f>MAX($E$2:E1057)</f>
        <v>4796.5600000000004</v>
      </c>
      <c r="G1057" s="3">
        <f t="shared" si="64"/>
        <v>-1.1956485481261647</v>
      </c>
      <c r="I1057" s="2">
        <v>44886</v>
      </c>
      <c r="J1057" s="3">
        <f>IFERROR(VLOOKUP(I1057,$A$1:$G$1610,3,FALSE),J1056)</f>
        <v>22.36</v>
      </c>
      <c r="K1057" s="3">
        <f>IFERROR(VLOOKUP(I1057,$A$1:$G$1610,7,FALSE),K1056)</f>
        <v>-17.650566239138055</v>
      </c>
      <c r="L1057" s="5">
        <f t="shared" si="65"/>
        <v>1</v>
      </c>
    </row>
    <row r="1058" spans="1:12" x14ac:dyDescent="0.25">
      <c r="A1058" s="2">
        <v>45309</v>
      </c>
      <c r="B1058" s="3">
        <v>14.13</v>
      </c>
      <c r="C1058" s="3">
        <f t="shared" si="66"/>
        <v>14.13</v>
      </c>
      <c r="D1058" s="3">
        <v>4780.9399999999996</v>
      </c>
      <c r="E1058" s="3">
        <f t="shared" si="67"/>
        <v>4780.9399999999996</v>
      </c>
      <c r="F1058" s="3">
        <f>MAX($E$2:E1058)</f>
        <v>4796.5600000000004</v>
      </c>
      <c r="G1058" s="3">
        <f t="shared" si="64"/>
        <v>-0.32565004920194474</v>
      </c>
      <c r="I1058" s="2">
        <v>44887</v>
      </c>
      <c r="J1058" s="3">
        <f>IFERROR(VLOOKUP(I1058,$A$1:$G$1610,3,FALSE),J1057)</f>
        <v>21.29</v>
      </c>
      <c r="K1058" s="3">
        <f>IFERROR(VLOOKUP(I1058,$A$1:$G$1610,7,FALSE),K1057)</f>
        <v>-16.532264789766007</v>
      </c>
      <c r="L1058" s="5">
        <f t="shared" si="65"/>
        <v>1</v>
      </c>
    </row>
    <row r="1059" spans="1:12" x14ac:dyDescent="0.25">
      <c r="A1059" s="2">
        <v>45310</v>
      </c>
      <c r="B1059" s="3">
        <v>13.3</v>
      </c>
      <c r="C1059" s="3">
        <f t="shared" si="66"/>
        <v>13.3</v>
      </c>
      <c r="D1059" s="3">
        <v>4839.8100000000004</v>
      </c>
      <c r="E1059" s="3">
        <f t="shared" si="67"/>
        <v>4839.8100000000004</v>
      </c>
      <c r="F1059" s="3">
        <f>MAX($E$2:E1059)</f>
        <v>4839.8100000000004</v>
      </c>
      <c r="G1059" s="3">
        <f t="shared" si="64"/>
        <v>0</v>
      </c>
      <c r="I1059" s="2">
        <v>44888</v>
      </c>
      <c r="J1059" s="3">
        <f>IFERROR(VLOOKUP(I1059,$A$1:$G$1610,3,FALSE),J1058)</f>
        <v>20.350000000000001</v>
      </c>
      <c r="K1059" s="3">
        <f>IFERROR(VLOOKUP(I1059,$A$1:$G$1610,7,FALSE),K1058)</f>
        <v>-16.038577647313911</v>
      </c>
      <c r="L1059" s="5">
        <f t="shared" si="65"/>
        <v>1</v>
      </c>
    </row>
    <row r="1060" spans="1:12" x14ac:dyDescent="0.25">
      <c r="A1060" s="2">
        <v>45313</v>
      </c>
      <c r="B1060" s="3">
        <v>13.19</v>
      </c>
      <c r="C1060" s="3">
        <f t="shared" si="66"/>
        <v>13.19</v>
      </c>
      <c r="D1060" s="3">
        <v>4850.43</v>
      </c>
      <c r="E1060" s="3">
        <f t="shared" si="67"/>
        <v>4850.43</v>
      </c>
      <c r="F1060" s="3">
        <f>MAX($E$2:E1060)</f>
        <v>4850.43</v>
      </c>
      <c r="G1060" s="3">
        <f t="shared" si="64"/>
        <v>0</v>
      </c>
      <c r="I1060" s="2">
        <v>44889</v>
      </c>
      <c r="J1060" s="3">
        <f>IFERROR(VLOOKUP(I1060,$A$1:$G$1610,3,FALSE),J1059)</f>
        <v>20.420000000000002</v>
      </c>
      <c r="K1060" s="3">
        <f>IFERROR(VLOOKUP(I1060,$A$1:$G$1610,7,FALSE),K1059)</f>
        <v>-16.038577647313911</v>
      </c>
      <c r="L1060" s="5">
        <f t="shared" si="65"/>
        <v>1</v>
      </c>
    </row>
    <row r="1061" spans="1:12" x14ac:dyDescent="0.25">
      <c r="A1061" s="2">
        <v>45314</v>
      </c>
      <c r="B1061" s="3">
        <v>12.55</v>
      </c>
      <c r="C1061" s="3">
        <f t="shared" si="66"/>
        <v>12.55</v>
      </c>
      <c r="D1061" s="3">
        <v>4864.6000000000004</v>
      </c>
      <c r="E1061" s="3">
        <f t="shared" si="67"/>
        <v>4864.6000000000004</v>
      </c>
      <c r="F1061" s="3">
        <f>MAX($E$2:E1061)</f>
        <v>4864.6000000000004</v>
      </c>
      <c r="G1061" s="3">
        <f t="shared" si="64"/>
        <v>0</v>
      </c>
      <c r="I1061" s="2">
        <v>44890</v>
      </c>
      <c r="J1061" s="3">
        <f>IFERROR(VLOOKUP(I1061,$A$1:$G$1610,3,FALSE),J1060)</f>
        <v>20.5</v>
      </c>
      <c r="K1061" s="3">
        <f>IFERROR(VLOOKUP(I1061,$A$1:$G$1610,7,FALSE),K1060)</f>
        <v>-16.062344680354261</v>
      </c>
      <c r="L1061" s="5">
        <f t="shared" si="65"/>
        <v>1</v>
      </c>
    </row>
    <row r="1062" spans="1:12" x14ac:dyDescent="0.25">
      <c r="A1062" s="2">
        <v>45315</v>
      </c>
      <c r="B1062" s="3">
        <v>13.14</v>
      </c>
      <c r="C1062" s="3">
        <f t="shared" si="66"/>
        <v>13.14</v>
      </c>
      <c r="D1062" s="3">
        <v>4868.55</v>
      </c>
      <c r="E1062" s="3">
        <f t="shared" si="67"/>
        <v>4868.55</v>
      </c>
      <c r="F1062" s="3">
        <f>MAX($E$2:E1062)</f>
        <v>4868.55</v>
      </c>
      <c r="G1062" s="3">
        <f t="shared" si="64"/>
        <v>0</v>
      </c>
      <c r="I1062" s="2">
        <v>44891</v>
      </c>
      <c r="J1062" s="3">
        <f>IFERROR(VLOOKUP(I1062,$A$1:$G$1610,3,FALSE),J1061)</f>
        <v>20.5</v>
      </c>
      <c r="K1062" s="3">
        <f>IFERROR(VLOOKUP(I1062,$A$1:$G$1610,7,FALSE),K1061)</f>
        <v>-16.062344680354261</v>
      </c>
      <c r="L1062" s="5">
        <f t="shared" si="65"/>
        <v>1</v>
      </c>
    </row>
    <row r="1063" spans="1:12" x14ac:dyDescent="0.25">
      <c r="A1063" s="2">
        <v>45316</v>
      </c>
      <c r="B1063" s="3">
        <v>13.45</v>
      </c>
      <c r="C1063" s="3">
        <f t="shared" si="66"/>
        <v>13.45</v>
      </c>
      <c r="D1063" s="3">
        <v>4894.16</v>
      </c>
      <c r="E1063" s="3">
        <f t="shared" si="67"/>
        <v>4894.16</v>
      </c>
      <c r="F1063" s="3">
        <f>MAX($E$2:E1063)</f>
        <v>4894.16</v>
      </c>
      <c r="G1063" s="3">
        <f t="shared" si="64"/>
        <v>0</v>
      </c>
      <c r="I1063" s="2">
        <v>44892</v>
      </c>
      <c r="J1063" s="3">
        <f>IFERROR(VLOOKUP(I1063,$A$1:$G$1610,3,FALSE),J1062)</f>
        <v>20.5</v>
      </c>
      <c r="K1063" s="3">
        <f>IFERROR(VLOOKUP(I1063,$A$1:$G$1610,7,FALSE),K1062)</f>
        <v>-16.062344680354261</v>
      </c>
      <c r="L1063" s="5">
        <f t="shared" si="65"/>
        <v>1</v>
      </c>
    </row>
    <row r="1064" spans="1:12" x14ac:dyDescent="0.25">
      <c r="A1064" s="2">
        <v>45317</v>
      </c>
      <c r="B1064" s="3">
        <v>13.26</v>
      </c>
      <c r="C1064" s="3">
        <f t="shared" si="66"/>
        <v>13.26</v>
      </c>
      <c r="D1064" s="3">
        <v>4890.97</v>
      </c>
      <c r="E1064" s="3">
        <f t="shared" si="67"/>
        <v>4890.97</v>
      </c>
      <c r="F1064" s="3">
        <f>MAX($E$2:E1064)</f>
        <v>4894.16</v>
      </c>
      <c r="G1064" s="3">
        <f t="shared" si="64"/>
        <v>-6.5179724406222925E-2</v>
      </c>
      <c r="I1064" s="2">
        <v>44893</v>
      </c>
      <c r="J1064" s="3">
        <f>IFERROR(VLOOKUP(I1064,$A$1:$G$1610,3,FALSE),J1063)</f>
        <v>22.21</v>
      </c>
      <c r="K1064" s="3">
        <f>IFERROR(VLOOKUP(I1064,$A$1:$G$1610,7,FALSE),K1063)</f>
        <v>-17.358690394782933</v>
      </c>
      <c r="L1064" s="5">
        <f t="shared" si="65"/>
        <v>1</v>
      </c>
    </row>
    <row r="1065" spans="1:12" x14ac:dyDescent="0.25">
      <c r="A1065" s="2">
        <v>45320</v>
      </c>
      <c r="B1065" s="3">
        <v>13.6</v>
      </c>
      <c r="C1065" s="3">
        <f t="shared" si="66"/>
        <v>13.6</v>
      </c>
      <c r="D1065" s="3">
        <v>4927.93</v>
      </c>
      <c r="E1065" s="3">
        <f t="shared" si="67"/>
        <v>4927.93</v>
      </c>
      <c r="F1065" s="3">
        <f>MAX($E$2:E1065)</f>
        <v>4927.93</v>
      </c>
      <c r="G1065" s="3">
        <f t="shared" si="64"/>
        <v>0</v>
      </c>
      <c r="I1065" s="2">
        <v>44894</v>
      </c>
      <c r="J1065" s="3">
        <f>IFERROR(VLOOKUP(I1065,$A$1:$G$1610,3,FALSE),J1064)</f>
        <v>21.89</v>
      </c>
      <c r="K1065" s="3">
        <f>IFERROR(VLOOKUP(I1065,$A$1:$G$1610,7,FALSE),K1064)</f>
        <v>-17.490243007488704</v>
      </c>
      <c r="L1065" s="5">
        <f t="shared" si="65"/>
        <v>1</v>
      </c>
    </row>
    <row r="1066" spans="1:12" x14ac:dyDescent="0.25">
      <c r="A1066" s="2">
        <v>45321</v>
      </c>
      <c r="B1066" s="3">
        <v>13.31</v>
      </c>
      <c r="C1066" s="3">
        <f t="shared" si="66"/>
        <v>13.31</v>
      </c>
      <c r="D1066" s="3">
        <v>4924.97</v>
      </c>
      <c r="E1066" s="3">
        <f t="shared" si="67"/>
        <v>4924.97</v>
      </c>
      <c r="F1066" s="3">
        <f>MAX($E$2:E1066)</f>
        <v>4927.93</v>
      </c>
      <c r="G1066" s="3">
        <f t="shared" si="64"/>
        <v>-6.0065788272155578E-2</v>
      </c>
      <c r="I1066" s="2">
        <v>44895</v>
      </c>
      <c r="J1066" s="3">
        <f>IFERROR(VLOOKUP(I1066,$A$1:$G$1610,3,FALSE),J1065)</f>
        <v>20.58</v>
      </c>
      <c r="K1066" s="3">
        <f>IFERROR(VLOOKUP(I1066,$A$1:$G$1610,7,FALSE),K1065)</f>
        <v>-14.93674633487333</v>
      </c>
      <c r="L1066" s="5">
        <f t="shared" si="65"/>
        <v>1</v>
      </c>
    </row>
    <row r="1067" spans="1:12" x14ac:dyDescent="0.25">
      <c r="A1067" s="2">
        <v>45322</v>
      </c>
      <c r="B1067" s="3">
        <v>14.35</v>
      </c>
      <c r="C1067" s="3">
        <f t="shared" si="66"/>
        <v>14.35</v>
      </c>
      <c r="D1067" s="3">
        <v>4845.6499999999996</v>
      </c>
      <c r="E1067" s="3">
        <f t="shared" si="67"/>
        <v>4845.6499999999996</v>
      </c>
      <c r="F1067" s="3">
        <f>MAX($E$2:E1067)</f>
        <v>4927.93</v>
      </c>
      <c r="G1067" s="3">
        <f t="shared" si="64"/>
        <v>-1.6696665739976146</v>
      </c>
      <c r="I1067" s="2">
        <v>44896</v>
      </c>
      <c r="J1067" s="3">
        <f>IFERROR(VLOOKUP(I1067,$A$1:$G$1610,3,FALSE),J1066)</f>
        <v>19.84</v>
      </c>
      <c r="K1067" s="3">
        <f>IFERROR(VLOOKUP(I1067,$A$1:$G$1610,7,FALSE),K1066)</f>
        <v>-15.010549226945983</v>
      </c>
      <c r="L1067" s="5">
        <f t="shared" si="65"/>
        <v>1</v>
      </c>
    </row>
    <row r="1068" spans="1:12" x14ac:dyDescent="0.25">
      <c r="A1068" s="2">
        <v>45323</v>
      </c>
      <c r="B1068" s="3">
        <v>13.88</v>
      </c>
      <c r="C1068" s="3">
        <f t="shared" si="66"/>
        <v>13.88</v>
      </c>
      <c r="D1068" s="3">
        <v>4906.1899999999996</v>
      </c>
      <c r="E1068" s="3">
        <f t="shared" si="67"/>
        <v>4906.1899999999996</v>
      </c>
      <c r="F1068" s="3">
        <f>MAX($E$2:E1068)</f>
        <v>4927.93</v>
      </c>
      <c r="G1068" s="3">
        <f t="shared" si="64"/>
        <v>-0.44115886386374581</v>
      </c>
      <c r="I1068" s="2">
        <v>44897</v>
      </c>
      <c r="J1068" s="3">
        <f>IFERROR(VLOOKUP(I1068,$A$1:$G$1610,3,FALSE),J1067)</f>
        <v>19.059999999999999</v>
      </c>
      <c r="K1068" s="3">
        <f>IFERROR(VLOOKUP(I1068,$A$1:$G$1610,7,FALSE),K1067)</f>
        <v>-15.112080324232377</v>
      </c>
      <c r="L1068" s="5">
        <f t="shared" si="65"/>
        <v>1</v>
      </c>
    </row>
    <row r="1069" spans="1:12" x14ac:dyDescent="0.25">
      <c r="A1069" s="2">
        <v>45324</v>
      </c>
      <c r="B1069" s="3">
        <v>13.85</v>
      </c>
      <c r="C1069" s="3">
        <f t="shared" si="66"/>
        <v>13.85</v>
      </c>
      <c r="D1069" s="3">
        <v>4958.6099999999997</v>
      </c>
      <c r="E1069" s="3">
        <f t="shared" si="67"/>
        <v>4958.6099999999997</v>
      </c>
      <c r="F1069" s="3">
        <f>MAX($E$2:E1069)</f>
        <v>4958.6099999999997</v>
      </c>
      <c r="G1069" s="3">
        <f t="shared" si="64"/>
        <v>0</v>
      </c>
      <c r="I1069" s="2">
        <v>44898</v>
      </c>
      <c r="J1069" s="3">
        <f>IFERROR(VLOOKUP(I1069,$A$1:$G$1610,3,FALSE),J1068)</f>
        <v>19.059999999999999</v>
      </c>
      <c r="K1069" s="3">
        <f>IFERROR(VLOOKUP(I1069,$A$1:$G$1610,7,FALSE),K1068)</f>
        <v>-15.112080324232377</v>
      </c>
      <c r="L1069" s="5">
        <f t="shared" si="65"/>
        <v>1</v>
      </c>
    </row>
    <row r="1070" spans="1:12" x14ac:dyDescent="0.25">
      <c r="A1070" s="2">
        <v>45327</v>
      </c>
      <c r="B1070" s="3">
        <v>13.67</v>
      </c>
      <c r="C1070" s="3">
        <f t="shared" si="66"/>
        <v>13.67</v>
      </c>
      <c r="D1070" s="3">
        <v>4942.8100000000004</v>
      </c>
      <c r="E1070" s="3">
        <f t="shared" si="67"/>
        <v>4942.8100000000004</v>
      </c>
      <c r="F1070" s="3">
        <f>MAX($E$2:E1070)</f>
        <v>4958.6099999999997</v>
      </c>
      <c r="G1070" s="3">
        <f t="shared" si="64"/>
        <v>-0.31863768273768805</v>
      </c>
      <c r="I1070" s="2">
        <v>44899</v>
      </c>
      <c r="J1070" s="3">
        <f>IFERROR(VLOOKUP(I1070,$A$1:$G$1610,3,FALSE),J1069)</f>
        <v>19.059999999999999</v>
      </c>
      <c r="K1070" s="3">
        <f>IFERROR(VLOOKUP(I1070,$A$1:$G$1610,7,FALSE),K1069)</f>
        <v>-15.112080324232377</v>
      </c>
      <c r="L1070" s="5">
        <f t="shared" si="65"/>
        <v>1</v>
      </c>
    </row>
    <row r="1071" spans="1:12" x14ac:dyDescent="0.25">
      <c r="A1071" s="2">
        <v>45328</v>
      </c>
      <c r="B1071" s="3">
        <v>13.06</v>
      </c>
      <c r="C1071" s="3">
        <f t="shared" si="66"/>
        <v>13.06</v>
      </c>
      <c r="D1071" s="3">
        <v>4954.2299999999996</v>
      </c>
      <c r="E1071" s="3">
        <f t="shared" si="67"/>
        <v>4954.2299999999996</v>
      </c>
      <c r="F1071" s="3">
        <f>MAX($E$2:E1071)</f>
        <v>4958.6099999999997</v>
      </c>
      <c r="G1071" s="3">
        <f t="shared" si="64"/>
        <v>-8.8331205720960301E-2</v>
      </c>
      <c r="I1071" s="2">
        <v>44900</v>
      </c>
      <c r="J1071" s="3">
        <f>IFERROR(VLOOKUP(I1071,$A$1:$G$1610,3,FALSE),J1070)</f>
        <v>20.75</v>
      </c>
      <c r="K1071" s="3">
        <f>IFERROR(VLOOKUP(I1071,$A$1:$G$1610,7,FALSE),K1070)</f>
        <v>-16.631085611354809</v>
      </c>
      <c r="L1071" s="5">
        <f t="shared" si="65"/>
        <v>1</v>
      </c>
    </row>
    <row r="1072" spans="1:12" x14ac:dyDescent="0.25">
      <c r="A1072" s="2">
        <v>45329</v>
      </c>
      <c r="B1072" s="3">
        <v>12.83</v>
      </c>
      <c r="C1072" s="3">
        <f t="shared" si="66"/>
        <v>12.83</v>
      </c>
      <c r="D1072" s="3">
        <v>4995.0600000000004</v>
      </c>
      <c r="E1072" s="3">
        <f t="shared" si="67"/>
        <v>4995.0600000000004</v>
      </c>
      <c r="F1072" s="3">
        <f>MAX($E$2:E1072)</f>
        <v>4995.0600000000004</v>
      </c>
      <c r="G1072" s="3">
        <f t="shared" si="64"/>
        <v>0</v>
      </c>
      <c r="I1072" s="2">
        <v>44901</v>
      </c>
      <c r="J1072" s="3">
        <f>IFERROR(VLOOKUP(I1072,$A$1:$G$1610,3,FALSE),J1071)</f>
        <v>22.17</v>
      </c>
      <c r="K1072" s="3">
        <f>IFERROR(VLOOKUP(I1072,$A$1:$G$1610,7,FALSE),K1071)</f>
        <v>-17.831529262638227</v>
      </c>
      <c r="L1072" s="5">
        <f t="shared" si="65"/>
        <v>1</v>
      </c>
    </row>
    <row r="1073" spans="1:12" x14ac:dyDescent="0.25">
      <c r="A1073" s="2">
        <v>45330</v>
      </c>
      <c r="B1073" s="3">
        <v>12.79</v>
      </c>
      <c r="C1073" s="3">
        <f t="shared" si="66"/>
        <v>12.79</v>
      </c>
      <c r="D1073" s="3">
        <v>4997.91</v>
      </c>
      <c r="E1073" s="3">
        <f t="shared" si="67"/>
        <v>4997.91</v>
      </c>
      <c r="F1073" s="3">
        <f>MAX($E$2:E1073)</f>
        <v>4997.91</v>
      </c>
      <c r="G1073" s="3">
        <f t="shared" si="64"/>
        <v>0</v>
      </c>
      <c r="I1073" s="2">
        <v>44902</v>
      </c>
      <c r="J1073" s="3">
        <f>IFERROR(VLOOKUP(I1073,$A$1:$G$1610,3,FALSE),J1072)</f>
        <v>22.68</v>
      </c>
      <c r="K1073" s="3">
        <f>IFERROR(VLOOKUP(I1073,$A$1:$G$1610,7,FALSE),K1072)</f>
        <v>-17.984555598178702</v>
      </c>
      <c r="L1073" s="5">
        <f t="shared" si="65"/>
        <v>1</v>
      </c>
    </row>
    <row r="1074" spans="1:12" x14ac:dyDescent="0.25">
      <c r="A1074" s="2">
        <v>45331</v>
      </c>
      <c r="B1074" s="3">
        <v>12.93</v>
      </c>
      <c r="C1074" s="3">
        <f t="shared" si="66"/>
        <v>12.93</v>
      </c>
      <c r="D1074" s="3">
        <v>5026.6099999999997</v>
      </c>
      <c r="E1074" s="3">
        <f t="shared" si="67"/>
        <v>5026.6099999999997</v>
      </c>
      <c r="F1074" s="3">
        <f>MAX($E$2:E1074)</f>
        <v>5026.6099999999997</v>
      </c>
      <c r="G1074" s="3">
        <f t="shared" si="64"/>
        <v>0</v>
      </c>
      <c r="I1074" s="2">
        <v>44903</v>
      </c>
      <c r="J1074" s="3">
        <f>IFERROR(VLOOKUP(I1074,$A$1:$G$1610,3,FALSE),J1073)</f>
        <v>22.29</v>
      </c>
      <c r="K1074" s="3">
        <f>IFERROR(VLOOKUP(I1074,$A$1:$G$1610,7,FALSE),K1073)</f>
        <v>-17.367655152859552</v>
      </c>
      <c r="L1074" s="5">
        <f t="shared" si="65"/>
        <v>1</v>
      </c>
    </row>
    <row r="1075" spans="1:12" x14ac:dyDescent="0.25">
      <c r="A1075" s="2">
        <v>45334</v>
      </c>
      <c r="B1075" s="3">
        <v>13.93</v>
      </c>
      <c r="C1075" s="3">
        <f t="shared" si="66"/>
        <v>13.93</v>
      </c>
      <c r="D1075" s="3">
        <v>5021.84</v>
      </c>
      <c r="E1075" s="3">
        <f t="shared" si="67"/>
        <v>5021.84</v>
      </c>
      <c r="F1075" s="3">
        <f>MAX($E$2:E1075)</f>
        <v>5026.6099999999997</v>
      </c>
      <c r="G1075" s="3">
        <f t="shared" si="64"/>
        <v>-9.4894968975105035E-2</v>
      </c>
      <c r="I1075" s="2">
        <v>44904</v>
      </c>
      <c r="J1075" s="3">
        <f>IFERROR(VLOOKUP(I1075,$A$1:$G$1610,3,FALSE),J1074)</f>
        <v>22.83</v>
      </c>
      <c r="K1075" s="3">
        <f>IFERROR(VLOOKUP(I1075,$A$1:$G$1610,7,FALSE),K1074)</f>
        <v>-17.974965391864174</v>
      </c>
      <c r="L1075" s="5">
        <f t="shared" si="65"/>
        <v>1</v>
      </c>
    </row>
    <row r="1076" spans="1:12" x14ac:dyDescent="0.25">
      <c r="A1076" s="2">
        <v>45335</v>
      </c>
      <c r="B1076" s="3">
        <v>15.85</v>
      </c>
      <c r="C1076" s="3">
        <f t="shared" si="66"/>
        <v>15.85</v>
      </c>
      <c r="D1076" s="3">
        <v>4953.17</v>
      </c>
      <c r="E1076" s="3">
        <f t="shared" si="67"/>
        <v>4953.17</v>
      </c>
      <c r="F1076" s="3">
        <f>MAX($E$2:E1076)</f>
        <v>5026.6099999999997</v>
      </c>
      <c r="G1076" s="3">
        <f t="shared" si="64"/>
        <v>-1.4610244279942068</v>
      </c>
      <c r="I1076" s="2">
        <v>44905</v>
      </c>
      <c r="J1076" s="3">
        <f>IFERROR(VLOOKUP(I1076,$A$1:$G$1610,3,FALSE),J1075)</f>
        <v>22.83</v>
      </c>
      <c r="K1076" s="3">
        <f>IFERROR(VLOOKUP(I1076,$A$1:$G$1610,7,FALSE),K1075)</f>
        <v>-17.974965391864174</v>
      </c>
      <c r="L1076" s="5">
        <f t="shared" si="65"/>
        <v>1</v>
      </c>
    </row>
    <row r="1077" spans="1:12" x14ac:dyDescent="0.25">
      <c r="A1077" s="2">
        <v>45336</v>
      </c>
      <c r="B1077" s="3">
        <v>14.38</v>
      </c>
      <c r="C1077" s="3">
        <f t="shared" si="66"/>
        <v>14.38</v>
      </c>
      <c r="D1077" s="3">
        <v>5000.62</v>
      </c>
      <c r="E1077" s="3">
        <f t="shared" si="67"/>
        <v>5000.62</v>
      </c>
      <c r="F1077" s="3">
        <f>MAX($E$2:E1077)</f>
        <v>5026.6099999999997</v>
      </c>
      <c r="G1077" s="3">
        <f t="shared" si="64"/>
        <v>-0.51704826911178281</v>
      </c>
      <c r="I1077" s="2">
        <v>44906</v>
      </c>
      <c r="J1077" s="3">
        <f>IFERROR(VLOOKUP(I1077,$A$1:$G$1610,3,FALSE),J1076)</f>
        <v>22.83</v>
      </c>
      <c r="K1077" s="3">
        <f>IFERROR(VLOOKUP(I1077,$A$1:$G$1610,7,FALSE),K1076)</f>
        <v>-17.974965391864174</v>
      </c>
      <c r="L1077" s="5">
        <f t="shared" si="65"/>
        <v>1</v>
      </c>
    </row>
    <row r="1078" spans="1:12" x14ac:dyDescent="0.25">
      <c r="A1078" s="2">
        <v>45337</v>
      </c>
      <c r="B1078" s="3">
        <v>14.01</v>
      </c>
      <c r="C1078" s="3">
        <f t="shared" si="66"/>
        <v>14.01</v>
      </c>
      <c r="D1078" s="3">
        <v>5029.7299999999996</v>
      </c>
      <c r="E1078" s="3">
        <f t="shared" si="67"/>
        <v>5029.7299999999996</v>
      </c>
      <c r="F1078" s="3">
        <f>MAX($E$2:E1078)</f>
        <v>5029.7299999999996</v>
      </c>
      <c r="G1078" s="3">
        <f t="shared" si="64"/>
        <v>0</v>
      </c>
      <c r="I1078" s="2">
        <v>44907</v>
      </c>
      <c r="J1078" s="3">
        <f>IFERROR(VLOOKUP(I1078,$A$1:$G$1610,3,FALSE),J1077)</f>
        <v>25</v>
      </c>
      <c r="K1078" s="3">
        <f>IFERROR(VLOOKUP(I1078,$A$1:$G$1610,7,FALSE),K1077)</f>
        <v>-16.803709325016271</v>
      </c>
      <c r="L1078" s="5">
        <f t="shared" si="65"/>
        <v>1</v>
      </c>
    </row>
    <row r="1079" spans="1:12" x14ac:dyDescent="0.25">
      <c r="A1079" s="2">
        <v>45338</v>
      </c>
      <c r="B1079" s="3">
        <v>14.24</v>
      </c>
      <c r="C1079" s="3">
        <f t="shared" si="66"/>
        <v>14.24</v>
      </c>
      <c r="D1079" s="3">
        <v>5005.57</v>
      </c>
      <c r="E1079" s="3">
        <f t="shared" si="67"/>
        <v>5005.57</v>
      </c>
      <c r="F1079" s="3">
        <f>MAX($E$2:E1079)</f>
        <v>5029.7299999999996</v>
      </c>
      <c r="G1079" s="3">
        <f t="shared" si="64"/>
        <v>-0.48034387531736011</v>
      </c>
      <c r="I1079" s="2">
        <v>44908</v>
      </c>
      <c r="J1079" s="3">
        <f>IFERROR(VLOOKUP(I1079,$A$1:$G$1610,3,FALSE),J1078)</f>
        <v>22.55</v>
      </c>
      <c r="K1079" s="3">
        <f>IFERROR(VLOOKUP(I1079,$A$1:$G$1610,7,FALSE),K1078)</f>
        <v>-16.197233016995519</v>
      </c>
      <c r="L1079" s="5">
        <f t="shared" si="65"/>
        <v>1</v>
      </c>
    </row>
    <row r="1080" spans="1:12" x14ac:dyDescent="0.25">
      <c r="A1080" s="2">
        <v>45341</v>
      </c>
      <c r="B1080" s="3">
        <v>14.71</v>
      </c>
      <c r="C1080" s="3">
        <f t="shared" si="66"/>
        <v>14.71</v>
      </c>
      <c r="E1080" s="3">
        <f t="shared" si="67"/>
        <v>5005.57</v>
      </c>
      <c r="F1080" s="3">
        <f>MAX($E$2:E1080)</f>
        <v>5029.7299999999996</v>
      </c>
      <c r="G1080" s="3">
        <f t="shared" si="64"/>
        <v>-0.48034387531736011</v>
      </c>
      <c r="I1080" s="2">
        <v>44909</v>
      </c>
      <c r="J1080" s="3">
        <f>IFERROR(VLOOKUP(I1080,$A$1:$G$1610,3,FALSE),J1079)</f>
        <v>21.14</v>
      </c>
      <c r="K1080" s="3">
        <f>IFERROR(VLOOKUP(I1080,$A$1:$G$1610,7,FALSE),K1079)</f>
        <v>-16.704471537935525</v>
      </c>
      <c r="L1080" s="5">
        <f t="shared" si="65"/>
        <v>1</v>
      </c>
    </row>
    <row r="1081" spans="1:12" x14ac:dyDescent="0.25">
      <c r="A1081" s="2">
        <v>45342</v>
      </c>
      <c r="B1081" s="3">
        <v>15.42</v>
      </c>
      <c r="C1081" s="3">
        <f t="shared" si="66"/>
        <v>15.42</v>
      </c>
      <c r="D1081" s="3">
        <v>4975.51</v>
      </c>
      <c r="E1081" s="3">
        <f t="shared" si="67"/>
        <v>4975.51</v>
      </c>
      <c r="F1081" s="3">
        <f>MAX($E$2:E1081)</f>
        <v>5029.7299999999996</v>
      </c>
      <c r="G1081" s="3">
        <f t="shared" si="64"/>
        <v>-1.0779902698554267</v>
      </c>
      <c r="I1081" s="2">
        <v>44910</v>
      </c>
      <c r="J1081" s="3">
        <f>IFERROR(VLOOKUP(I1081,$A$1:$G$1610,3,FALSE),J1080)</f>
        <v>22.83</v>
      </c>
      <c r="K1081" s="3">
        <f>IFERROR(VLOOKUP(I1081,$A$1:$G$1610,7,FALSE),K1080)</f>
        <v>-18.780334239538345</v>
      </c>
      <c r="L1081" s="5">
        <f t="shared" si="65"/>
        <v>1</v>
      </c>
    </row>
    <row r="1082" spans="1:12" x14ac:dyDescent="0.25">
      <c r="A1082" s="2">
        <v>45343</v>
      </c>
      <c r="B1082" s="3">
        <v>15.34</v>
      </c>
      <c r="C1082" s="3">
        <f t="shared" si="66"/>
        <v>15.34</v>
      </c>
      <c r="D1082" s="3">
        <v>4981.8</v>
      </c>
      <c r="E1082" s="3">
        <f t="shared" si="67"/>
        <v>4981.8</v>
      </c>
      <c r="F1082" s="3">
        <f>MAX($E$2:E1082)</f>
        <v>5029.7299999999996</v>
      </c>
      <c r="G1082" s="3">
        <f t="shared" si="64"/>
        <v>-0.9529338552963954</v>
      </c>
      <c r="I1082" s="2">
        <v>44911</v>
      </c>
      <c r="J1082" s="3">
        <f>IFERROR(VLOOKUP(I1082,$A$1:$G$1610,3,FALSE),J1081)</f>
        <v>22.62</v>
      </c>
      <c r="K1082" s="3">
        <f>IFERROR(VLOOKUP(I1082,$A$1:$G$1610,7,FALSE),K1081)</f>
        <v>-19.684940874293247</v>
      </c>
      <c r="L1082" s="5">
        <f t="shared" si="65"/>
        <v>1</v>
      </c>
    </row>
    <row r="1083" spans="1:12" x14ac:dyDescent="0.25">
      <c r="A1083" s="2">
        <v>45344</v>
      </c>
      <c r="B1083" s="3">
        <v>14.54</v>
      </c>
      <c r="C1083" s="3">
        <f t="shared" si="66"/>
        <v>14.54</v>
      </c>
      <c r="D1083" s="3">
        <v>5087.03</v>
      </c>
      <c r="E1083" s="3">
        <f t="shared" si="67"/>
        <v>5087.03</v>
      </c>
      <c r="F1083" s="3">
        <f>MAX($E$2:E1083)</f>
        <v>5087.03</v>
      </c>
      <c r="G1083" s="3">
        <f t="shared" si="64"/>
        <v>0</v>
      </c>
      <c r="I1083" s="2">
        <v>44912</v>
      </c>
      <c r="J1083" s="3">
        <f>IFERROR(VLOOKUP(I1083,$A$1:$G$1610,3,FALSE),J1082)</f>
        <v>22.62</v>
      </c>
      <c r="K1083" s="3">
        <f>IFERROR(VLOOKUP(I1083,$A$1:$G$1610,7,FALSE),K1082)</f>
        <v>-19.684940874293247</v>
      </c>
      <c r="L1083" s="5">
        <f t="shared" si="65"/>
        <v>1</v>
      </c>
    </row>
    <row r="1084" spans="1:12" x14ac:dyDescent="0.25">
      <c r="A1084" s="2">
        <v>45345</v>
      </c>
      <c r="B1084" s="3">
        <v>13.75</v>
      </c>
      <c r="C1084" s="3">
        <f t="shared" si="66"/>
        <v>13.75</v>
      </c>
      <c r="D1084" s="3">
        <v>5088.8</v>
      </c>
      <c r="E1084" s="3">
        <f t="shared" si="67"/>
        <v>5088.8</v>
      </c>
      <c r="F1084" s="3">
        <f>MAX($E$2:E1084)</f>
        <v>5088.8</v>
      </c>
      <c r="G1084" s="3">
        <f t="shared" si="64"/>
        <v>0</v>
      </c>
      <c r="I1084" s="2">
        <v>44913</v>
      </c>
      <c r="J1084" s="3">
        <f>IFERROR(VLOOKUP(I1084,$A$1:$G$1610,3,FALSE),J1083)</f>
        <v>22.62</v>
      </c>
      <c r="K1084" s="3">
        <f>IFERROR(VLOOKUP(I1084,$A$1:$G$1610,7,FALSE),K1083)</f>
        <v>-19.684940874293247</v>
      </c>
      <c r="L1084" s="5">
        <f t="shared" si="65"/>
        <v>1</v>
      </c>
    </row>
    <row r="1085" spans="1:12" x14ac:dyDescent="0.25">
      <c r="A1085" s="2">
        <v>45348</v>
      </c>
      <c r="B1085" s="3">
        <v>13.74</v>
      </c>
      <c r="C1085" s="3">
        <f t="shared" si="66"/>
        <v>13.74</v>
      </c>
      <c r="D1085" s="3">
        <v>5069.53</v>
      </c>
      <c r="E1085" s="3">
        <f t="shared" si="67"/>
        <v>5069.53</v>
      </c>
      <c r="F1085" s="3">
        <f>MAX($E$2:E1085)</f>
        <v>5088.8</v>
      </c>
      <c r="G1085" s="3">
        <f t="shared" si="64"/>
        <v>-0.37867473667663176</v>
      </c>
      <c r="I1085" s="2">
        <v>44914</v>
      </c>
      <c r="J1085" s="3">
        <f>IFERROR(VLOOKUP(I1085,$A$1:$G$1610,3,FALSE),J1084)</f>
        <v>22.42</v>
      </c>
      <c r="K1085" s="3">
        <f>IFERROR(VLOOKUP(I1085,$A$1:$G$1610,7,FALSE),K1084)</f>
        <v>-20.408376002802019</v>
      </c>
      <c r="L1085" s="5">
        <f t="shared" si="65"/>
        <v>1</v>
      </c>
    </row>
    <row r="1086" spans="1:12" x14ac:dyDescent="0.25">
      <c r="A1086" s="2">
        <v>45349</v>
      </c>
      <c r="B1086" s="3">
        <v>13.43</v>
      </c>
      <c r="C1086" s="3">
        <f t="shared" si="66"/>
        <v>13.43</v>
      </c>
      <c r="D1086" s="3">
        <v>5078.18</v>
      </c>
      <c r="E1086" s="3">
        <f t="shared" si="67"/>
        <v>5078.18</v>
      </c>
      <c r="F1086" s="3">
        <f>MAX($E$2:E1086)</f>
        <v>5088.8</v>
      </c>
      <c r="G1086" s="3">
        <f t="shared" si="64"/>
        <v>-0.2086936016349609</v>
      </c>
      <c r="I1086" s="2">
        <v>44915</v>
      </c>
      <c r="J1086" s="3">
        <f>IFERROR(VLOOKUP(I1086,$A$1:$G$1610,3,FALSE),J1085)</f>
        <v>21.48</v>
      </c>
      <c r="K1086" s="3">
        <f>IFERROR(VLOOKUP(I1086,$A$1:$G$1610,7,FALSE),K1085)</f>
        <v>-20.325816835398712</v>
      </c>
      <c r="L1086" s="5">
        <f t="shared" si="65"/>
        <v>1</v>
      </c>
    </row>
    <row r="1087" spans="1:12" x14ac:dyDescent="0.25">
      <c r="A1087" s="2">
        <v>45350</v>
      </c>
      <c r="B1087" s="3">
        <v>13.84</v>
      </c>
      <c r="C1087" s="3">
        <f t="shared" si="66"/>
        <v>13.84</v>
      </c>
      <c r="D1087" s="3">
        <v>5069.76</v>
      </c>
      <c r="E1087" s="3">
        <f t="shared" si="67"/>
        <v>5069.76</v>
      </c>
      <c r="F1087" s="3">
        <f>MAX($E$2:E1087)</f>
        <v>5088.8</v>
      </c>
      <c r="G1087" s="3">
        <f t="shared" si="64"/>
        <v>-0.37415500707435867</v>
      </c>
      <c r="I1087" s="2">
        <v>44916</v>
      </c>
      <c r="J1087" s="3">
        <f>IFERROR(VLOOKUP(I1087,$A$1:$G$1610,3,FALSE),J1086)</f>
        <v>20.07</v>
      </c>
      <c r="K1087" s="3">
        <f>IFERROR(VLOOKUP(I1087,$A$1:$G$1610,7,FALSE),K1086)</f>
        <v>-19.141217872808852</v>
      </c>
      <c r="L1087" s="5">
        <f t="shared" si="65"/>
        <v>1</v>
      </c>
    </row>
    <row r="1088" spans="1:12" x14ac:dyDescent="0.25">
      <c r="A1088" s="2">
        <v>45351</v>
      </c>
      <c r="B1088" s="3">
        <v>13.4</v>
      </c>
      <c r="C1088" s="3">
        <f t="shared" si="66"/>
        <v>13.4</v>
      </c>
      <c r="D1088" s="3">
        <v>5096.2700000000004</v>
      </c>
      <c r="E1088" s="3">
        <f t="shared" si="67"/>
        <v>5096.2700000000004</v>
      </c>
      <c r="F1088" s="3">
        <f>MAX($E$2:E1088)</f>
        <v>5096.2700000000004</v>
      </c>
      <c r="G1088" s="3">
        <f t="shared" si="64"/>
        <v>0</v>
      </c>
      <c r="I1088" s="2">
        <v>44917</v>
      </c>
      <c r="J1088" s="3">
        <f>IFERROR(VLOOKUP(I1088,$A$1:$G$1610,3,FALSE),J1087)</f>
        <v>21.97</v>
      </c>
      <c r="K1088" s="3">
        <f>IFERROR(VLOOKUP(I1088,$A$1:$G$1610,7,FALSE),K1087)</f>
        <v>-20.309763663959181</v>
      </c>
      <c r="L1088" s="5">
        <f t="shared" si="65"/>
        <v>1</v>
      </c>
    </row>
    <row r="1089" spans="1:12" x14ac:dyDescent="0.25">
      <c r="A1089" s="2">
        <v>45352</v>
      </c>
      <c r="B1089" s="3">
        <v>13.11</v>
      </c>
      <c r="C1089" s="3">
        <f t="shared" si="66"/>
        <v>13.11</v>
      </c>
      <c r="D1089" s="3">
        <v>5137.08</v>
      </c>
      <c r="E1089" s="3">
        <f t="shared" si="67"/>
        <v>5137.08</v>
      </c>
      <c r="F1089" s="3">
        <f>MAX($E$2:E1089)</f>
        <v>5137.08</v>
      </c>
      <c r="G1089" s="3">
        <f t="shared" si="64"/>
        <v>0</v>
      </c>
      <c r="I1089" s="2">
        <v>44918</v>
      </c>
      <c r="J1089" s="3">
        <f>IFERROR(VLOOKUP(I1089,$A$1:$G$1610,3,FALSE),J1088)</f>
        <v>20.87</v>
      </c>
      <c r="K1089" s="3">
        <f>IFERROR(VLOOKUP(I1089,$A$1:$G$1610,7,FALSE),K1088)</f>
        <v>-19.842136864753076</v>
      </c>
      <c r="L1089" s="5">
        <f t="shared" si="65"/>
        <v>1</v>
      </c>
    </row>
    <row r="1090" spans="1:12" x14ac:dyDescent="0.25">
      <c r="A1090" s="2">
        <v>45355</v>
      </c>
      <c r="B1090" s="3">
        <v>13.49</v>
      </c>
      <c r="C1090" s="3">
        <f t="shared" si="66"/>
        <v>13.49</v>
      </c>
      <c r="D1090" s="3">
        <v>5130.95</v>
      </c>
      <c r="E1090" s="3">
        <f t="shared" si="67"/>
        <v>5130.95</v>
      </c>
      <c r="F1090" s="3">
        <f>MAX($E$2:E1090)</f>
        <v>5137.08</v>
      </c>
      <c r="G1090" s="3">
        <f t="shared" ref="G1090:G1153" si="68">(E1090-F1090)/F1090*100</f>
        <v>-0.11932849011500909</v>
      </c>
      <c r="I1090" s="2">
        <v>44919</v>
      </c>
      <c r="J1090" s="3">
        <f>IFERROR(VLOOKUP(I1090,$A$1:$G$1610,3,FALSE),J1089)</f>
        <v>20.87</v>
      </c>
      <c r="K1090" s="3">
        <f>IFERROR(VLOOKUP(I1090,$A$1:$G$1610,7,FALSE),K1089)</f>
        <v>-19.842136864753076</v>
      </c>
      <c r="L1090" s="5">
        <f t="shared" ref="L1090:L1153" si="69">IF(OR(J1090&gt;=30,K1090&lt;-10),1,0)</f>
        <v>1</v>
      </c>
    </row>
    <row r="1091" spans="1:12" x14ac:dyDescent="0.25">
      <c r="A1091" s="2">
        <v>45356</v>
      </c>
      <c r="B1091" s="3">
        <v>14.46</v>
      </c>
      <c r="C1091" s="3">
        <f t="shared" ref="C1091:C1154" si="70">IF(B1091="",B1090,B1091)</f>
        <v>14.46</v>
      </c>
      <c r="D1091" s="3">
        <v>5078.6499999999996</v>
      </c>
      <c r="E1091" s="3">
        <f t="shared" si="67"/>
        <v>5078.6499999999996</v>
      </c>
      <c r="F1091" s="3">
        <f>MAX($E$2:E1091)</f>
        <v>5137.08</v>
      </c>
      <c r="G1091" s="3">
        <f t="shared" si="68"/>
        <v>-1.1374165868547947</v>
      </c>
      <c r="I1091" s="2">
        <v>44920</v>
      </c>
      <c r="J1091" s="3">
        <f>IFERROR(VLOOKUP(I1091,$A$1:$G$1610,3,FALSE),J1090)</f>
        <v>20.87</v>
      </c>
      <c r="K1091" s="3">
        <f>IFERROR(VLOOKUP(I1091,$A$1:$G$1610,7,FALSE),K1090)</f>
        <v>-19.842136864753076</v>
      </c>
      <c r="L1091" s="5">
        <f t="shared" si="69"/>
        <v>1</v>
      </c>
    </row>
    <row r="1092" spans="1:12" x14ac:dyDescent="0.25">
      <c r="A1092" s="2">
        <v>45357</v>
      </c>
      <c r="B1092" s="3">
        <v>14.5</v>
      </c>
      <c r="C1092" s="3">
        <f t="shared" si="70"/>
        <v>14.5</v>
      </c>
      <c r="D1092" s="3">
        <v>5104.76</v>
      </c>
      <c r="E1092" s="3">
        <f t="shared" si="67"/>
        <v>5104.76</v>
      </c>
      <c r="F1092" s="3">
        <f>MAX($E$2:E1092)</f>
        <v>5137.08</v>
      </c>
      <c r="G1092" s="3">
        <f t="shared" si="68"/>
        <v>-0.62915119094893812</v>
      </c>
      <c r="I1092" s="2">
        <v>44921</v>
      </c>
      <c r="J1092" s="3">
        <f>IFERROR(VLOOKUP(I1092,$A$1:$G$1610,3,FALSE),J1091)</f>
        <v>20.87</v>
      </c>
      <c r="K1092" s="3">
        <f>IFERROR(VLOOKUP(I1092,$A$1:$G$1610,7,FALSE),K1091)</f>
        <v>-19.842136864753076</v>
      </c>
      <c r="L1092" s="5">
        <f t="shared" si="69"/>
        <v>1</v>
      </c>
    </row>
    <row r="1093" spans="1:12" x14ac:dyDescent="0.25">
      <c r="A1093" s="2">
        <v>45358</v>
      </c>
      <c r="B1093" s="3">
        <v>14.44</v>
      </c>
      <c r="C1093" s="3">
        <f t="shared" si="70"/>
        <v>14.44</v>
      </c>
      <c r="D1093" s="3">
        <v>5157.3599999999997</v>
      </c>
      <c r="E1093" s="3">
        <f t="shared" ref="E1093:E1156" si="71">IF(D1093="",D1092,D1093)</f>
        <v>5157.3599999999997</v>
      </c>
      <c r="F1093" s="3">
        <f>MAX($E$2:E1093)</f>
        <v>5157.3599999999997</v>
      </c>
      <c r="G1093" s="3">
        <f t="shared" si="68"/>
        <v>0</v>
      </c>
      <c r="I1093" s="2">
        <v>44922</v>
      </c>
      <c r="J1093" s="3">
        <f>IFERROR(VLOOKUP(I1093,$A$1:$G$1610,3,FALSE),J1092)</f>
        <v>21.65</v>
      </c>
      <c r="K1093" s="3">
        <f>IFERROR(VLOOKUP(I1093,$A$1:$G$1610,7,FALSE),K1092)</f>
        <v>-20.166744500225168</v>
      </c>
      <c r="L1093" s="5">
        <f t="shared" si="69"/>
        <v>1</v>
      </c>
    </row>
    <row r="1094" spans="1:12" x14ac:dyDescent="0.25">
      <c r="A1094" s="2">
        <v>45359</v>
      </c>
      <c r="B1094" s="3">
        <v>14.74</v>
      </c>
      <c r="C1094" s="3">
        <f t="shared" si="70"/>
        <v>14.74</v>
      </c>
      <c r="D1094" s="3">
        <v>5123.6899999999996</v>
      </c>
      <c r="E1094" s="3">
        <f t="shared" si="71"/>
        <v>5123.6899999999996</v>
      </c>
      <c r="F1094" s="3">
        <f>MAX($E$2:E1094)</f>
        <v>5157.3599999999997</v>
      </c>
      <c r="G1094" s="3">
        <f t="shared" si="68"/>
        <v>-0.65285339786247376</v>
      </c>
      <c r="I1094" s="2">
        <v>44923</v>
      </c>
      <c r="J1094" s="3">
        <f>IFERROR(VLOOKUP(I1094,$A$1:$G$1610,3,FALSE),J1093)</f>
        <v>22.14</v>
      </c>
      <c r="K1094" s="3">
        <f>IFERROR(VLOOKUP(I1094,$A$1:$G$1610,7,FALSE),K1093)</f>
        <v>-21.126390579915615</v>
      </c>
      <c r="L1094" s="5">
        <f t="shared" si="69"/>
        <v>1</v>
      </c>
    </row>
    <row r="1095" spans="1:12" x14ac:dyDescent="0.25">
      <c r="A1095" s="2">
        <v>45362</v>
      </c>
      <c r="B1095" s="3">
        <v>15.22</v>
      </c>
      <c r="C1095" s="3">
        <f t="shared" si="70"/>
        <v>15.22</v>
      </c>
      <c r="D1095" s="3">
        <v>5117.9399999999996</v>
      </c>
      <c r="E1095" s="3">
        <f t="shared" si="71"/>
        <v>5117.9399999999996</v>
      </c>
      <c r="F1095" s="3">
        <f>MAX($E$2:E1095)</f>
        <v>5157.3599999999997</v>
      </c>
      <c r="G1095" s="3">
        <f t="shared" si="68"/>
        <v>-0.7643445483735879</v>
      </c>
      <c r="I1095" s="2">
        <v>44924</v>
      </c>
      <c r="J1095" s="3">
        <f>IFERROR(VLOOKUP(I1095,$A$1:$G$1610,3,FALSE),J1094)</f>
        <v>21.44</v>
      </c>
      <c r="K1095" s="3">
        <f>IFERROR(VLOOKUP(I1095,$A$1:$G$1610,7,FALSE),K1094)</f>
        <v>-19.749153560051372</v>
      </c>
      <c r="L1095" s="5">
        <f t="shared" si="69"/>
        <v>1</v>
      </c>
    </row>
    <row r="1096" spans="1:12" x14ac:dyDescent="0.25">
      <c r="A1096" s="2">
        <v>45363</v>
      </c>
      <c r="B1096" s="3">
        <v>13.84</v>
      </c>
      <c r="C1096" s="3">
        <f t="shared" si="70"/>
        <v>13.84</v>
      </c>
      <c r="D1096" s="3">
        <v>5175.2700000000004</v>
      </c>
      <c r="E1096" s="3">
        <f t="shared" si="71"/>
        <v>5175.2700000000004</v>
      </c>
      <c r="F1096" s="3">
        <f>MAX($E$2:E1096)</f>
        <v>5175.2700000000004</v>
      </c>
      <c r="G1096" s="3">
        <f t="shared" si="68"/>
        <v>0</v>
      </c>
      <c r="I1096" s="2">
        <v>44925</v>
      </c>
      <c r="J1096" s="3">
        <f>IFERROR(VLOOKUP(I1096,$A$1:$G$1610,3,FALSE),J1095)</f>
        <v>21.67</v>
      </c>
      <c r="K1096" s="3">
        <f>IFERROR(VLOOKUP(I1096,$A$1:$G$1610,7,FALSE),K1095)</f>
        <v>-19.953049685608025</v>
      </c>
      <c r="L1096" s="5">
        <f t="shared" si="69"/>
        <v>1</v>
      </c>
    </row>
    <row r="1097" spans="1:12" x14ac:dyDescent="0.25">
      <c r="A1097" s="2">
        <v>45364</v>
      </c>
      <c r="B1097" s="3">
        <v>13.75</v>
      </c>
      <c r="C1097" s="3">
        <f t="shared" si="70"/>
        <v>13.75</v>
      </c>
      <c r="D1097" s="3">
        <v>5165.3100000000004</v>
      </c>
      <c r="E1097" s="3">
        <f t="shared" si="71"/>
        <v>5165.3100000000004</v>
      </c>
      <c r="F1097" s="3">
        <f>MAX($E$2:E1097)</f>
        <v>5175.2700000000004</v>
      </c>
      <c r="G1097" s="3">
        <f t="shared" si="68"/>
        <v>-0.19245372705192262</v>
      </c>
      <c r="I1097" s="2">
        <v>44926</v>
      </c>
      <c r="J1097" s="3">
        <f>IFERROR(VLOOKUP(I1097,$A$1:$G$1610,3,FALSE),J1096)</f>
        <v>21.67</v>
      </c>
      <c r="K1097" s="3">
        <f>IFERROR(VLOOKUP(I1097,$A$1:$G$1610,7,FALSE),K1096)</f>
        <v>-19.953049685608025</v>
      </c>
      <c r="L1097" s="5">
        <f t="shared" si="69"/>
        <v>1</v>
      </c>
    </row>
    <row r="1098" spans="1:12" x14ac:dyDescent="0.25">
      <c r="A1098" s="2">
        <v>45365</v>
      </c>
      <c r="B1098" s="3">
        <v>14.4</v>
      </c>
      <c r="C1098" s="3">
        <f t="shared" si="70"/>
        <v>14.4</v>
      </c>
      <c r="D1098" s="3">
        <v>5150.4799999999996</v>
      </c>
      <c r="E1098" s="3">
        <f t="shared" si="71"/>
        <v>5150.4799999999996</v>
      </c>
      <c r="F1098" s="3">
        <f>MAX($E$2:E1098)</f>
        <v>5175.2700000000004</v>
      </c>
      <c r="G1098" s="3">
        <f t="shared" si="68"/>
        <v>-0.47900882466037276</v>
      </c>
      <c r="I1098" s="2">
        <v>44927</v>
      </c>
      <c r="J1098" s="3">
        <f>IFERROR(VLOOKUP(I1098,$A$1:$G$1610,3,FALSE),J1097)</f>
        <v>21.67</v>
      </c>
      <c r="K1098" s="3">
        <f>IFERROR(VLOOKUP(I1098,$A$1:$G$1610,7,FALSE),K1097)</f>
        <v>-19.953049685608025</v>
      </c>
      <c r="L1098" s="5">
        <f t="shared" si="69"/>
        <v>1</v>
      </c>
    </row>
    <row r="1099" spans="1:12" x14ac:dyDescent="0.25">
      <c r="A1099" s="2">
        <v>45366</v>
      </c>
      <c r="B1099" s="3">
        <v>14.41</v>
      </c>
      <c r="C1099" s="3">
        <f t="shared" si="70"/>
        <v>14.41</v>
      </c>
      <c r="D1099" s="3">
        <v>5117.09</v>
      </c>
      <c r="E1099" s="3">
        <f t="shared" si="71"/>
        <v>5117.09</v>
      </c>
      <c r="F1099" s="3">
        <f>MAX($E$2:E1099)</f>
        <v>5175.2700000000004</v>
      </c>
      <c r="G1099" s="3">
        <f t="shared" si="68"/>
        <v>-1.1241925542049069</v>
      </c>
      <c r="I1099" s="2">
        <v>44928</v>
      </c>
      <c r="J1099" s="3">
        <f>IFERROR(VLOOKUP(I1099,$A$1:$G$1610,3,FALSE),J1098)</f>
        <v>21.67</v>
      </c>
      <c r="K1099" s="3">
        <f>IFERROR(VLOOKUP(I1099,$A$1:$G$1610,7,FALSE),K1098)</f>
        <v>-19.953049685608025</v>
      </c>
      <c r="L1099" s="5">
        <f t="shared" si="69"/>
        <v>1</v>
      </c>
    </row>
    <row r="1100" spans="1:12" x14ac:dyDescent="0.25">
      <c r="A1100" s="2">
        <v>45369</v>
      </c>
      <c r="B1100" s="3">
        <v>14.33</v>
      </c>
      <c r="C1100" s="3">
        <f t="shared" si="70"/>
        <v>14.33</v>
      </c>
      <c r="D1100" s="3">
        <v>5149.42</v>
      </c>
      <c r="E1100" s="3">
        <f t="shared" si="71"/>
        <v>5149.42</v>
      </c>
      <c r="F1100" s="3">
        <f>MAX($E$2:E1100)</f>
        <v>5175.2700000000004</v>
      </c>
      <c r="G1100" s="3">
        <f t="shared" si="68"/>
        <v>-0.49949084782050723</v>
      </c>
      <c r="I1100" s="2">
        <v>44929</v>
      </c>
      <c r="J1100" s="3">
        <f>IFERROR(VLOOKUP(I1100,$A$1:$G$1610,3,FALSE),J1099)</f>
        <v>22.9</v>
      </c>
      <c r="K1100" s="3">
        <f>IFERROR(VLOOKUP(I1100,$A$1:$G$1610,7,FALSE),K1099)</f>
        <v>-20.27327918341479</v>
      </c>
      <c r="L1100" s="5">
        <f t="shared" si="69"/>
        <v>1</v>
      </c>
    </row>
    <row r="1101" spans="1:12" x14ac:dyDescent="0.25">
      <c r="A1101" s="2">
        <v>45370</v>
      </c>
      <c r="B1101" s="3">
        <v>13.82</v>
      </c>
      <c r="C1101" s="3">
        <f t="shared" si="70"/>
        <v>13.82</v>
      </c>
      <c r="D1101" s="3">
        <v>5178.51</v>
      </c>
      <c r="E1101" s="3">
        <f t="shared" si="71"/>
        <v>5178.51</v>
      </c>
      <c r="F1101" s="3">
        <f>MAX($E$2:E1101)</f>
        <v>5178.51</v>
      </c>
      <c r="G1101" s="3">
        <f t="shared" si="68"/>
        <v>0</v>
      </c>
      <c r="I1101" s="2">
        <v>44930</v>
      </c>
      <c r="J1101" s="3">
        <f>IFERROR(VLOOKUP(I1101,$A$1:$G$1610,3,FALSE),J1100)</f>
        <v>22.01</v>
      </c>
      <c r="K1101" s="3">
        <f>IFERROR(VLOOKUP(I1101,$A$1:$G$1610,7,FALSE),K1100)</f>
        <v>-19.672223426789209</v>
      </c>
      <c r="L1101" s="5">
        <f t="shared" si="69"/>
        <v>1</v>
      </c>
    </row>
    <row r="1102" spans="1:12" x14ac:dyDescent="0.25">
      <c r="A1102" s="2">
        <v>45371</v>
      </c>
      <c r="B1102" s="3">
        <v>13.04</v>
      </c>
      <c r="C1102" s="3">
        <f t="shared" si="70"/>
        <v>13.04</v>
      </c>
      <c r="D1102" s="3">
        <v>5224.62</v>
      </c>
      <c r="E1102" s="3">
        <f t="shared" si="71"/>
        <v>5224.62</v>
      </c>
      <c r="F1102" s="3">
        <f>MAX($E$2:E1102)</f>
        <v>5224.62</v>
      </c>
      <c r="G1102" s="3">
        <f t="shared" si="68"/>
        <v>0</v>
      </c>
      <c r="I1102" s="2">
        <v>44931</v>
      </c>
      <c r="J1102" s="3">
        <f>IFERROR(VLOOKUP(I1102,$A$1:$G$1610,3,FALSE),J1101)</f>
        <v>22.46</v>
      </c>
      <c r="K1102" s="3">
        <f>IFERROR(VLOOKUP(I1102,$A$1:$G$1610,7,FALSE),K1101)</f>
        <v>-20.60768550794737</v>
      </c>
      <c r="L1102" s="5">
        <f t="shared" si="69"/>
        <v>1</v>
      </c>
    </row>
    <row r="1103" spans="1:12" x14ac:dyDescent="0.25">
      <c r="A1103" s="2">
        <v>45372</v>
      </c>
      <c r="B1103" s="3">
        <v>12.92</v>
      </c>
      <c r="C1103" s="3">
        <f t="shared" si="70"/>
        <v>12.92</v>
      </c>
      <c r="D1103" s="3">
        <v>5241.53</v>
      </c>
      <c r="E1103" s="3">
        <f t="shared" si="71"/>
        <v>5241.53</v>
      </c>
      <c r="F1103" s="3">
        <f>MAX($E$2:E1103)</f>
        <v>5241.53</v>
      </c>
      <c r="G1103" s="3">
        <f t="shared" si="68"/>
        <v>0</v>
      </c>
      <c r="I1103" s="2">
        <v>44932</v>
      </c>
      <c r="J1103" s="3">
        <f>IFERROR(VLOOKUP(I1103,$A$1:$G$1610,3,FALSE),J1102)</f>
        <v>21.13</v>
      </c>
      <c r="K1103" s="3">
        <f>IFERROR(VLOOKUP(I1103,$A$1:$G$1610,7,FALSE),K1102)</f>
        <v>-18.794302583518196</v>
      </c>
      <c r="L1103" s="5">
        <f t="shared" si="69"/>
        <v>1</v>
      </c>
    </row>
    <row r="1104" spans="1:12" x14ac:dyDescent="0.25">
      <c r="A1104" s="2">
        <v>45373</v>
      </c>
      <c r="B1104" s="3">
        <v>13.06</v>
      </c>
      <c r="C1104" s="3">
        <f t="shared" si="70"/>
        <v>13.06</v>
      </c>
      <c r="D1104" s="3">
        <v>5234.18</v>
      </c>
      <c r="E1104" s="3">
        <f t="shared" si="71"/>
        <v>5234.18</v>
      </c>
      <c r="F1104" s="3">
        <f>MAX($E$2:E1104)</f>
        <v>5241.53</v>
      </c>
      <c r="G1104" s="3">
        <f t="shared" si="68"/>
        <v>-0.14022623165372428</v>
      </c>
      <c r="I1104" s="2">
        <v>44933</v>
      </c>
      <c r="J1104" s="3">
        <f>IFERROR(VLOOKUP(I1104,$A$1:$G$1610,3,FALSE),J1103)</f>
        <v>21.13</v>
      </c>
      <c r="K1104" s="3">
        <f>IFERROR(VLOOKUP(I1104,$A$1:$G$1610,7,FALSE),K1103)</f>
        <v>-18.794302583518196</v>
      </c>
      <c r="L1104" s="5">
        <f t="shared" si="69"/>
        <v>1</v>
      </c>
    </row>
    <row r="1105" spans="1:12" x14ac:dyDescent="0.25">
      <c r="A1105" s="2">
        <v>45376</v>
      </c>
      <c r="B1105" s="3">
        <v>13.19</v>
      </c>
      <c r="C1105" s="3">
        <f t="shared" si="70"/>
        <v>13.19</v>
      </c>
      <c r="D1105" s="3">
        <v>5218.1899999999996</v>
      </c>
      <c r="E1105" s="3">
        <f t="shared" si="71"/>
        <v>5218.1899999999996</v>
      </c>
      <c r="F1105" s="3">
        <f>MAX($E$2:E1105)</f>
        <v>5241.53</v>
      </c>
      <c r="G1105" s="3">
        <f t="shared" si="68"/>
        <v>-0.44528982949635215</v>
      </c>
      <c r="I1105" s="2">
        <v>44934</v>
      </c>
      <c r="J1105" s="3">
        <f>IFERROR(VLOOKUP(I1105,$A$1:$G$1610,3,FALSE),J1104)</f>
        <v>21.13</v>
      </c>
      <c r="K1105" s="3">
        <f>IFERROR(VLOOKUP(I1105,$A$1:$G$1610,7,FALSE),K1104)</f>
        <v>-18.794302583518196</v>
      </c>
      <c r="L1105" s="5">
        <f t="shared" si="69"/>
        <v>1</v>
      </c>
    </row>
    <row r="1106" spans="1:12" x14ac:dyDescent="0.25">
      <c r="A1106" s="2">
        <v>45377</v>
      </c>
      <c r="B1106" s="3">
        <v>13.24</v>
      </c>
      <c r="C1106" s="3">
        <f t="shared" si="70"/>
        <v>13.24</v>
      </c>
      <c r="D1106" s="3">
        <v>5203.58</v>
      </c>
      <c r="E1106" s="3">
        <f t="shared" si="71"/>
        <v>5203.58</v>
      </c>
      <c r="F1106" s="3">
        <f>MAX($E$2:E1106)</f>
        <v>5241.53</v>
      </c>
      <c r="G1106" s="3">
        <f t="shared" si="68"/>
        <v>-0.72402523690601439</v>
      </c>
      <c r="I1106" s="2">
        <v>44935</v>
      </c>
      <c r="J1106" s="3">
        <f>IFERROR(VLOOKUP(I1106,$A$1:$G$1610,3,FALSE),J1105)</f>
        <v>21.97</v>
      </c>
      <c r="K1106" s="3">
        <f>IFERROR(VLOOKUP(I1106,$A$1:$G$1610,7,FALSE),K1105)</f>
        <v>-18.856638924562606</v>
      </c>
      <c r="L1106" s="5">
        <f t="shared" si="69"/>
        <v>1</v>
      </c>
    </row>
    <row r="1107" spans="1:12" x14ac:dyDescent="0.25">
      <c r="A1107" s="2">
        <v>45378</v>
      </c>
      <c r="B1107" s="3">
        <v>12.78</v>
      </c>
      <c r="C1107" s="3">
        <f t="shared" si="70"/>
        <v>12.78</v>
      </c>
      <c r="D1107" s="3">
        <v>5248.49</v>
      </c>
      <c r="E1107" s="3">
        <f t="shared" si="71"/>
        <v>5248.49</v>
      </c>
      <c r="F1107" s="3">
        <f>MAX($E$2:E1107)</f>
        <v>5248.49</v>
      </c>
      <c r="G1107" s="3">
        <f t="shared" si="68"/>
        <v>0</v>
      </c>
      <c r="I1107" s="2">
        <v>44936</v>
      </c>
      <c r="J1107" s="3">
        <f>IFERROR(VLOOKUP(I1107,$A$1:$G$1610,3,FALSE),J1106)</f>
        <v>20.58</v>
      </c>
      <c r="K1107" s="3">
        <f>IFERROR(VLOOKUP(I1107,$A$1:$G$1610,7,FALSE),K1106)</f>
        <v>-18.290399786513674</v>
      </c>
      <c r="L1107" s="5">
        <f t="shared" si="69"/>
        <v>1</v>
      </c>
    </row>
    <row r="1108" spans="1:12" x14ac:dyDescent="0.25">
      <c r="A1108" s="2">
        <v>45379</v>
      </c>
      <c r="B1108" s="3">
        <v>13.01</v>
      </c>
      <c r="C1108" s="3">
        <f t="shared" si="70"/>
        <v>13.01</v>
      </c>
      <c r="D1108" s="3">
        <v>5254.35</v>
      </c>
      <c r="E1108" s="3">
        <f t="shared" si="71"/>
        <v>5254.35</v>
      </c>
      <c r="F1108" s="3">
        <f>MAX($E$2:E1108)</f>
        <v>5254.35</v>
      </c>
      <c r="G1108" s="3">
        <f t="shared" si="68"/>
        <v>0</v>
      </c>
      <c r="I1108" s="2">
        <v>44937</v>
      </c>
      <c r="J1108" s="3">
        <f>IFERROR(VLOOKUP(I1108,$A$1:$G$1610,3,FALSE),J1107)</f>
        <v>21.09</v>
      </c>
      <c r="K1108" s="3">
        <f>IFERROR(VLOOKUP(I1108,$A$1:$G$1610,7,FALSE),K1107)</f>
        <v>-17.240480677819107</v>
      </c>
      <c r="L1108" s="5">
        <f t="shared" si="69"/>
        <v>1</v>
      </c>
    </row>
    <row r="1109" spans="1:12" x14ac:dyDescent="0.25">
      <c r="A1109" s="2">
        <v>45380</v>
      </c>
      <c r="C1109" s="3">
        <f t="shared" si="70"/>
        <v>13.01</v>
      </c>
      <c r="E1109" s="3">
        <f t="shared" si="71"/>
        <v>5254.35</v>
      </c>
      <c r="F1109" s="3">
        <f>MAX($E$2:E1109)</f>
        <v>5254.35</v>
      </c>
      <c r="G1109" s="3">
        <f t="shared" si="68"/>
        <v>0</v>
      </c>
      <c r="I1109" s="2">
        <v>44938</v>
      </c>
      <c r="J1109" s="3">
        <f>IFERROR(VLOOKUP(I1109,$A$1:$G$1610,3,FALSE),J1108)</f>
        <v>18.829999999999998</v>
      </c>
      <c r="K1109" s="3">
        <f>IFERROR(VLOOKUP(I1109,$A$1:$G$1610,7,FALSE),K1108)</f>
        <v>-16.95777807428658</v>
      </c>
      <c r="L1109" s="5">
        <f t="shared" si="69"/>
        <v>1</v>
      </c>
    </row>
    <row r="1110" spans="1:12" x14ac:dyDescent="0.25">
      <c r="A1110" s="2">
        <v>45383</v>
      </c>
      <c r="B1110" s="3">
        <v>13.65</v>
      </c>
      <c r="C1110" s="3">
        <f t="shared" si="70"/>
        <v>13.65</v>
      </c>
      <c r="D1110" s="3">
        <v>5243.77</v>
      </c>
      <c r="E1110" s="3">
        <f t="shared" si="71"/>
        <v>5243.77</v>
      </c>
      <c r="F1110" s="3">
        <f>MAX($E$2:E1110)</f>
        <v>5254.35</v>
      </c>
      <c r="G1110" s="3">
        <f t="shared" si="68"/>
        <v>-0.20135697089078433</v>
      </c>
      <c r="I1110" s="2">
        <v>44939</v>
      </c>
      <c r="J1110" s="3">
        <f>IFERROR(VLOOKUP(I1110,$A$1:$G$1610,3,FALSE),J1109)</f>
        <v>18.350000000000001</v>
      </c>
      <c r="K1110" s="3">
        <f>IFERROR(VLOOKUP(I1110,$A$1:$G$1610,7,FALSE),K1109)</f>
        <v>-16.625873542705609</v>
      </c>
      <c r="L1110" s="5">
        <f t="shared" si="69"/>
        <v>1</v>
      </c>
    </row>
    <row r="1111" spans="1:12" x14ac:dyDescent="0.25">
      <c r="A1111" s="2">
        <v>45384</v>
      </c>
      <c r="B1111" s="3">
        <v>14.61</v>
      </c>
      <c r="C1111" s="3">
        <f t="shared" si="70"/>
        <v>14.61</v>
      </c>
      <c r="D1111" s="3">
        <v>5205.8100000000004</v>
      </c>
      <c r="E1111" s="3">
        <f t="shared" si="71"/>
        <v>5205.8100000000004</v>
      </c>
      <c r="F1111" s="3">
        <f>MAX($E$2:E1111)</f>
        <v>5254.35</v>
      </c>
      <c r="G1111" s="3">
        <f t="shared" si="68"/>
        <v>-0.92380598932313152</v>
      </c>
      <c r="I1111" s="2">
        <v>44940</v>
      </c>
      <c r="J1111" s="3">
        <f>IFERROR(VLOOKUP(I1111,$A$1:$G$1610,3,FALSE),J1110)</f>
        <v>18.350000000000001</v>
      </c>
      <c r="K1111" s="3">
        <f>IFERROR(VLOOKUP(I1111,$A$1:$G$1610,7,FALSE),K1110)</f>
        <v>-16.625873542705609</v>
      </c>
      <c r="L1111" s="5">
        <f t="shared" si="69"/>
        <v>1</v>
      </c>
    </row>
    <row r="1112" spans="1:12" x14ac:dyDescent="0.25">
      <c r="A1112" s="2">
        <v>45385</v>
      </c>
      <c r="B1112" s="3">
        <v>14.33</v>
      </c>
      <c r="C1112" s="3">
        <f t="shared" si="70"/>
        <v>14.33</v>
      </c>
      <c r="D1112" s="3">
        <v>5211.49</v>
      </c>
      <c r="E1112" s="3">
        <f t="shared" si="71"/>
        <v>5211.49</v>
      </c>
      <c r="F1112" s="3">
        <f>MAX($E$2:E1112)</f>
        <v>5254.35</v>
      </c>
      <c r="G1112" s="3">
        <f t="shared" si="68"/>
        <v>-0.81570508245550033</v>
      </c>
      <c r="I1112" s="2">
        <v>44941</v>
      </c>
      <c r="J1112" s="3">
        <f>IFERROR(VLOOKUP(I1112,$A$1:$G$1610,3,FALSE),J1111)</f>
        <v>18.350000000000001</v>
      </c>
      <c r="K1112" s="3">
        <f>IFERROR(VLOOKUP(I1112,$A$1:$G$1610,7,FALSE),K1111)</f>
        <v>-16.625873542705609</v>
      </c>
      <c r="L1112" s="5">
        <f t="shared" si="69"/>
        <v>1</v>
      </c>
    </row>
    <row r="1113" spans="1:12" x14ac:dyDescent="0.25">
      <c r="A1113" s="2">
        <v>45386</v>
      </c>
      <c r="B1113" s="3">
        <v>16.350000000000001</v>
      </c>
      <c r="C1113" s="3">
        <f t="shared" si="70"/>
        <v>16.350000000000001</v>
      </c>
      <c r="D1113" s="3">
        <v>5147.21</v>
      </c>
      <c r="E1113" s="3">
        <f t="shared" si="71"/>
        <v>5147.21</v>
      </c>
      <c r="F1113" s="3">
        <f>MAX($E$2:E1113)</f>
        <v>5254.35</v>
      </c>
      <c r="G1113" s="3">
        <f t="shared" si="68"/>
        <v>-2.0390723876407226</v>
      </c>
      <c r="I1113" s="2">
        <v>44942</v>
      </c>
      <c r="J1113" s="3">
        <f>IFERROR(VLOOKUP(I1113,$A$1:$G$1610,3,FALSE),J1112)</f>
        <v>19.489999999999998</v>
      </c>
      <c r="K1113" s="3">
        <f>IFERROR(VLOOKUP(I1113,$A$1:$G$1610,7,FALSE),K1112)</f>
        <v>-16.625873542705609</v>
      </c>
      <c r="L1113" s="5">
        <f t="shared" si="69"/>
        <v>1</v>
      </c>
    </row>
    <row r="1114" spans="1:12" x14ac:dyDescent="0.25">
      <c r="A1114" s="2">
        <v>45387</v>
      </c>
      <c r="B1114" s="3">
        <v>16.03</v>
      </c>
      <c r="C1114" s="3">
        <f t="shared" si="70"/>
        <v>16.03</v>
      </c>
      <c r="D1114" s="3">
        <v>5204.34</v>
      </c>
      <c r="E1114" s="3">
        <f t="shared" si="71"/>
        <v>5204.34</v>
      </c>
      <c r="F1114" s="3">
        <f>MAX($E$2:E1114)</f>
        <v>5254.35</v>
      </c>
      <c r="G1114" s="3">
        <f t="shared" si="68"/>
        <v>-0.95178280853007913</v>
      </c>
      <c r="I1114" s="2">
        <v>44943</v>
      </c>
      <c r="J1114" s="3">
        <f>IFERROR(VLOOKUP(I1114,$A$1:$G$1610,3,FALSE),J1113)</f>
        <v>19.36</v>
      </c>
      <c r="K1114" s="3">
        <f>IFERROR(VLOOKUP(I1114,$A$1:$G$1610,7,FALSE),K1113)</f>
        <v>-16.795161532431589</v>
      </c>
      <c r="L1114" s="5">
        <f t="shared" si="69"/>
        <v>1</v>
      </c>
    </row>
    <row r="1115" spans="1:12" x14ac:dyDescent="0.25">
      <c r="A1115" s="2">
        <v>45390</v>
      </c>
      <c r="B1115" s="3">
        <v>15.19</v>
      </c>
      <c r="C1115" s="3">
        <f t="shared" si="70"/>
        <v>15.19</v>
      </c>
      <c r="D1115" s="3">
        <v>5202.3900000000003</v>
      </c>
      <c r="E1115" s="3">
        <f t="shared" si="71"/>
        <v>5202.3900000000003</v>
      </c>
      <c r="F1115" s="3">
        <f>MAX($E$2:E1115)</f>
        <v>5254.35</v>
      </c>
      <c r="G1115" s="3">
        <f t="shared" si="68"/>
        <v>-0.98889491564132637</v>
      </c>
      <c r="I1115" s="2">
        <v>44944</v>
      </c>
      <c r="J1115" s="3">
        <f>IFERROR(VLOOKUP(I1115,$A$1:$G$1610,3,FALSE),J1114)</f>
        <v>20.34</v>
      </c>
      <c r="K1115" s="3">
        <f>IFERROR(VLOOKUP(I1115,$A$1:$G$1610,7,FALSE),K1114)</f>
        <v>-18.090047867638479</v>
      </c>
      <c r="L1115" s="5">
        <f t="shared" si="69"/>
        <v>1</v>
      </c>
    </row>
    <row r="1116" spans="1:12" x14ac:dyDescent="0.25">
      <c r="A1116" s="2">
        <v>45391</v>
      </c>
      <c r="B1116" s="3">
        <v>14.98</v>
      </c>
      <c r="C1116" s="3">
        <f t="shared" si="70"/>
        <v>14.98</v>
      </c>
      <c r="D1116" s="3">
        <v>5209.91</v>
      </c>
      <c r="E1116" s="3">
        <f t="shared" si="71"/>
        <v>5209.91</v>
      </c>
      <c r="F1116" s="3">
        <f>MAX($E$2:E1116)</f>
        <v>5254.35</v>
      </c>
      <c r="G1116" s="3">
        <f t="shared" si="68"/>
        <v>-0.8457754051405123</v>
      </c>
      <c r="I1116" s="2">
        <v>44945</v>
      </c>
      <c r="J1116" s="3">
        <f>IFERROR(VLOOKUP(I1116,$A$1:$G$1610,3,FALSE),J1115)</f>
        <v>20.52</v>
      </c>
      <c r="K1116" s="3">
        <f>IFERROR(VLOOKUP(I1116,$A$1:$G$1610,7,FALSE),K1115)</f>
        <v>-18.715704588288283</v>
      </c>
      <c r="L1116" s="5">
        <f t="shared" si="69"/>
        <v>1</v>
      </c>
    </row>
    <row r="1117" spans="1:12" x14ac:dyDescent="0.25">
      <c r="A1117" s="2">
        <v>45392</v>
      </c>
      <c r="B1117" s="3">
        <v>15.8</v>
      </c>
      <c r="C1117" s="3">
        <f t="shared" si="70"/>
        <v>15.8</v>
      </c>
      <c r="D1117" s="3">
        <v>5160.6400000000003</v>
      </c>
      <c r="E1117" s="3">
        <f t="shared" si="71"/>
        <v>5160.6400000000003</v>
      </c>
      <c r="F1117" s="3">
        <f>MAX($E$2:E1117)</f>
        <v>5254.35</v>
      </c>
      <c r="G1117" s="3">
        <f t="shared" si="68"/>
        <v>-1.7834746448181036</v>
      </c>
      <c r="I1117" s="2">
        <v>44946</v>
      </c>
      <c r="J1117" s="3">
        <f>IFERROR(VLOOKUP(I1117,$A$1:$G$1610,3,FALSE),J1116)</f>
        <v>19.850000000000001</v>
      </c>
      <c r="K1117" s="3">
        <f>IFERROR(VLOOKUP(I1117,$A$1:$G$1610,7,FALSE),K1116)</f>
        <v>-17.177935854028725</v>
      </c>
      <c r="L1117" s="5">
        <f t="shared" si="69"/>
        <v>1</v>
      </c>
    </row>
    <row r="1118" spans="1:12" x14ac:dyDescent="0.25">
      <c r="A1118" s="2">
        <v>45393</v>
      </c>
      <c r="B1118" s="3">
        <v>14.91</v>
      </c>
      <c r="C1118" s="3">
        <f t="shared" si="70"/>
        <v>14.91</v>
      </c>
      <c r="D1118" s="3">
        <v>5199.0600000000004</v>
      </c>
      <c r="E1118" s="3">
        <f t="shared" si="71"/>
        <v>5199.0600000000004</v>
      </c>
      <c r="F1118" s="3">
        <f>MAX($E$2:E1118)</f>
        <v>5254.35</v>
      </c>
      <c r="G1118" s="3">
        <f t="shared" si="68"/>
        <v>-1.0522709754774606</v>
      </c>
      <c r="I1118" s="2">
        <v>44947</v>
      </c>
      <c r="J1118" s="3">
        <f>IFERROR(VLOOKUP(I1118,$A$1:$G$1610,3,FALSE),J1117)</f>
        <v>19.850000000000001</v>
      </c>
      <c r="K1118" s="3">
        <f>IFERROR(VLOOKUP(I1118,$A$1:$G$1610,7,FALSE),K1117)</f>
        <v>-17.177935854028725</v>
      </c>
      <c r="L1118" s="5">
        <f t="shared" si="69"/>
        <v>1</v>
      </c>
    </row>
    <row r="1119" spans="1:12" x14ac:dyDescent="0.25">
      <c r="A1119" s="2">
        <v>45394</v>
      </c>
      <c r="B1119" s="3">
        <v>17.309999999999999</v>
      </c>
      <c r="C1119" s="3">
        <f t="shared" si="70"/>
        <v>17.309999999999999</v>
      </c>
      <c r="D1119" s="3">
        <v>5123.41</v>
      </c>
      <c r="E1119" s="3">
        <f t="shared" si="71"/>
        <v>5123.41</v>
      </c>
      <c r="F1119" s="3">
        <f>MAX($E$2:E1119)</f>
        <v>5254.35</v>
      </c>
      <c r="G1119" s="3">
        <f t="shared" si="68"/>
        <v>-2.4920304128959909</v>
      </c>
      <c r="I1119" s="2">
        <v>44948</v>
      </c>
      <c r="J1119" s="3">
        <f>IFERROR(VLOOKUP(I1119,$A$1:$G$1610,3,FALSE),J1118)</f>
        <v>19.850000000000001</v>
      </c>
      <c r="K1119" s="3">
        <f>IFERROR(VLOOKUP(I1119,$A$1:$G$1610,7,FALSE),K1118)</f>
        <v>-17.177935854028725</v>
      </c>
      <c r="L1119" s="5">
        <f t="shared" si="69"/>
        <v>1</v>
      </c>
    </row>
    <row r="1120" spans="1:12" x14ac:dyDescent="0.25">
      <c r="A1120" s="2">
        <v>45397</v>
      </c>
      <c r="B1120" s="3">
        <v>19.23</v>
      </c>
      <c r="C1120" s="3">
        <f t="shared" si="70"/>
        <v>19.23</v>
      </c>
      <c r="D1120" s="3">
        <v>5061.82</v>
      </c>
      <c r="E1120" s="3">
        <f t="shared" si="71"/>
        <v>5061.82</v>
      </c>
      <c r="F1120" s="3">
        <f>MAX($E$2:E1120)</f>
        <v>5254.35</v>
      </c>
      <c r="G1120" s="3">
        <f t="shared" si="68"/>
        <v>-3.6642020421174961</v>
      </c>
      <c r="I1120" s="2">
        <v>44949</v>
      </c>
      <c r="J1120" s="3">
        <f>IFERROR(VLOOKUP(I1120,$A$1:$G$1610,3,FALSE),J1119)</f>
        <v>19.809999999999999</v>
      </c>
      <c r="K1120" s="3">
        <f>IFERROR(VLOOKUP(I1120,$A$1:$G$1610,7,FALSE),K1119)</f>
        <v>-16.193897293060033</v>
      </c>
      <c r="L1120" s="5">
        <f t="shared" si="69"/>
        <v>1</v>
      </c>
    </row>
    <row r="1121" spans="1:12" x14ac:dyDescent="0.25">
      <c r="A1121" s="2">
        <v>45398</v>
      </c>
      <c r="B1121" s="3">
        <v>18.399999999999999</v>
      </c>
      <c r="C1121" s="3">
        <f t="shared" si="70"/>
        <v>18.399999999999999</v>
      </c>
      <c r="D1121" s="3">
        <v>5051.41</v>
      </c>
      <c r="E1121" s="3">
        <f t="shared" si="71"/>
        <v>5051.41</v>
      </c>
      <c r="F1121" s="3">
        <f>MAX($E$2:E1121)</f>
        <v>5254.35</v>
      </c>
      <c r="G1121" s="3">
        <f t="shared" si="68"/>
        <v>-3.8623235985421696</v>
      </c>
      <c r="I1121" s="2">
        <v>44950</v>
      </c>
      <c r="J1121" s="3">
        <f>IFERROR(VLOOKUP(I1121,$A$1:$G$1610,3,FALSE),J1120)</f>
        <v>19.2</v>
      </c>
      <c r="K1121" s="3">
        <f>IFERROR(VLOOKUP(I1121,$A$1:$G$1610,7,FALSE),K1120)</f>
        <v>-16.25352335840687</v>
      </c>
      <c r="L1121" s="5">
        <f t="shared" si="69"/>
        <v>1</v>
      </c>
    </row>
    <row r="1122" spans="1:12" x14ac:dyDescent="0.25">
      <c r="A1122" s="2">
        <v>45399</v>
      </c>
      <c r="B1122" s="3">
        <v>18.21</v>
      </c>
      <c r="C1122" s="3">
        <f t="shared" si="70"/>
        <v>18.21</v>
      </c>
      <c r="D1122" s="3">
        <v>5022.21</v>
      </c>
      <c r="E1122" s="3">
        <f t="shared" si="71"/>
        <v>5022.21</v>
      </c>
      <c r="F1122" s="3">
        <f>MAX($E$2:E1122)</f>
        <v>5254.35</v>
      </c>
      <c r="G1122" s="3">
        <f t="shared" si="68"/>
        <v>-4.418053612720894</v>
      </c>
      <c r="I1122" s="2">
        <v>44951</v>
      </c>
      <c r="J1122" s="3">
        <f>IFERROR(VLOOKUP(I1122,$A$1:$G$1610,3,FALSE),J1121)</f>
        <v>19.079999999999998</v>
      </c>
      <c r="K1122" s="3">
        <f>IFERROR(VLOOKUP(I1122,$A$1:$G$1610,7,FALSE),K1121)</f>
        <v>-16.268742598862531</v>
      </c>
      <c r="L1122" s="5">
        <f t="shared" si="69"/>
        <v>1</v>
      </c>
    </row>
    <row r="1123" spans="1:12" x14ac:dyDescent="0.25">
      <c r="A1123" s="2">
        <v>45400</v>
      </c>
      <c r="B1123" s="3">
        <v>18</v>
      </c>
      <c r="C1123" s="3">
        <f t="shared" si="70"/>
        <v>18</v>
      </c>
      <c r="D1123" s="3">
        <v>5011.12</v>
      </c>
      <c r="E1123" s="3">
        <f t="shared" si="71"/>
        <v>5011.12</v>
      </c>
      <c r="F1123" s="3">
        <f>MAX($E$2:E1123)</f>
        <v>5254.35</v>
      </c>
      <c r="G1123" s="3">
        <f t="shared" si="68"/>
        <v>-4.6291168270100105</v>
      </c>
      <c r="I1123" s="2">
        <v>44952</v>
      </c>
      <c r="J1123" s="3">
        <f>IFERROR(VLOOKUP(I1123,$A$1:$G$1610,3,FALSE),J1122)</f>
        <v>18.73</v>
      </c>
      <c r="K1123" s="3">
        <f>IFERROR(VLOOKUP(I1123,$A$1:$G$1610,7,FALSE),K1122)</f>
        <v>-15.347040378938251</v>
      </c>
      <c r="L1123" s="5">
        <f t="shared" si="69"/>
        <v>1</v>
      </c>
    </row>
    <row r="1124" spans="1:12" x14ac:dyDescent="0.25">
      <c r="A1124" s="2">
        <v>45401</v>
      </c>
      <c r="B1124" s="3">
        <v>18.71</v>
      </c>
      <c r="C1124" s="3">
        <f t="shared" si="70"/>
        <v>18.71</v>
      </c>
      <c r="D1124" s="3">
        <v>4967.2299999999996</v>
      </c>
      <c r="E1124" s="3">
        <f t="shared" si="71"/>
        <v>4967.2299999999996</v>
      </c>
      <c r="F1124" s="3">
        <f>MAX($E$2:E1124)</f>
        <v>5254.35</v>
      </c>
      <c r="G1124" s="3">
        <f t="shared" si="68"/>
        <v>-5.4644247147601659</v>
      </c>
      <c r="I1124" s="2">
        <v>44953</v>
      </c>
      <c r="J1124" s="3">
        <f>IFERROR(VLOOKUP(I1124,$A$1:$G$1610,3,FALSE),J1123)</f>
        <v>18.510000000000002</v>
      </c>
      <c r="K1124" s="3">
        <f>IFERROR(VLOOKUP(I1124,$A$1:$G$1610,7,FALSE),K1123)</f>
        <v>-15.13584735727272</v>
      </c>
      <c r="L1124" s="5">
        <f t="shared" si="69"/>
        <v>1</v>
      </c>
    </row>
    <row r="1125" spans="1:12" x14ac:dyDescent="0.25">
      <c r="A1125" s="2">
        <v>45404</v>
      </c>
      <c r="B1125" s="3">
        <v>16.940000000000001</v>
      </c>
      <c r="C1125" s="3">
        <f t="shared" si="70"/>
        <v>16.940000000000001</v>
      </c>
      <c r="D1125" s="3">
        <v>5010.6000000000004</v>
      </c>
      <c r="E1125" s="3">
        <f t="shared" si="71"/>
        <v>5010.6000000000004</v>
      </c>
      <c r="F1125" s="3">
        <f>MAX($E$2:E1125)</f>
        <v>5254.35</v>
      </c>
      <c r="G1125" s="3">
        <f t="shared" si="68"/>
        <v>-4.6390133889063341</v>
      </c>
      <c r="I1125" s="2">
        <v>44954</v>
      </c>
      <c r="J1125" s="3">
        <f>IFERROR(VLOOKUP(I1125,$A$1:$G$1610,3,FALSE),J1124)</f>
        <v>18.510000000000002</v>
      </c>
      <c r="K1125" s="3">
        <f>IFERROR(VLOOKUP(I1125,$A$1:$G$1610,7,FALSE),K1124)</f>
        <v>-15.13584735727272</v>
      </c>
      <c r="L1125" s="5">
        <f t="shared" si="69"/>
        <v>1</v>
      </c>
    </row>
    <row r="1126" spans="1:12" x14ac:dyDescent="0.25">
      <c r="A1126" s="2">
        <v>45405</v>
      </c>
      <c r="B1126" s="3">
        <v>15.69</v>
      </c>
      <c r="C1126" s="3">
        <f t="shared" si="70"/>
        <v>15.69</v>
      </c>
      <c r="D1126" s="3">
        <v>5070.55</v>
      </c>
      <c r="E1126" s="3">
        <f t="shared" si="71"/>
        <v>5070.55</v>
      </c>
      <c r="F1126" s="3">
        <f>MAX($E$2:E1126)</f>
        <v>5254.35</v>
      </c>
      <c r="G1126" s="3">
        <f t="shared" si="68"/>
        <v>-3.498053993357888</v>
      </c>
      <c r="I1126" s="2">
        <v>44955</v>
      </c>
      <c r="J1126" s="3">
        <f>IFERROR(VLOOKUP(I1126,$A$1:$G$1610,3,FALSE),J1125)</f>
        <v>18.510000000000002</v>
      </c>
      <c r="K1126" s="3">
        <f>IFERROR(VLOOKUP(I1126,$A$1:$G$1610,7,FALSE),K1125)</f>
        <v>-15.13584735727272</v>
      </c>
      <c r="L1126" s="5">
        <f t="shared" si="69"/>
        <v>1</v>
      </c>
    </row>
    <row r="1127" spans="1:12" x14ac:dyDescent="0.25">
      <c r="A1127" s="2">
        <v>45406</v>
      </c>
      <c r="B1127" s="3">
        <v>15.97</v>
      </c>
      <c r="C1127" s="3">
        <f t="shared" si="70"/>
        <v>15.97</v>
      </c>
      <c r="D1127" s="3">
        <v>5071.63</v>
      </c>
      <c r="E1127" s="3">
        <f t="shared" si="71"/>
        <v>5071.63</v>
      </c>
      <c r="F1127" s="3">
        <f>MAX($E$2:E1127)</f>
        <v>5254.35</v>
      </c>
      <c r="G1127" s="3">
        <f t="shared" si="68"/>
        <v>-3.477499595573196</v>
      </c>
      <c r="I1127" s="2">
        <v>44956</v>
      </c>
      <c r="J1127" s="3">
        <f>IFERROR(VLOOKUP(I1127,$A$1:$G$1610,3,FALSE),J1126)</f>
        <v>19.940000000000001</v>
      </c>
      <c r="K1127" s="3">
        <f>IFERROR(VLOOKUP(I1127,$A$1:$G$1610,7,FALSE),K1126)</f>
        <v>-16.236427773237494</v>
      </c>
      <c r="L1127" s="5">
        <f t="shared" si="69"/>
        <v>1</v>
      </c>
    </row>
    <row r="1128" spans="1:12" x14ac:dyDescent="0.25">
      <c r="A1128" s="2">
        <v>45407</v>
      </c>
      <c r="B1128" s="3">
        <v>15.37</v>
      </c>
      <c r="C1128" s="3">
        <f t="shared" si="70"/>
        <v>15.37</v>
      </c>
      <c r="D1128" s="3">
        <v>5048.42</v>
      </c>
      <c r="E1128" s="3">
        <f t="shared" si="71"/>
        <v>5048.42</v>
      </c>
      <c r="F1128" s="3">
        <f>MAX($E$2:E1128)</f>
        <v>5254.35</v>
      </c>
      <c r="G1128" s="3">
        <f t="shared" si="68"/>
        <v>-3.9192288294460829</v>
      </c>
      <c r="I1128" s="2">
        <v>44957</v>
      </c>
      <c r="J1128" s="3">
        <f>IFERROR(VLOOKUP(I1128,$A$1:$G$1610,3,FALSE),J1127)</f>
        <v>19.399999999999999</v>
      </c>
      <c r="K1128" s="3">
        <f>IFERROR(VLOOKUP(I1128,$A$1:$G$1610,7,FALSE),K1127)</f>
        <v>-15.009923778708083</v>
      </c>
      <c r="L1128" s="5">
        <f t="shared" si="69"/>
        <v>1</v>
      </c>
    </row>
    <row r="1129" spans="1:12" x14ac:dyDescent="0.25">
      <c r="A1129" s="2">
        <v>45408</v>
      </c>
      <c r="B1129" s="3">
        <v>15.03</v>
      </c>
      <c r="C1129" s="3">
        <f t="shared" si="70"/>
        <v>15.03</v>
      </c>
      <c r="D1129" s="3">
        <v>5099.96</v>
      </c>
      <c r="E1129" s="3">
        <f t="shared" si="71"/>
        <v>5099.96</v>
      </c>
      <c r="F1129" s="3">
        <f>MAX($E$2:E1129)</f>
        <v>5254.35</v>
      </c>
      <c r="G1129" s="3">
        <f t="shared" si="68"/>
        <v>-2.9383272907210278</v>
      </c>
      <c r="I1129" s="2">
        <v>44958</v>
      </c>
      <c r="J1129" s="3">
        <f>IFERROR(VLOOKUP(I1129,$A$1:$G$1610,3,FALSE),J1128)</f>
        <v>17.87</v>
      </c>
      <c r="K1129" s="3">
        <f>IFERROR(VLOOKUP(I1129,$A$1:$G$1610,7,FALSE),K1128)</f>
        <v>-14.121578798138673</v>
      </c>
      <c r="L1129" s="5">
        <f t="shared" si="69"/>
        <v>1</v>
      </c>
    </row>
    <row r="1130" spans="1:12" x14ac:dyDescent="0.25">
      <c r="A1130" s="2">
        <v>45411</v>
      </c>
      <c r="B1130" s="3">
        <v>14.67</v>
      </c>
      <c r="C1130" s="3">
        <f t="shared" si="70"/>
        <v>14.67</v>
      </c>
      <c r="D1130" s="3">
        <v>5116.17</v>
      </c>
      <c r="E1130" s="3">
        <f t="shared" si="71"/>
        <v>5116.17</v>
      </c>
      <c r="F1130" s="3">
        <f>MAX($E$2:E1130)</f>
        <v>5254.35</v>
      </c>
      <c r="G1130" s="3">
        <f t="shared" si="68"/>
        <v>-2.6298210054526301</v>
      </c>
      <c r="I1130" s="2">
        <v>44959</v>
      </c>
      <c r="J1130" s="3">
        <f>IFERROR(VLOOKUP(I1130,$A$1:$G$1610,3,FALSE),J1129)</f>
        <v>18.73</v>
      </c>
      <c r="K1130" s="3">
        <f>IFERROR(VLOOKUP(I1130,$A$1:$G$1610,7,FALSE),K1129)</f>
        <v>-12.85921577130277</v>
      </c>
      <c r="L1130" s="5">
        <f t="shared" si="69"/>
        <v>1</v>
      </c>
    </row>
    <row r="1131" spans="1:12" x14ac:dyDescent="0.25">
      <c r="A1131" s="2">
        <v>45412</v>
      </c>
      <c r="B1131" s="3">
        <v>15.65</v>
      </c>
      <c r="C1131" s="3">
        <f t="shared" si="70"/>
        <v>15.65</v>
      </c>
      <c r="D1131" s="3">
        <v>5035.6899999999996</v>
      </c>
      <c r="E1131" s="3">
        <f t="shared" si="71"/>
        <v>5035.6899999999996</v>
      </c>
      <c r="F1131" s="3">
        <f>MAX($E$2:E1131)</f>
        <v>5254.35</v>
      </c>
      <c r="G1131" s="3">
        <f t="shared" si="68"/>
        <v>-4.1615042774082571</v>
      </c>
      <c r="I1131" s="2">
        <v>44960</v>
      </c>
      <c r="J1131" s="3">
        <f>IFERROR(VLOOKUP(I1131,$A$1:$G$1610,3,FALSE),J1130)</f>
        <v>18.329999999999998</v>
      </c>
      <c r="K1131" s="3">
        <f>IFERROR(VLOOKUP(I1131,$A$1:$G$1610,7,FALSE),K1130)</f>
        <v>-13.761529095852044</v>
      </c>
      <c r="L1131" s="5">
        <f t="shared" si="69"/>
        <v>1</v>
      </c>
    </row>
    <row r="1132" spans="1:12" x14ac:dyDescent="0.25">
      <c r="A1132" s="2">
        <v>45413</v>
      </c>
      <c r="B1132" s="3">
        <v>15.39</v>
      </c>
      <c r="C1132" s="3">
        <f t="shared" si="70"/>
        <v>15.39</v>
      </c>
      <c r="D1132" s="3">
        <v>5018.3900000000003</v>
      </c>
      <c r="E1132" s="3">
        <f t="shared" si="71"/>
        <v>5018.3900000000003</v>
      </c>
      <c r="F1132" s="3">
        <f>MAX($E$2:E1132)</f>
        <v>5254.35</v>
      </c>
      <c r="G1132" s="3">
        <f t="shared" si="68"/>
        <v>-4.4907552789593383</v>
      </c>
      <c r="I1132" s="2">
        <v>44961</v>
      </c>
      <c r="J1132" s="3">
        <f>IFERROR(VLOOKUP(I1132,$A$1:$G$1610,3,FALSE),J1131)</f>
        <v>18.329999999999998</v>
      </c>
      <c r="K1132" s="3">
        <f>IFERROR(VLOOKUP(I1132,$A$1:$G$1610,7,FALSE),K1131)</f>
        <v>-13.761529095852044</v>
      </c>
      <c r="L1132" s="5">
        <f t="shared" si="69"/>
        <v>1</v>
      </c>
    </row>
    <row r="1133" spans="1:12" x14ac:dyDescent="0.25">
      <c r="A1133" s="2">
        <v>45414</v>
      </c>
      <c r="B1133" s="3">
        <v>14.68</v>
      </c>
      <c r="C1133" s="3">
        <f t="shared" si="70"/>
        <v>14.68</v>
      </c>
      <c r="D1133" s="3">
        <v>5064.2</v>
      </c>
      <c r="E1133" s="3">
        <f t="shared" si="71"/>
        <v>5064.2</v>
      </c>
      <c r="F1133" s="3">
        <f>MAX($E$2:E1133)</f>
        <v>5254.35</v>
      </c>
      <c r="G1133" s="3">
        <f t="shared" si="68"/>
        <v>-3.6189062395919671</v>
      </c>
      <c r="I1133" s="2">
        <v>44962</v>
      </c>
      <c r="J1133" s="3">
        <f>IFERROR(VLOOKUP(I1133,$A$1:$G$1610,3,FALSE),J1132)</f>
        <v>18.329999999999998</v>
      </c>
      <c r="K1133" s="3">
        <f>IFERROR(VLOOKUP(I1133,$A$1:$G$1610,7,FALSE),K1132)</f>
        <v>-13.761529095852044</v>
      </c>
      <c r="L1133" s="5">
        <f t="shared" si="69"/>
        <v>1</v>
      </c>
    </row>
    <row r="1134" spans="1:12" x14ac:dyDescent="0.25">
      <c r="A1134" s="2">
        <v>45415</v>
      </c>
      <c r="B1134" s="3">
        <v>13.49</v>
      </c>
      <c r="C1134" s="3">
        <f t="shared" si="70"/>
        <v>13.49</v>
      </c>
      <c r="D1134" s="3">
        <v>5127.79</v>
      </c>
      <c r="E1134" s="3">
        <f t="shared" si="71"/>
        <v>5127.79</v>
      </c>
      <c r="F1134" s="3">
        <f>MAX($E$2:E1134)</f>
        <v>5254.35</v>
      </c>
      <c r="G1134" s="3">
        <f t="shared" si="68"/>
        <v>-2.4086709107691799</v>
      </c>
      <c r="I1134" s="2">
        <v>44963</v>
      </c>
      <c r="J1134" s="3">
        <f>IFERROR(VLOOKUP(I1134,$A$1:$G$1610,3,FALSE),J1133)</f>
        <v>19.43</v>
      </c>
      <c r="K1134" s="3">
        <f>IFERROR(VLOOKUP(I1134,$A$1:$G$1610,7,FALSE),K1133)</f>
        <v>-14.291075270610612</v>
      </c>
      <c r="L1134" s="5">
        <f t="shared" si="69"/>
        <v>1</v>
      </c>
    </row>
    <row r="1135" spans="1:12" x14ac:dyDescent="0.25">
      <c r="A1135" s="2">
        <v>45418</v>
      </c>
      <c r="B1135" s="3">
        <v>13.49</v>
      </c>
      <c r="C1135" s="3">
        <f t="shared" si="70"/>
        <v>13.49</v>
      </c>
      <c r="D1135" s="3">
        <v>5180.74</v>
      </c>
      <c r="E1135" s="3">
        <f t="shared" si="71"/>
        <v>5180.74</v>
      </c>
      <c r="F1135" s="3">
        <f>MAX($E$2:E1135)</f>
        <v>5254.35</v>
      </c>
      <c r="G1135" s="3">
        <f t="shared" si="68"/>
        <v>-1.4009344638252226</v>
      </c>
      <c r="I1135" s="2">
        <v>44964</v>
      </c>
      <c r="J1135" s="3">
        <f>IFERROR(VLOOKUP(I1135,$A$1:$G$1610,3,FALSE),J1134)</f>
        <v>18.66</v>
      </c>
      <c r="K1135" s="3">
        <f>IFERROR(VLOOKUP(I1135,$A$1:$G$1610,7,FALSE),K1134)</f>
        <v>-13.187784578948254</v>
      </c>
      <c r="L1135" s="5">
        <f t="shared" si="69"/>
        <v>1</v>
      </c>
    </row>
    <row r="1136" spans="1:12" x14ac:dyDescent="0.25">
      <c r="A1136" s="2">
        <v>45419</v>
      </c>
      <c r="B1136" s="3">
        <v>13.23</v>
      </c>
      <c r="C1136" s="3">
        <f t="shared" si="70"/>
        <v>13.23</v>
      </c>
      <c r="D1136" s="3">
        <v>5187.7</v>
      </c>
      <c r="E1136" s="3">
        <f t="shared" si="71"/>
        <v>5187.7</v>
      </c>
      <c r="F1136" s="3">
        <f>MAX($E$2:E1136)</f>
        <v>5254.35</v>
      </c>
      <c r="G1136" s="3">
        <f t="shared" si="68"/>
        <v>-1.2684727892127579</v>
      </c>
      <c r="I1136" s="2">
        <v>44965</v>
      </c>
      <c r="J1136" s="3">
        <f>IFERROR(VLOOKUP(I1136,$A$1:$G$1610,3,FALSE),J1135)</f>
        <v>19.63</v>
      </c>
      <c r="K1136" s="3">
        <f>IFERROR(VLOOKUP(I1136,$A$1:$G$1610,7,FALSE),K1135)</f>
        <v>-14.149723968844352</v>
      </c>
      <c r="L1136" s="5">
        <f t="shared" si="69"/>
        <v>1</v>
      </c>
    </row>
    <row r="1137" spans="1:12" x14ac:dyDescent="0.25">
      <c r="A1137" s="2">
        <v>45420</v>
      </c>
      <c r="B1137" s="3">
        <v>13</v>
      </c>
      <c r="C1137" s="3">
        <f t="shared" si="70"/>
        <v>13</v>
      </c>
      <c r="D1137" s="3">
        <v>5187.67</v>
      </c>
      <c r="E1137" s="3">
        <f t="shared" si="71"/>
        <v>5187.67</v>
      </c>
      <c r="F1137" s="3">
        <f>MAX($E$2:E1137)</f>
        <v>5254.35</v>
      </c>
      <c r="G1137" s="3">
        <f t="shared" si="68"/>
        <v>-1.2690437447067722</v>
      </c>
      <c r="I1137" s="2">
        <v>44966</v>
      </c>
      <c r="J1137" s="3">
        <f>IFERROR(VLOOKUP(I1137,$A$1:$G$1610,3,FALSE),J1136)</f>
        <v>20.71</v>
      </c>
      <c r="K1137" s="3">
        <f>IFERROR(VLOOKUP(I1137,$A$1:$G$1610,7,FALSE),K1136)</f>
        <v>-14.907767233183788</v>
      </c>
      <c r="L1137" s="5">
        <f t="shared" si="69"/>
        <v>1</v>
      </c>
    </row>
    <row r="1138" spans="1:12" x14ac:dyDescent="0.25">
      <c r="A1138" s="2">
        <v>45421</v>
      </c>
      <c r="B1138" s="3">
        <v>12.69</v>
      </c>
      <c r="C1138" s="3">
        <f t="shared" si="70"/>
        <v>12.69</v>
      </c>
      <c r="D1138" s="3">
        <v>5214.08</v>
      </c>
      <c r="E1138" s="3">
        <f t="shared" si="71"/>
        <v>5214.08</v>
      </c>
      <c r="F1138" s="3">
        <f>MAX($E$2:E1138)</f>
        <v>5254.35</v>
      </c>
      <c r="G1138" s="3">
        <f t="shared" si="68"/>
        <v>-0.76641259147183638</v>
      </c>
      <c r="I1138" s="2">
        <v>44967</v>
      </c>
      <c r="J1138" s="3">
        <f>IFERROR(VLOOKUP(I1138,$A$1:$G$1610,3,FALSE),J1137)</f>
        <v>20.53</v>
      </c>
      <c r="K1138" s="3">
        <f>IFERROR(VLOOKUP(I1138,$A$1:$G$1610,7,FALSE),K1137)</f>
        <v>-14.720966692796511</v>
      </c>
      <c r="L1138" s="5">
        <f t="shared" si="69"/>
        <v>1</v>
      </c>
    </row>
    <row r="1139" spans="1:12" x14ac:dyDescent="0.25">
      <c r="A1139" s="2">
        <v>45422</v>
      </c>
      <c r="B1139" s="3">
        <v>12.55</v>
      </c>
      <c r="C1139" s="3">
        <f t="shared" si="70"/>
        <v>12.55</v>
      </c>
      <c r="D1139" s="3">
        <v>5222.68</v>
      </c>
      <c r="E1139" s="3">
        <f t="shared" si="71"/>
        <v>5222.68</v>
      </c>
      <c r="F1139" s="3">
        <f>MAX($E$2:E1139)</f>
        <v>5254.35</v>
      </c>
      <c r="G1139" s="3">
        <f t="shared" si="68"/>
        <v>-0.60273868318631363</v>
      </c>
      <c r="I1139" s="2">
        <v>44968</v>
      </c>
      <c r="J1139" s="3">
        <f>IFERROR(VLOOKUP(I1139,$A$1:$G$1610,3,FALSE),J1138)</f>
        <v>20.53</v>
      </c>
      <c r="K1139" s="3">
        <f>IFERROR(VLOOKUP(I1139,$A$1:$G$1610,7,FALSE),K1138)</f>
        <v>-14.720966692796511</v>
      </c>
      <c r="L1139" s="5">
        <f t="shared" si="69"/>
        <v>1</v>
      </c>
    </row>
    <row r="1140" spans="1:12" x14ac:dyDescent="0.25">
      <c r="A1140" s="2">
        <v>45425</v>
      </c>
      <c r="B1140" s="3">
        <v>13.6</v>
      </c>
      <c r="C1140" s="3">
        <f t="shared" si="70"/>
        <v>13.6</v>
      </c>
      <c r="D1140" s="3">
        <v>5221.42</v>
      </c>
      <c r="E1140" s="3">
        <f t="shared" si="71"/>
        <v>5221.42</v>
      </c>
      <c r="F1140" s="3">
        <f>MAX($E$2:E1140)</f>
        <v>5254.35</v>
      </c>
      <c r="G1140" s="3">
        <f t="shared" si="68"/>
        <v>-0.62671881393512596</v>
      </c>
      <c r="I1140" s="2">
        <v>44969</v>
      </c>
      <c r="J1140" s="3">
        <f>IFERROR(VLOOKUP(I1140,$A$1:$G$1610,3,FALSE),J1139)</f>
        <v>20.53</v>
      </c>
      <c r="K1140" s="3">
        <f>IFERROR(VLOOKUP(I1140,$A$1:$G$1610,7,FALSE),K1139)</f>
        <v>-14.720966692796511</v>
      </c>
      <c r="L1140" s="5">
        <f t="shared" si="69"/>
        <v>1</v>
      </c>
    </row>
    <row r="1141" spans="1:12" x14ac:dyDescent="0.25">
      <c r="A1141" s="2">
        <v>45426</v>
      </c>
      <c r="B1141" s="3">
        <v>13.42</v>
      </c>
      <c r="C1141" s="3">
        <f t="shared" si="70"/>
        <v>13.42</v>
      </c>
      <c r="D1141" s="3">
        <v>5246.68</v>
      </c>
      <c r="E1141" s="3">
        <f t="shared" si="71"/>
        <v>5246.68</v>
      </c>
      <c r="F1141" s="3">
        <f>MAX($E$2:E1141)</f>
        <v>5254.35</v>
      </c>
      <c r="G1141" s="3">
        <f t="shared" si="68"/>
        <v>-0.14597428797092071</v>
      </c>
      <c r="I1141" s="2">
        <v>44970</v>
      </c>
      <c r="J1141" s="3">
        <f>IFERROR(VLOOKUP(I1141,$A$1:$G$1610,3,FALSE),J1140)</f>
        <v>20.34</v>
      </c>
      <c r="K1141" s="3">
        <f>IFERROR(VLOOKUP(I1141,$A$1:$G$1610,7,FALSE),K1140)</f>
        <v>-13.744641993428633</v>
      </c>
      <c r="L1141" s="5">
        <f t="shared" si="69"/>
        <v>1</v>
      </c>
    </row>
    <row r="1142" spans="1:12" x14ac:dyDescent="0.25">
      <c r="A1142" s="2">
        <v>45427</v>
      </c>
      <c r="B1142" s="3">
        <v>12.45</v>
      </c>
      <c r="C1142" s="3">
        <f t="shared" si="70"/>
        <v>12.45</v>
      </c>
      <c r="D1142" s="3">
        <v>5308.15</v>
      </c>
      <c r="E1142" s="3">
        <f t="shared" si="71"/>
        <v>5308.15</v>
      </c>
      <c r="F1142" s="3">
        <f>MAX($E$2:E1142)</f>
        <v>5308.15</v>
      </c>
      <c r="G1142" s="3">
        <f t="shared" si="68"/>
        <v>0</v>
      </c>
      <c r="I1142" s="2">
        <v>44971</v>
      </c>
      <c r="J1142" s="3">
        <f>IFERROR(VLOOKUP(I1142,$A$1:$G$1610,3,FALSE),J1141)</f>
        <v>18.91</v>
      </c>
      <c r="K1142" s="3">
        <f>IFERROR(VLOOKUP(I1142,$A$1:$G$1610,7,FALSE),K1141)</f>
        <v>-13.76882599196091</v>
      </c>
      <c r="L1142" s="5">
        <f t="shared" si="69"/>
        <v>1</v>
      </c>
    </row>
    <row r="1143" spans="1:12" x14ac:dyDescent="0.25">
      <c r="A1143" s="2">
        <v>45428</v>
      </c>
      <c r="B1143" s="3">
        <v>12.42</v>
      </c>
      <c r="C1143" s="3">
        <f t="shared" si="70"/>
        <v>12.42</v>
      </c>
      <c r="D1143" s="3">
        <v>5297.1</v>
      </c>
      <c r="E1143" s="3">
        <f t="shared" si="71"/>
        <v>5297.1</v>
      </c>
      <c r="F1143" s="3">
        <f>MAX($E$2:E1143)</f>
        <v>5308.15</v>
      </c>
      <c r="G1143" s="3">
        <f t="shared" si="68"/>
        <v>-0.20817045486655941</v>
      </c>
      <c r="I1143" s="2">
        <v>44972</v>
      </c>
      <c r="J1143" s="3">
        <f>IFERROR(VLOOKUP(I1143,$A$1:$G$1610,3,FALSE),J1142)</f>
        <v>18.23</v>
      </c>
      <c r="K1143" s="3">
        <f>IFERROR(VLOOKUP(I1143,$A$1:$G$1610,7,FALSE),K1142)</f>
        <v>-13.529696282335674</v>
      </c>
      <c r="L1143" s="5">
        <f t="shared" si="69"/>
        <v>1</v>
      </c>
    </row>
    <row r="1144" spans="1:12" x14ac:dyDescent="0.25">
      <c r="A1144" s="2">
        <v>45429</v>
      </c>
      <c r="B1144" s="3">
        <v>11.99</v>
      </c>
      <c r="C1144" s="3">
        <f t="shared" si="70"/>
        <v>11.99</v>
      </c>
      <c r="D1144" s="3">
        <v>5303.27</v>
      </c>
      <c r="E1144" s="3">
        <f t="shared" si="71"/>
        <v>5303.27</v>
      </c>
      <c r="F1144" s="3">
        <f>MAX($E$2:E1144)</f>
        <v>5308.15</v>
      </c>
      <c r="G1144" s="3">
        <f t="shared" si="68"/>
        <v>-9.1934101334724905E-2</v>
      </c>
      <c r="I1144" s="2">
        <v>44973</v>
      </c>
      <c r="J1144" s="3">
        <f>IFERROR(VLOOKUP(I1144,$A$1:$G$1610,3,FALSE),J1143)</f>
        <v>20.170000000000002</v>
      </c>
      <c r="K1144" s="3">
        <f>IFERROR(VLOOKUP(I1144,$A$1:$G$1610,7,FALSE),K1143)</f>
        <v>-14.722009106526354</v>
      </c>
      <c r="L1144" s="5">
        <f t="shared" si="69"/>
        <v>1</v>
      </c>
    </row>
    <row r="1145" spans="1:12" x14ac:dyDescent="0.25">
      <c r="A1145" s="2">
        <v>45432</v>
      </c>
      <c r="B1145" s="3">
        <v>12.15</v>
      </c>
      <c r="C1145" s="3">
        <f t="shared" si="70"/>
        <v>12.15</v>
      </c>
      <c r="D1145" s="3">
        <v>5308.13</v>
      </c>
      <c r="E1145" s="3">
        <f t="shared" si="71"/>
        <v>5308.13</v>
      </c>
      <c r="F1145" s="3">
        <f>MAX($E$2:E1145)</f>
        <v>5308.15</v>
      </c>
      <c r="G1145" s="3">
        <f t="shared" si="68"/>
        <v>-3.767791038219919E-4</v>
      </c>
      <c r="I1145" s="2">
        <v>44974</v>
      </c>
      <c r="J1145" s="3">
        <f>IFERROR(VLOOKUP(I1145,$A$1:$G$1610,3,FALSE),J1144)</f>
        <v>20.02</v>
      </c>
      <c r="K1145" s="3">
        <f>IFERROR(VLOOKUP(I1145,$A$1:$G$1610,7,FALSE),K1144)</f>
        <v>-14.958011574962061</v>
      </c>
      <c r="L1145" s="5">
        <f t="shared" si="69"/>
        <v>1</v>
      </c>
    </row>
    <row r="1146" spans="1:12" x14ac:dyDescent="0.25">
      <c r="A1146" s="2">
        <v>45433</v>
      </c>
      <c r="B1146" s="3">
        <v>11.86</v>
      </c>
      <c r="C1146" s="3">
        <f t="shared" si="70"/>
        <v>11.86</v>
      </c>
      <c r="D1146" s="3">
        <v>5321.41</v>
      </c>
      <c r="E1146" s="3">
        <f t="shared" si="71"/>
        <v>5321.41</v>
      </c>
      <c r="F1146" s="3">
        <f>MAX($E$2:E1146)</f>
        <v>5321.41</v>
      </c>
      <c r="G1146" s="3">
        <f t="shared" si="68"/>
        <v>0</v>
      </c>
      <c r="I1146" s="2">
        <v>44975</v>
      </c>
      <c r="J1146" s="3">
        <f>IFERROR(VLOOKUP(I1146,$A$1:$G$1610,3,FALSE),J1145)</f>
        <v>20.02</v>
      </c>
      <c r="K1146" s="3">
        <f>IFERROR(VLOOKUP(I1146,$A$1:$G$1610,7,FALSE),K1145)</f>
        <v>-14.958011574962061</v>
      </c>
      <c r="L1146" s="5">
        <f t="shared" si="69"/>
        <v>1</v>
      </c>
    </row>
    <row r="1147" spans="1:12" x14ac:dyDescent="0.25">
      <c r="A1147" s="2">
        <v>45434</v>
      </c>
      <c r="B1147" s="3">
        <v>12.29</v>
      </c>
      <c r="C1147" s="3">
        <f t="shared" si="70"/>
        <v>12.29</v>
      </c>
      <c r="D1147" s="3">
        <v>5307.01</v>
      </c>
      <c r="E1147" s="3">
        <f t="shared" si="71"/>
        <v>5307.01</v>
      </c>
      <c r="F1147" s="3">
        <f>MAX($E$2:E1147)</f>
        <v>5321.41</v>
      </c>
      <c r="G1147" s="3">
        <f t="shared" si="68"/>
        <v>-0.27060497123881894</v>
      </c>
      <c r="I1147" s="2">
        <v>44976</v>
      </c>
      <c r="J1147" s="3">
        <f>IFERROR(VLOOKUP(I1147,$A$1:$G$1610,3,FALSE),J1146)</f>
        <v>20.02</v>
      </c>
      <c r="K1147" s="3">
        <f>IFERROR(VLOOKUP(I1147,$A$1:$G$1610,7,FALSE),K1146)</f>
        <v>-14.958011574962061</v>
      </c>
      <c r="L1147" s="5">
        <f t="shared" si="69"/>
        <v>1</v>
      </c>
    </row>
    <row r="1148" spans="1:12" x14ac:dyDescent="0.25">
      <c r="A1148" s="2">
        <v>45435</v>
      </c>
      <c r="B1148" s="3">
        <v>12.77</v>
      </c>
      <c r="C1148" s="3">
        <f t="shared" si="70"/>
        <v>12.77</v>
      </c>
      <c r="D1148" s="3">
        <v>5267.84</v>
      </c>
      <c r="E1148" s="3">
        <f t="shared" si="71"/>
        <v>5267.84</v>
      </c>
      <c r="F1148" s="3">
        <f>MAX($E$2:E1148)</f>
        <v>5321.41</v>
      </c>
      <c r="G1148" s="3">
        <f t="shared" si="68"/>
        <v>-1.0066880770322095</v>
      </c>
      <c r="I1148" s="2">
        <v>44977</v>
      </c>
      <c r="J1148" s="3">
        <f>IFERROR(VLOOKUP(I1148,$A$1:$G$1610,3,FALSE),J1147)</f>
        <v>21.23</v>
      </c>
      <c r="K1148" s="3">
        <f>IFERROR(VLOOKUP(I1148,$A$1:$G$1610,7,FALSE),K1147)</f>
        <v>-14.958011574962061</v>
      </c>
      <c r="L1148" s="5">
        <f t="shared" si="69"/>
        <v>1</v>
      </c>
    </row>
    <row r="1149" spans="1:12" x14ac:dyDescent="0.25">
      <c r="A1149" s="2">
        <v>45436</v>
      </c>
      <c r="B1149" s="3">
        <v>11.93</v>
      </c>
      <c r="C1149" s="3">
        <f t="shared" si="70"/>
        <v>11.93</v>
      </c>
      <c r="D1149" s="3">
        <v>5304.72</v>
      </c>
      <c r="E1149" s="3">
        <f t="shared" si="71"/>
        <v>5304.72</v>
      </c>
      <c r="F1149" s="3">
        <f>MAX($E$2:E1149)</f>
        <v>5321.41</v>
      </c>
      <c r="G1149" s="3">
        <f t="shared" si="68"/>
        <v>-0.31363867847054822</v>
      </c>
      <c r="I1149" s="2">
        <v>44978</v>
      </c>
      <c r="J1149" s="3">
        <f>IFERROR(VLOOKUP(I1149,$A$1:$G$1610,3,FALSE),J1148)</f>
        <v>22.87</v>
      </c>
      <c r="K1149" s="3">
        <f>IFERROR(VLOOKUP(I1149,$A$1:$G$1610,7,FALSE),K1148)</f>
        <v>-16.662358023249997</v>
      </c>
      <c r="L1149" s="5">
        <f t="shared" si="69"/>
        <v>1</v>
      </c>
    </row>
    <row r="1150" spans="1:12" x14ac:dyDescent="0.25">
      <c r="A1150" s="2">
        <v>45439</v>
      </c>
      <c r="B1150" s="3">
        <v>12.36</v>
      </c>
      <c r="C1150" s="3">
        <f t="shared" si="70"/>
        <v>12.36</v>
      </c>
      <c r="E1150" s="3">
        <f t="shared" si="71"/>
        <v>5304.72</v>
      </c>
      <c r="F1150" s="3">
        <f>MAX($E$2:E1150)</f>
        <v>5321.41</v>
      </c>
      <c r="G1150" s="3">
        <f t="shared" si="68"/>
        <v>-0.31363867847054822</v>
      </c>
      <c r="I1150" s="2">
        <v>44979</v>
      </c>
      <c r="J1150" s="3">
        <f>IFERROR(VLOOKUP(I1150,$A$1:$G$1610,3,FALSE),J1149)</f>
        <v>22.29</v>
      </c>
      <c r="K1150" s="3">
        <f>IFERROR(VLOOKUP(I1150,$A$1:$G$1610,7,FALSE),K1149)</f>
        <v>-16.793493670463835</v>
      </c>
      <c r="L1150" s="5">
        <f t="shared" si="69"/>
        <v>1</v>
      </c>
    </row>
    <row r="1151" spans="1:12" x14ac:dyDescent="0.25">
      <c r="A1151" s="2">
        <v>45440</v>
      </c>
      <c r="B1151" s="3">
        <v>12.92</v>
      </c>
      <c r="C1151" s="3">
        <f t="shared" si="70"/>
        <v>12.92</v>
      </c>
      <c r="D1151" s="3">
        <v>5306.04</v>
      </c>
      <c r="E1151" s="3">
        <f t="shared" si="71"/>
        <v>5306.04</v>
      </c>
      <c r="F1151" s="3">
        <f>MAX($E$2:E1151)</f>
        <v>5321.41</v>
      </c>
      <c r="G1151" s="3">
        <f t="shared" si="68"/>
        <v>-0.28883322277366136</v>
      </c>
      <c r="I1151" s="2">
        <v>44980</v>
      </c>
      <c r="J1151" s="3">
        <f>IFERROR(VLOOKUP(I1151,$A$1:$G$1610,3,FALSE),J1150)</f>
        <v>21.14</v>
      </c>
      <c r="K1151" s="3">
        <f>IFERROR(VLOOKUP(I1151,$A$1:$G$1610,7,FALSE),K1150)</f>
        <v>-16.350050869790021</v>
      </c>
      <c r="L1151" s="5">
        <f t="shared" si="69"/>
        <v>1</v>
      </c>
    </row>
    <row r="1152" spans="1:12" x14ac:dyDescent="0.25">
      <c r="A1152" s="2">
        <v>45441</v>
      </c>
      <c r="B1152" s="3">
        <v>14.28</v>
      </c>
      <c r="C1152" s="3">
        <f t="shared" si="70"/>
        <v>14.28</v>
      </c>
      <c r="D1152" s="3">
        <v>5266.95</v>
      </c>
      <c r="E1152" s="3">
        <f t="shared" si="71"/>
        <v>5266.95</v>
      </c>
      <c r="F1152" s="3">
        <f>MAX($E$2:E1152)</f>
        <v>5321.41</v>
      </c>
      <c r="G1152" s="3">
        <f t="shared" si="68"/>
        <v>-1.0234129676157266</v>
      </c>
      <c r="I1152" s="2">
        <v>44981</v>
      </c>
      <c r="J1152" s="3">
        <f>IFERROR(VLOOKUP(I1152,$A$1:$G$1610,3,FALSE),J1151)</f>
        <v>21.67</v>
      </c>
      <c r="K1152" s="3">
        <f>IFERROR(VLOOKUP(I1152,$A$1:$G$1610,7,FALSE),K1151)</f>
        <v>-17.231515919742492</v>
      </c>
      <c r="L1152" s="5">
        <f t="shared" si="69"/>
        <v>1</v>
      </c>
    </row>
    <row r="1153" spans="1:12" x14ac:dyDescent="0.25">
      <c r="A1153" s="2">
        <v>45442</v>
      </c>
      <c r="B1153" s="3">
        <v>14.47</v>
      </c>
      <c r="C1153" s="3">
        <f t="shared" si="70"/>
        <v>14.47</v>
      </c>
      <c r="D1153" s="3">
        <v>5235.4799999999996</v>
      </c>
      <c r="E1153" s="3">
        <f t="shared" si="71"/>
        <v>5235.4799999999996</v>
      </c>
      <c r="F1153" s="3">
        <f>MAX($E$2:E1153)</f>
        <v>5321.41</v>
      </c>
      <c r="G1153" s="3">
        <f t="shared" si="68"/>
        <v>-1.6147975818439151</v>
      </c>
      <c r="I1153" s="2">
        <v>44982</v>
      </c>
      <c r="J1153" s="3">
        <f>IFERROR(VLOOKUP(I1153,$A$1:$G$1610,3,FALSE),J1152)</f>
        <v>21.67</v>
      </c>
      <c r="K1153" s="3">
        <f>IFERROR(VLOOKUP(I1153,$A$1:$G$1610,7,FALSE),K1152)</f>
        <v>-17.231515919742492</v>
      </c>
      <c r="L1153" s="5">
        <f t="shared" si="69"/>
        <v>1</v>
      </c>
    </row>
    <row r="1154" spans="1:12" x14ac:dyDescent="0.25">
      <c r="A1154" s="2">
        <v>45443</v>
      </c>
      <c r="B1154" s="3">
        <v>12.92</v>
      </c>
      <c r="C1154" s="3">
        <f t="shared" si="70"/>
        <v>12.92</v>
      </c>
      <c r="D1154" s="3">
        <v>5277.51</v>
      </c>
      <c r="E1154" s="3">
        <f t="shared" si="71"/>
        <v>5277.51</v>
      </c>
      <c r="F1154" s="3">
        <f>MAX($E$2:E1154)</f>
        <v>5321.41</v>
      </c>
      <c r="G1154" s="3">
        <f t="shared" ref="G1154:G1217" si="72">(E1154-F1154)/F1154*100</f>
        <v>-0.82496932204058016</v>
      </c>
      <c r="I1154" s="2">
        <v>44983</v>
      </c>
      <c r="J1154" s="3">
        <f>IFERROR(VLOOKUP(I1154,$A$1:$G$1610,3,FALSE),J1153)</f>
        <v>21.67</v>
      </c>
      <c r="K1154" s="3">
        <f>IFERROR(VLOOKUP(I1154,$A$1:$G$1610,7,FALSE),K1153)</f>
        <v>-17.231515919742492</v>
      </c>
      <c r="L1154" s="5">
        <f t="shared" ref="L1154:L1217" si="73">IF(OR(J1154&gt;=30,K1154&lt;-10),1,0)</f>
        <v>1</v>
      </c>
    </row>
    <row r="1155" spans="1:12" x14ac:dyDescent="0.25">
      <c r="A1155" s="2">
        <v>45446</v>
      </c>
      <c r="B1155" s="3">
        <v>13.11</v>
      </c>
      <c r="C1155" s="3">
        <f t="shared" ref="C1155:C1218" si="74">IF(B1155="",B1154,B1155)</f>
        <v>13.11</v>
      </c>
      <c r="D1155" s="3">
        <v>5283.4</v>
      </c>
      <c r="E1155" s="3">
        <f t="shared" si="71"/>
        <v>5283.4</v>
      </c>
      <c r="F1155" s="3">
        <f>MAX($E$2:E1155)</f>
        <v>5321.41</v>
      </c>
      <c r="G1155" s="3">
        <f t="shared" si="72"/>
        <v>-0.71428437199915473</v>
      </c>
      <c r="I1155" s="2">
        <v>44984</v>
      </c>
      <c r="J1155" s="3">
        <f>IFERROR(VLOOKUP(I1155,$A$1:$G$1610,3,FALSE),J1154)</f>
        <v>20.95</v>
      </c>
      <c r="K1155" s="3">
        <f>IFERROR(VLOOKUP(I1155,$A$1:$G$1610,7,FALSE),K1154)</f>
        <v>-16.977166969661603</v>
      </c>
      <c r="L1155" s="5">
        <f t="shared" si="73"/>
        <v>1</v>
      </c>
    </row>
    <row r="1156" spans="1:12" x14ac:dyDescent="0.25">
      <c r="A1156" s="2">
        <v>45447</v>
      </c>
      <c r="B1156" s="3">
        <v>13.16</v>
      </c>
      <c r="C1156" s="3">
        <f t="shared" si="74"/>
        <v>13.16</v>
      </c>
      <c r="D1156" s="3">
        <v>5291.34</v>
      </c>
      <c r="E1156" s="3">
        <f t="shared" si="71"/>
        <v>5291.34</v>
      </c>
      <c r="F1156" s="3">
        <f>MAX($E$2:E1156)</f>
        <v>5321.41</v>
      </c>
      <c r="G1156" s="3">
        <f t="shared" si="72"/>
        <v>-0.56507579757995918</v>
      </c>
      <c r="I1156" s="2">
        <v>44985</v>
      </c>
      <c r="J1156" s="3">
        <f>IFERROR(VLOOKUP(I1156,$A$1:$G$1610,3,FALSE),J1155)</f>
        <v>20.7</v>
      </c>
      <c r="K1156" s="3">
        <f>IFERROR(VLOOKUP(I1156,$A$1:$G$1610,7,FALSE),K1155)</f>
        <v>-17.229222609536841</v>
      </c>
      <c r="L1156" s="5">
        <f t="shared" si="73"/>
        <v>1</v>
      </c>
    </row>
    <row r="1157" spans="1:12" x14ac:dyDescent="0.25">
      <c r="A1157" s="2">
        <v>45448</v>
      </c>
      <c r="B1157" s="3">
        <v>12.63</v>
      </c>
      <c r="C1157" s="3">
        <f t="shared" si="74"/>
        <v>12.63</v>
      </c>
      <c r="D1157" s="3">
        <v>5354.03</v>
      </c>
      <c r="E1157" s="3">
        <f t="shared" ref="E1157:E1220" si="75">IF(D1157="",D1156,D1157)</f>
        <v>5354.03</v>
      </c>
      <c r="F1157" s="3">
        <f>MAX($E$2:E1157)</f>
        <v>5354.03</v>
      </c>
      <c r="G1157" s="3">
        <f t="shared" si="72"/>
        <v>0</v>
      </c>
      <c r="I1157" s="2">
        <v>44986</v>
      </c>
      <c r="J1157" s="3">
        <f>IFERROR(VLOOKUP(I1157,$A$1:$G$1610,3,FALSE),J1156)</f>
        <v>20.58</v>
      </c>
      <c r="K1157" s="3">
        <f>IFERROR(VLOOKUP(I1157,$A$1:$G$1610,7,FALSE),K1156)</f>
        <v>-17.620336240972705</v>
      </c>
      <c r="L1157" s="5">
        <f t="shared" si="73"/>
        <v>1</v>
      </c>
    </row>
    <row r="1158" spans="1:12" x14ac:dyDescent="0.25">
      <c r="A1158" s="2">
        <v>45449</v>
      </c>
      <c r="B1158" s="3">
        <v>12.58</v>
      </c>
      <c r="C1158" s="3">
        <f t="shared" si="74"/>
        <v>12.58</v>
      </c>
      <c r="D1158" s="3">
        <v>5352.96</v>
      </c>
      <c r="E1158" s="3">
        <f t="shared" si="75"/>
        <v>5352.96</v>
      </c>
      <c r="F1158" s="3">
        <f>MAX($E$2:E1158)</f>
        <v>5354.03</v>
      </c>
      <c r="G1158" s="3">
        <f t="shared" si="72"/>
        <v>-1.9984945919236705E-2</v>
      </c>
      <c r="I1158" s="2">
        <v>44987</v>
      </c>
      <c r="J1158" s="3">
        <f>IFERROR(VLOOKUP(I1158,$A$1:$G$1610,3,FALSE),J1157)</f>
        <v>19.59</v>
      </c>
      <c r="K1158" s="3">
        <f>IFERROR(VLOOKUP(I1158,$A$1:$G$1610,7,FALSE),K1157)</f>
        <v>-16.995721934052746</v>
      </c>
      <c r="L1158" s="5">
        <f t="shared" si="73"/>
        <v>1</v>
      </c>
    </row>
    <row r="1159" spans="1:12" x14ac:dyDescent="0.25">
      <c r="A1159" s="2">
        <v>45450</v>
      </c>
      <c r="B1159" s="3">
        <v>12.22</v>
      </c>
      <c r="C1159" s="3">
        <f t="shared" si="74"/>
        <v>12.22</v>
      </c>
      <c r="D1159" s="3">
        <v>5346.99</v>
      </c>
      <c r="E1159" s="3">
        <f t="shared" si="75"/>
        <v>5346.99</v>
      </c>
      <c r="F1159" s="3">
        <f>MAX($E$2:E1159)</f>
        <v>5354.03</v>
      </c>
      <c r="G1159" s="3">
        <f t="shared" si="72"/>
        <v>-0.13148973763688218</v>
      </c>
      <c r="I1159" s="2">
        <v>44988</v>
      </c>
      <c r="J1159" s="3">
        <f>IFERROR(VLOOKUP(I1159,$A$1:$G$1610,3,FALSE),J1158)</f>
        <v>18.489999999999998</v>
      </c>
      <c r="K1159" s="3">
        <f>IFERROR(VLOOKUP(I1159,$A$1:$G$1610,7,FALSE),K1158)</f>
        <v>-15.655386360224838</v>
      </c>
      <c r="L1159" s="5">
        <f t="shared" si="73"/>
        <v>1</v>
      </c>
    </row>
    <row r="1160" spans="1:12" x14ac:dyDescent="0.25">
      <c r="A1160" s="2">
        <v>45453</v>
      </c>
      <c r="B1160" s="3">
        <v>12.74</v>
      </c>
      <c r="C1160" s="3">
        <f t="shared" si="74"/>
        <v>12.74</v>
      </c>
      <c r="D1160" s="3">
        <v>5360.79</v>
      </c>
      <c r="E1160" s="3">
        <f t="shared" si="75"/>
        <v>5360.79</v>
      </c>
      <c r="F1160" s="3">
        <f>MAX($E$2:E1160)</f>
        <v>5360.79</v>
      </c>
      <c r="G1160" s="3">
        <f t="shared" si="72"/>
        <v>0</v>
      </c>
      <c r="I1160" s="2">
        <v>44989</v>
      </c>
      <c r="J1160" s="3">
        <f>IFERROR(VLOOKUP(I1160,$A$1:$G$1610,3,FALSE),J1159)</f>
        <v>18.489999999999998</v>
      </c>
      <c r="K1160" s="3">
        <f>IFERROR(VLOOKUP(I1160,$A$1:$G$1610,7,FALSE),K1159)</f>
        <v>-15.655386360224838</v>
      </c>
      <c r="L1160" s="5">
        <f t="shared" si="73"/>
        <v>1</v>
      </c>
    </row>
    <row r="1161" spans="1:12" x14ac:dyDescent="0.25">
      <c r="A1161" s="2">
        <v>45454</v>
      </c>
      <c r="B1161" s="3">
        <v>12.85</v>
      </c>
      <c r="C1161" s="3">
        <f t="shared" si="74"/>
        <v>12.85</v>
      </c>
      <c r="D1161" s="3">
        <v>5375.32</v>
      </c>
      <c r="E1161" s="3">
        <f t="shared" si="75"/>
        <v>5375.32</v>
      </c>
      <c r="F1161" s="3">
        <f>MAX($E$2:E1161)</f>
        <v>5375.32</v>
      </c>
      <c r="G1161" s="3">
        <f t="shared" si="72"/>
        <v>0</v>
      </c>
      <c r="I1161" s="2">
        <v>44990</v>
      </c>
      <c r="J1161" s="3">
        <f>IFERROR(VLOOKUP(I1161,$A$1:$G$1610,3,FALSE),J1160)</f>
        <v>18.489999999999998</v>
      </c>
      <c r="K1161" s="3">
        <f>IFERROR(VLOOKUP(I1161,$A$1:$G$1610,7,FALSE),K1160)</f>
        <v>-15.655386360224838</v>
      </c>
      <c r="L1161" s="5">
        <f t="shared" si="73"/>
        <v>1</v>
      </c>
    </row>
    <row r="1162" spans="1:12" x14ac:dyDescent="0.25">
      <c r="A1162" s="2">
        <v>45455</v>
      </c>
      <c r="B1162" s="3">
        <v>12.04</v>
      </c>
      <c r="C1162" s="3">
        <f t="shared" si="74"/>
        <v>12.04</v>
      </c>
      <c r="D1162" s="3">
        <v>5421.03</v>
      </c>
      <c r="E1162" s="3">
        <f t="shared" si="75"/>
        <v>5421.03</v>
      </c>
      <c r="F1162" s="3">
        <f>MAX($E$2:E1162)</f>
        <v>5421.03</v>
      </c>
      <c r="G1162" s="3">
        <f t="shared" si="72"/>
        <v>0</v>
      </c>
      <c r="I1162" s="2">
        <v>44991</v>
      </c>
      <c r="J1162" s="3">
        <f>IFERROR(VLOOKUP(I1162,$A$1:$G$1610,3,FALSE),J1161)</f>
        <v>18.61</v>
      </c>
      <c r="K1162" s="3">
        <f>IFERROR(VLOOKUP(I1162,$A$1:$G$1610,7,FALSE),K1161)</f>
        <v>-15.597428156845744</v>
      </c>
      <c r="L1162" s="5">
        <f t="shared" si="73"/>
        <v>1</v>
      </c>
    </row>
    <row r="1163" spans="1:12" x14ac:dyDescent="0.25">
      <c r="A1163" s="2">
        <v>45456</v>
      </c>
      <c r="B1163" s="3">
        <v>11.94</v>
      </c>
      <c r="C1163" s="3">
        <f t="shared" si="74"/>
        <v>11.94</v>
      </c>
      <c r="D1163" s="3">
        <v>5433.74</v>
      </c>
      <c r="E1163" s="3">
        <f t="shared" si="75"/>
        <v>5433.74</v>
      </c>
      <c r="F1163" s="3">
        <f>MAX($E$2:E1163)</f>
        <v>5433.74</v>
      </c>
      <c r="G1163" s="3">
        <f t="shared" si="72"/>
        <v>0</v>
      </c>
      <c r="I1163" s="2">
        <v>44992</v>
      </c>
      <c r="J1163" s="3">
        <f>IFERROR(VLOOKUP(I1163,$A$1:$G$1610,3,FALSE),J1162)</f>
        <v>19.59</v>
      </c>
      <c r="K1163" s="3">
        <f>IFERROR(VLOOKUP(I1163,$A$1:$G$1610,7,FALSE),K1162)</f>
        <v>-16.891063595576838</v>
      </c>
      <c r="L1163" s="5">
        <f t="shared" si="73"/>
        <v>1</v>
      </c>
    </row>
    <row r="1164" spans="1:12" x14ac:dyDescent="0.25">
      <c r="A1164" s="2">
        <v>45457</v>
      </c>
      <c r="B1164" s="3">
        <v>12.66</v>
      </c>
      <c r="C1164" s="3">
        <f t="shared" si="74"/>
        <v>12.66</v>
      </c>
      <c r="D1164" s="3">
        <v>5431.6</v>
      </c>
      <c r="E1164" s="3">
        <f t="shared" si="75"/>
        <v>5431.6</v>
      </c>
      <c r="F1164" s="3">
        <f>MAX($E$2:E1164)</f>
        <v>5433.74</v>
      </c>
      <c r="G1164" s="3">
        <f t="shared" si="72"/>
        <v>-3.9383555341245956E-2</v>
      </c>
      <c r="I1164" s="2">
        <v>44993</v>
      </c>
      <c r="J1164" s="3">
        <f>IFERROR(VLOOKUP(I1164,$A$1:$G$1610,3,FALSE),J1163)</f>
        <v>19.11</v>
      </c>
      <c r="K1164" s="3">
        <f>IFERROR(VLOOKUP(I1164,$A$1:$G$1610,7,FALSE),K1163)</f>
        <v>-16.773479326850911</v>
      </c>
      <c r="L1164" s="5">
        <f t="shared" si="73"/>
        <v>1</v>
      </c>
    </row>
    <row r="1165" spans="1:12" x14ac:dyDescent="0.25">
      <c r="A1165" s="2">
        <v>45460</v>
      </c>
      <c r="B1165" s="3">
        <v>12.75</v>
      </c>
      <c r="C1165" s="3">
        <f t="shared" si="74"/>
        <v>12.75</v>
      </c>
      <c r="D1165" s="3">
        <v>5473.23</v>
      </c>
      <c r="E1165" s="3">
        <f t="shared" si="75"/>
        <v>5473.23</v>
      </c>
      <c r="F1165" s="3">
        <f>MAX($E$2:E1165)</f>
        <v>5473.23</v>
      </c>
      <c r="G1165" s="3">
        <f t="shared" si="72"/>
        <v>0</v>
      </c>
      <c r="I1165" s="2">
        <v>44994</v>
      </c>
      <c r="J1165" s="3">
        <f>IFERROR(VLOOKUP(I1165,$A$1:$G$1610,3,FALSE),J1164)</f>
        <v>22.61</v>
      </c>
      <c r="K1165" s="3">
        <f>IFERROR(VLOOKUP(I1165,$A$1:$G$1610,7,FALSE),K1164)</f>
        <v>-18.309788681888691</v>
      </c>
      <c r="L1165" s="5">
        <f t="shared" si="73"/>
        <v>1</v>
      </c>
    </row>
    <row r="1166" spans="1:12" x14ac:dyDescent="0.25">
      <c r="A1166" s="2">
        <v>45461</v>
      </c>
      <c r="B1166" s="3">
        <v>12.3</v>
      </c>
      <c r="C1166" s="3">
        <f t="shared" si="74"/>
        <v>12.3</v>
      </c>
      <c r="D1166" s="3">
        <v>5487.03</v>
      </c>
      <c r="E1166" s="3">
        <f t="shared" si="75"/>
        <v>5487.03</v>
      </c>
      <c r="F1166" s="3">
        <f>MAX($E$2:E1166)</f>
        <v>5487.03</v>
      </c>
      <c r="G1166" s="3">
        <f t="shared" si="72"/>
        <v>0</v>
      </c>
      <c r="I1166" s="2">
        <v>44995</v>
      </c>
      <c r="J1166" s="3">
        <f>IFERROR(VLOOKUP(I1166,$A$1:$G$1610,3,FALSE),J1165)</f>
        <v>24.8</v>
      </c>
      <c r="K1166" s="3">
        <f>IFERROR(VLOOKUP(I1166,$A$1:$G$1610,7,FALSE),K1165)</f>
        <v>-19.492511299764836</v>
      </c>
      <c r="L1166" s="5">
        <f t="shared" si="73"/>
        <v>1</v>
      </c>
    </row>
    <row r="1167" spans="1:12" x14ac:dyDescent="0.25">
      <c r="A1167" s="2">
        <v>45462</v>
      </c>
      <c r="B1167" s="3">
        <v>12.48</v>
      </c>
      <c r="C1167" s="3">
        <f t="shared" si="74"/>
        <v>12.48</v>
      </c>
      <c r="E1167" s="3">
        <f t="shared" si="75"/>
        <v>5487.03</v>
      </c>
      <c r="F1167" s="3">
        <f>MAX($E$2:E1167)</f>
        <v>5487.03</v>
      </c>
      <c r="G1167" s="3">
        <f t="shared" si="72"/>
        <v>0</v>
      </c>
      <c r="I1167" s="2">
        <v>44996</v>
      </c>
      <c r="J1167" s="3">
        <f>IFERROR(VLOOKUP(I1167,$A$1:$G$1610,3,FALSE),J1166)</f>
        <v>24.8</v>
      </c>
      <c r="K1167" s="3">
        <f>IFERROR(VLOOKUP(I1167,$A$1:$G$1610,7,FALSE),K1166)</f>
        <v>-19.492511299764836</v>
      </c>
      <c r="L1167" s="5">
        <f t="shared" si="73"/>
        <v>1</v>
      </c>
    </row>
    <row r="1168" spans="1:12" x14ac:dyDescent="0.25">
      <c r="A1168" s="2">
        <v>45463</v>
      </c>
      <c r="B1168" s="3">
        <v>13.28</v>
      </c>
      <c r="C1168" s="3">
        <f t="shared" si="74"/>
        <v>13.28</v>
      </c>
      <c r="D1168" s="3">
        <v>5473.17</v>
      </c>
      <c r="E1168" s="3">
        <f t="shared" si="75"/>
        <v>5473.17</v>
      </c>
      <c r="F1168" s="3">
        <f>MAX($E$2:E1168)</f>
        <v>5487.03</v>
      </c>
      <c r="G1168" s="3">
        <f t="shared" si="72"/>
        <v>-0.252595666508105</v>
      </c>
      <c r="I1168" s="2">
        <v>44997</v>
      </c>
      <c r="J1168" s="3">
        <f>IFERROR(VLOOKUP(I1168,$A$1:$G$1610,3,FALSE),J1167)</f>
        <v>24.8</v>
      </c>
      <c r="K1168" s="3">
        <f>IFERROR(VLOOKUP(I1168,$A$1:$G$1610,7,FALSE),K1167)</f>
        <v>-19.492511299764836</v>
      </c>
      <c r="L1168" s="5">
        <f t="shared" si="73"/>
        <v>1</v>
      </c>
    </row>
    <row r="1169" spans="1:12" x14ac:dyDescent="0.25">
      <c r="A1169" s="2">
        <v>45464</v>
      </c>
      <c r="B1169" s="3">
        <v>13.2</v>
      </c>
      <c r="C1169" s="3">
        <f t="shared" si="74"/>
        <v>13.2</v>
      </c>
      <c r="D1169" s="3">
        <v>5464.62</v>
      </c>
      <c r="E1169" s="3">
        <f t="shared" si="75"/>
        <v>5464.62</v>
      </c>
      <c r="F1169" s="3">
        <f>MAX($E$2:E1169)</f>
        <v>5487.03</v>
      </c>
      <c r="G1169" s="3">
        <f t="shared" si="72"/>
        <v>-0.40841766857480011</v>
      </c>
      <c r="I1169" s="2">
        <v>44998</v>
      </c>
      <c r="J1169" s="3">
        <f>IFERROR(VLOOKUP(I1169,$A$1:$G$1610,3,FALSE),J1168)</f>
        <v>26.52</v>
      </c>
      <c r="K1169" s="3">
        <f>IFERROR(VLOOKUP(I1169,$A$1:$G$1610,7,FALSE),K1168)</f>
        <v>-19.614056740664147</v>
      </c>
      <c r="L1169" s="5">
        <f t="shared" si="73"/>
        <v>1</v>
      </c>
    </row>
    <row r="1170" spans="1:12" x14ac:dyDescent="0.25">
      <c r="A1170" s="2">
        <v>45467</v>
      </c>
      <c r="B1170" s="3">
        <v>13.33</v>
      </c>
      <c r="C1170" s="3">
        <f t="shared" si="74"/>
        <v>13.33</v>
      </c>
      <c r="D1170" s="3">
        <v>5447.87</v>
      </c>
      <c r="E1170" s="3">
        <f t="shared" si="75"/>
        <v>5447.87</v>
      </c>
      <c r="F1170" s="3">
        <f>MAX($E$2:E1170)</f>
        <v>5487.03</v>
      </c>
      <c r="G1170" s="3">
        <f t="shared" si="72"/>
        <v>-0.71368299426100923</v>
      </c>
      <c r="I1170" s="2">
        <v>44999</v>
      </c>
      <c r="J1170" s="3">
        <f>IFERROR(VLOOKUP(I1170,$A$1:$G$1610,3,FALSE),J1169)</f>
        <v>23.73</v>
      </c>
      <c r="K1170" s="3">
        <f>IFERROR(VLOOKUP(I1170,$A$1:$G$1610,7,FALSE),K1169)</f>
        <v>-18.289565855529805</v>
      </c>
      <c r="L1170" s="5">
        <f t="shared" si="73"/>
        <v>1</v>
      </c>
    </row>
    <row r="1171" spans="1:12" x14ac:dyDescent="0.25">
      <c r="A1171" s="2">
        <v>45468</v>
      </c>
      <c r="B1171" s="3">
        <v>12.84</v>
      </c>
      <c r="C1171" s="3">
        <f t="shared" si="74"/>
        <v>12.84</v>
      </c>
      <c r="D1171" s="3">
        <v>5469.3</v>
      </c>
      <c r="E1171" s="3">
        <f t="shared" si="75"/>
        <v>5469.3</v>
      </c>
      <c r="F1171" s="3">
        <f>MAX($E$2:E1171)</f>
        <v>5487.03</v>
      </c>
      <c r="G1171" s="3">
        <f t="shared" si="72"/>
        <v>-0.32312562533828981</v>
      </c>
      <c r="I1171" s="2">
        <v>45000</v>
      </c>
      <c r="J1171" s="3">
        <f>IFERROR(VLOOKUP(I1171,$A$1:$G$1610,3,FALSE),J1170)</f>
        <v>26.14</v>
      </c>
      <c r="K1171" s="3">
        <f>IFERROR(VLOOKUP(I1171,$A$1:$G$1610,7,FALSE),K1170)</f>
        <v>-18.859974648498103</v>
      </c>
      <c r="L1171" s="5">
        <f t="shared" si="73"/>
        <v>1</v>
      </c>
    </row>
    <row r="1172" spans="1:12" x14ac:dyDescent="0.25">
      <c r="A1172" s="2">
        <v>45469</v>
      </c>
      <c r="B1172" s="3">
        <v>12.55</v>
      </c>
      <c r="C1172" s="3">
        <f t="shared" si="74"/>
        <v>12.55</v>
      </c>
      <c r="D1172" s="3">
        <v>5477.9</v>
      </c>
      <c r="E1172" s="3">
        <f t="shared" si="75"/>
        <v>5477.9</v>
      </c>
      <c r="F1172" s="3">
        <f>MAX($E$2:E1172)</f>
        <v>5487.03</v>
      </c>
      <c r="G1172" s="3">
        <f t="shared" si="72"/>
        <v>-0.16639238349344015</v>
      </c>
      <c r="I1172" s="2">
        <v>45001</v>
      </c>
      <c r="J1172" s="3">
        <f>IFERROR(VLOOKUP(I1172,$A$1:$G$1610,3,FALSE),J1171)</f>
        <v>22.99</v>
      </c>
      <c r="K1172" s="3">
        <f>IFERROR(VLOOKUP(I1172,$A$1:$G$1610,7,FALSE),K1171)</f>
        <v>-17.434995079807198</v>
      </c>
      <c r="L1172" s="5">
        <f t="shared" si="73"/>
        <v>1</v>
      </c>
    </row>
    <row r="1173" spans="1:12" x14ac:dyDescent="0.25">
      <c r="A1173" s="2">
        <v>45470</v>
      </c>
      <c r="B1173" s="3">
        <v>12.24</v>
      </c>
      <c r="C1173" s="3">
        <f t="shared" si="74"/>
        <v>12.24</v>
      </c>
      <c r="D1173" s="3">
        <v>5482.87</v>
      </c>
      <c r="E1173" s="3">
        <f t="shared" si="75"/>
        <v>5482.87</v>
      </c>
      <c r="F1173" s="3">
        <f>MAX($E$2:E1173)</f>
        <v>5487.03</v>
      </c>
      <c r="G1173" s="3">
        <f t="shared" si="72"/>
        <v>-7.581514954355735E-2</v>
      </c>
      <c r="I1173" s="2">
        <v>45002</v>
      </c>
      <c r="J1173" s="3">
        <f>IFERROR(VLOOKUP(I1173,$A$1:$G$1610,3,FALSE),J1172)</f>
        <v>25.51</v>
      </c>
      <c r="K1173" s="3">
        <f>IFERROR(VLOOKUP(I1173,$A$1:$G$1610,7,FALSE),K1172)</f>
        <v>-18.344813783211311</v>
      </c>
      <c r="L1173" s="5">
        <f t="shared" si="73"/>
        <v>1</v>
      </c>
    </row>
    <row r="1174" spans="1:12" x14ac:dyDescent="0.25">
      <c r="A1174" s="2">
        <v>45471</v>
      </c>
      <c r="B1174" s="3">
        <v>12.44</v>
      </c>
      <c r="C1174" s="3">
        <f t="shared" si="74"/>
        <v>12.44</v>
      </c>
      <c r="D1174" s="3">
        <v>5460.48</v>
      </c>
      <c r="E1174" s="3">
        <f t="shared" si="75"/>
        <v>5460.48</v>
      </c>
      <c r="F1174" s="3">
        <f>MAX($E$2:E1174)</f>
        <v>5487.03</v>
      </c>
      <c r="G1174" s="3">
        <f t="shared" si="72"/>
        <v>-0.48386832220709897</v>
      </c>
      <c r="I1174" s="2">
        <v>45003</v>
      </c>
      <c r="J1174" s="3">
        <f>IFERROR(VLOOKUP(I1174,$A$1:$G$1610,3,FALSE),J1173)</f>
        <v>25.51</v>
      </c>
      <c r="K1174" s="3">
        <f>IFERROR(VLOOKUP(I1174,$A$1:$G$1610,7,FALSE),K1173)</f>
        <v>-18.344813783211311</v>
      </c>
      <c r="L1174" s="5">
        <f t="shared" si="73"/>
        <v>1</v>
      </c>
    </row>
    <row r="1175" spans="1:12" x14ac:dyDescent="0.25">
      <c r="A1175" s="2">
        <v>45474</v>
      </c>
      <c r="B1175" s="3">
        <v>12.22</v>
      </c>
      <c r="C1175" s="3">
        <f t="shared" si="74"/>
        <v>12.22</v>
      </c>
      <c r="D1175" s="3">
        <v>5475.09</v>
      </c>
      <c r="E1175" s="3">
        <f t="shared" si="75"/>
        <v>5475.09</v>
      </c>
      <c r="F1175" s="3">
        <f>MAX($E$2:E1175)</f>
        <v>5487.03</v>
      </c>
      <c r="G1175" s="3">
        <f t="shared" si="72"/>
        <v>-0.2176040590264606</v>
      </c>
      <c r="I1175" s="2">
        <v>45004</v>
      </c>
      <c r="J1175" s="3">
        <f>IFERROR(VLOOKUP(I1175,$A$1:$G$1610,3,FALSE),J1174)</f>
        <v>25.51</v>
      </c>
      <c r="K1175" s="3">
        <f>IFERROR(VLOOKUP(I1175,$A$1:$G$1610,7,FALSE),K1174)</f>
        <v>-18.344813783211311</v>
      </c>
      <c r="L1175" s="5">
        <f t="shared" si="73"/>
        <v>1</v>
      </c>
    </row>
    <row r="1176" spans="1:12" x14ac:dyDescent="0.25">
      <c r="A1176" s="2">
        <v>45475</v>
      </c>
      <c r="B1176" s="3">
        <v>12.03</v>
      </c>
      <c r="C1176" s="3">
        <f t="shared" si="74"/>
        <v>12.03</v>
      </c>
      <c r="D1176" s="3">
        <v>5509.01</v>
      </c>
      <c r="E1176" s="3">
        <f t="shared" si="75"/>
        <v>5509.01</v>
      </c>
      <c r="F1176" s="3">
        <f>MAX($E$2:E1176)</f>
        <v>5509.01</v>
      </c>
      <c r="G1176" s="3">
        <f t="shared" si="72"/>
        <v>0</v>
      </c>
      <c r="I1176" s="2">
        <v>45005</v>
      </c>
      <c r="J1176" s="3">
        <f>IFERROR(VLOOKUP(I1176,$A$1:$G$1610,3,FALSE),J1175)</f>
        <v>24.15</v>
      </c>
      <c r="K1176" s="3">
        <f>IFERROR(VLOOKUP(I1176,$A$1:$G$1610,7,FALSE),K1175)</f>
        <v>-17.616583551545279</v>
      </c>
      <c r="L1176" s="5">
        <f t="shared" si="73"/>
        <v>1</v>
      </c>
    </row>
    <row r="1177" spans="1:12" x14ac:dyDescent="0.25">
      <c r="A1177" s="2">
        <v>45476</v>
      </c>
      <c r="B1177" s="3">
        <v>12.09</v>
      </c>
      <c r="C1177" s="3">
        <f t="shared" si="74"/>
        <v>12.09</v>
      </c>
      <c r="D1177" s="3">
        <v>5537.02</v>
      </c>
      <c r="E1177" s="3">
        <f t="shared" si="75"/>
        <v>5537.02</v>
      </c>
      <c r="F1177" s="3">
        <f>MAX($E$2:E1177)</f>
        <v>5537.02</v>
      </c>
      <c r="G1177" s="3">
        <f t="shared" si="72"/>
        <v>0</v>
      </c>
      <c r="I1177" s="2">
        <v>45006</v>
      </c>
      <c r="J1177" s="3">
        <f>IFERROR(VLOOKUP(I1177,$A$1:$G$1610,3,FALSE),J1176)</f>
        <v>21.38</v>
      </c>
      <c r="K1177" s="3">
        <f>IFERROR(VLOOKUP(I1177,$A$1:$G$1610,7,FALSE),K1176)</f>
        <v>-16.547067064729731</v>
      </c>
      <c r="L1177" s="5">
        <f t="shared" si="73"/>
        <v>1</v>
      </c>
    </row>
    <row r="1178" spans="1:12" x14ac:dyDescent="0.25">
      <c r="A1178" s="2">
        <v>45477</v>
      </c>
      <c r="B1178" s="3">
        <v>12.26</v>
      </c>
      <c r="C1178" s="3">
        <f t="shared" si="74"/>
        <v>12.26</v>
      </c>
      <c r="E1178" s="3">
        <f t="shared" si="75"/>
        <v>5537.02</v>
      </c>
      <c r="F1178" s="3">
        <f>MAX($E$2:E1178)</f>
        <v>5537.02</v>
      </c>
      <c r="G1178" s="3">
        <f t="shared" si="72"/>
        <v>0</v>
      </c>
      <c r="I1178" s="2">
        <v>45007</v>
      </c>
      <c r="J1178" s="3">
        <f>IFERROR(VLOOKUP(I1178,$A$1:$G$1610,3,FALSE),J1177)</f>
        <v>22.26</v>
      </c>
      <c r="K1178" s="3">
        <f>IFERROR(VLOOKUP(I1178,$A$1:$G$1610,7,FALSE),K1177)</f>
        <v>-17.920968360658481</v>
      </c>
      <c r="L1178" s="5">
        <f t="shared" si="73"/>
        <v>1</v>
      </c>
    </row>
    <row r="1179" spans="1:12" x14ac:dyDescent="0.25">
      <c r="A1179" s="2">
        <v>45478</v>
      </c>
      <c r="B1179" s="3">
        <v>12.48</v>
      </c>
      <c r="C1179" s="3">
        <f t="shared" si="74"/>
        <v>12.48</v>
      </c>
      <c r="D1179" s="3">
        <v>5567.19</v>
      </c>
      <c r="E1179" s="3">
        <f t="shared" si="75"/>
        <v>5567.19</v>
      </c>
      <c r="F1179" s="3">
        <f>MAX($E$2:E1179)</f>
        <v>5567.19</v>
      </c>
      <c r="G1179" s="3">
        <f t="shared" si="72"/>
        <v>0</v>
      </c>
      <c r="I1179" s="2">
        <v>45008</v>
      </c>
      <c r="J1179" s="3">
        <f>IFERROR(VLOOKUP(I1179,$A$1:$G$1610,3,FALSE),J1178)</f>
        <v>22.61</v>
      </c>
      <c r="K1179" s="3">
        <f>IFERROR(VLOOKUP(I1179,$A$1:$G$1610,7,FALSE),K1178)</f>
        <v>-17.676001134146148</v>
      </c>
      <c r="L1179" s="5">
        <f t="shared" si="73"/>
        <v>1</v>
      </c>
    </row>
    <row r="1180" spans="1:12" x14ac:dyDescent="0.25">
      <c r="A1180" s="2">
        <v>45481</v>
      </c>
      <c r="B1180" s="3">
        <v>12.37</v>
      </c>
      <c r="C1180" s="3">
        <f t="shared" si="74"/>
        <v>12.37</v>
      </c>
      <c r="D1180" s="3">
        <v>5572.85</v>
      </c>
      <c r="E1180" s="3">
        <f t="shared" si="75"/>
        <v>5572.85</v>
      </c>
      <c r="F1180" s="3">
        <f>MAX($E$2:E1180)</f>
        <v>5572.85</v>
      </c>
      <c r="G1180" s="3">
        <f t="shared" si="72"/>
        <v>0</v>
      </c>
      <c r="I1180" s="2">
        <v>45009</v>
      </c>
      <c r="J1180" s="3">
        <f>IFERROR(VLOOKUP(I1180,$A$1:$G$1610,3,FALSE),J1179)</f>
        <v>21.74</v>
      </c>
      <c r="K1180" s="3">
        <f>IFERROR(VLOOKUP(I1180,$A$1:$G$1610,7,FALSE),K1179)</f>
        <v>-17.211710058875539</v>
      </c>
      <c r="L1180" s="5">
        <f t="shared" si="73"/>
        <v>1</v>
      </c>
    </row>
    <row r="1181" spans="1:12" x14ac:dyDescent="0.25">
      <c r="A1181" s="2">
        <v>45482</v>
      </c>
      <c r="B1181" s="3">
        <v>12.51</v>
      </c>
      <c r="C1181" s="3">
        <f t="shared" si="74"/>
        <v>12.51</v>
      </c>
      <c r="D1181" s="3">
        <v>5576.98</v>
      </c>
      <c r="E1181" s="3">
        <f t="shared" si="75"/>
        <v>5576.98</v>
      </c>
      <c r="F1181" s="3">
        <f>MAX($E$2:E1181)</f>
        <v>5576.98</v>
      </c>
      <c r="G1181" s="3">
        <f t="shared" si="72"/>
        <v>0</v>
      </c>
      <c r="I1181" s="2">
        <v>45010</v>
      </c>
      <c r="J1181" s="3">
        <f>IFERROR(VLOOKUP(I1181,$A$1:$G$1610,3,FALSE),J1180)</f>
        <v>21.74</v>
      </c>
      <c r="K1181" s="3">
        <f>IFERROR(VLOOKUP(I1181,$A$1:$G$1610,7,FALSE),K1180)</f>
        <v>-17.211710058875539</v>
      </c>
      <c r="L1181" s="5">
        <f t="shared" si="73"/>
        <v>1</v>
      </c>
    </row>
    <row r="1182" spans="1:12" x14ac:dyDescent="0.25">
      <c r="A1182" s="2">
        <v>45483</v>
      </c>
      <c r="B1182" s="3">
        <v>12.85</v>
      </c>
      <c r="C1182" s="3">
        <f t="shared" si="74"/>
        <v>12.85</v>
      </c>
      <c r="D1182" s="3">
        <v>5633.91</v>
      </c>
      <c r="E1182" s="3">
        <f t="shared" si="75"/>
        <v>5633.91</v>
      </c>
      <c r="F1182" s="3">
        <f>MAX($E$2:E1182)</f>
        <v>5633.91</v>
      </c>
      <c r="G1182" s="3">
        <f t="shared" si="72"/>
        <v>0</v>
      </c>
      <c r="I1182" s="2">
        <v>45011</v>
      </c>
      <c r="J1182" s="3">
        <f>IFERROR(VLOOKUP(I1182,$A$1:$G$1610,3,FALSE),J1181)</f>
        <v>21.74</v>
      </c>
      <c r="K1182" s="3">
        <f>IFERROR(VLOOKUP(I1182,$A$1:$G$1610,7,FALSE),K1181)</f>
        <v>-17.211710058875539</v>
      </c>
      <c r="L1182" s="5">
        <f t="shared" si="73"/>
        <v>1</v>
      </c>
    </row>
    <row r="1183" spans="1:12" x14ac:dyDescent="0.25">
      <c r="A1183" s="2">
        <v>45484</v>
      </c>
      <c r="B1183" s="3">
        <v>12.92</v>
      </c>
      <c r="C1183" s="3">
        <f t="shared" si="74"/>
        <v>12.92</v>
      </c>
      <c r="D1183" s="3">
        <v>5584.54</v>
      </c>
      <c r="E1183" s="3">
        <f t="shared" si="75"/>
        <v>5584.54</v>
      </c>
      <c r="F1183" s="3">
        <f>MAX($E$2:E1183)</f>
        <v>5633.91</v>
      </c>
      <c r="G1183" s="3">
        <f t="shared" si="72"/>
        <v>-0.87630082837673817</v>
      </c>
      <c r="I1183" s="2">
        <v>45012</v>
      </c>
      <c r="J1183" s="3">
        <f>IFERROR(VLOOKUP(I1183,$A$1:$G$1610,3,FALSE),J1182)</f>
        <v>20.6</v>
      </c>
      <c r="K1183" s="3">
        <f>IFERROR(VLOOKUP(I1183,$A$1:$G$1610,7,FALSE),K1182)</f>
        <v>-17.075362343012497</v>
      </c>
      <c r="L1183" s="5">
        <f t="shared" si="73"/>
        <v>1</v>
      </c>
    </row>
    <row r="1184" spans="1:12" x14ac:dyDescent="0.25">
      <c r="A1184" s="2">
        <v>45485</v>
      </c>
      <c r="B1184" s="3">
        <v>12.46</v>
      </c>
      <c r="C1184" s="3">
        <f t="shared" si="74"/>
        <v>12.46</v>
      </c>
      <c r="D1184" s="3">
        <v>5615.35</v>
      </c>
      <c r="E1184" s="3">
        <f t="shared" si="75"/>
        <v>5615.35</v>
      </c>
      <c r="F1184" s="3">
        <f>MAX($E$2:E1184)</f>
        <v>5633.91</v>
      </c>
      <c r="G1184" s="3">
        <f t="shared" si="72"/>
        <v>-0.32943373252322972</v>
      </c>
      <c r="I1184" s="2">
        <v>45013</v>
      </c>
      <c r="J1184" s="3">
        <f>IFERROR(VLOOKUP(I1184,$A$1:$G$1610,3,FALSE),J1183)</f>
        <v>19.97</v>
      </c>
      <c r="K1184" s="3">
        <f>IFERROR(VLOOKUP(I1184,$A$1:$G$1610,7,FALSE),K1183)</f>
        <v>-17.20587254198843</v>
      </c>
      <c r="L1184" s="5">
        <f t="shared" si="73"/>
        <v>1</v>
      </c>
    </row>
    <row r="1185" spans="1:12" x14ac:dyDescent="0.25">
      <c r="A1185" s="2">
        <v>45488</v>
      </c>
      <c r="B1185" s="3">
        <v>13.12</v>
      </c>
      <c r="C1185" s="3">
        <f t="shared" si="74"/>
        <v>13.12</v>
      </c>
      <c r="D1185" s="3">
        <v>5631.22</v>
      </c>
      <c r="E1185" s="3">
        <f t="shared" si="75"/>
        <v>5631.22</v>
      </c>
      <c r="F1185" s="3">
        <f>MAX($E$2:E1185)</f>
        <v>5633.91</v>
      </c>
      <c r="G1185" s="3">
        <f t="shared" si="72"/>
        <v>-4.7746591621087305E-2</v>
      </c>
      <c r="I1185" s="2">
        <v>45014</v>
      </c>
      <c r="J1185" s="3">
        <f>IFERROR(VLOOKUP(I1185,$A$1:$G$1610,3,FALSE),J1184)</f>
        <v>19.12</v>
      </c>
      <c r="K1185" s="3">
        <f>IFERROR(VLOOKUP(I1185,$A$1:$G$1610,7,FALSE),K1184)</f>
        <v>-16.02711109628568</v>
      </c>
      <c r="L1185" s="5">
        <f t="shared" si="73"/>
        <v>1</v>
      </c>
    </row>
    <row r="1186" spans="1:12" x14ac:dyDescent="0.25">
      <c r="A1186" s="2">
        <v>45489</v>
      </c>
      <c r="B1186" s="3">
        <v>13.19</v>
      </c>
      <c r="C1186" s="3">
        <f t="shared" si="74"/>
        <v>13.19</v>
      </c>
      <c r="D1186" s="3">
        <v>5667.2</v>
      </c>
      <c r="E1186" s="3">
        <f t="shared" si="75"/>
        <v>5667.2</v>
      </c>
      <c r="F1186" s="3">
        <f>MAX($E$2:E1186)</f>
        <v>5667.2</v>
      </c>
      <c r="G1186" s="3">
        <f t="shared" si="72"/>
        <v>0</v>
      </c>
      <c r="I1186" s="2">
        <v>45015</v>
      </c>
      <c r="J1186" s="3">
        <f>IFERROR(VLOOKUP(I1186,$A$1:$G$1610,3,FALSE),J1185)</f>
        <v>19.02</v>
      </c>
      <c r="K1186" s="3">
        <f>IFERROR(VLOOKUP(I1186,$A$1:$G$1610,7,FALSE),K1185)</f>
        <v>-15.547183815067472</v>
      </c>
      <c r="L1186" s="5">
        <f t="shared" si="73"/>
        <v>1</v>
      </c>
    </row>
    <row r="1187" spans="1:12" x14ac:dyDescent="0.25">
      <c r="A1187" s="2">
        <v>45490</v>
      </c>
      <c r="B1187" s="3">
        <v>14.48</v>
      </c>
      <c r="C1187" s="3">
        <f t="shared" si="74"/>
        <v>14.48</v>
      </c>
      <c r="D1187" s="3">
        <v>5588.27</v>
      </c>
      <c r="E1187" s="3">
        <f t="shared" si="75"/>
        <v>5588.27</v>
      </c>
      <c r="F1187" s="3">
        <f>MAX($E$2:E1187)</f>
        <v>5667.2</v>
      </c>
      <c r="G1187" s="3">
        <f t="shared" si="72"/>
        <v>-1.3927512704686509</v>
      </c>
      <c r="I1187" s="2">
        <v>45016</v>
      </c>
      <c r="J1187" s="3">
        <f>IFERROR(VLOOKUP(I1187,$A$1:$G$1610,3,FALSE),J1186)</f>
        <v>18.7</v>
      </c>
      <c r="K1187" s="3">
        <f>IFERROR(VLOOKUP(I1187,$A$1:$G$1610,7,FALSE),K1186)</f>
        <v>-14.327976716646928</v>
      </c>
      <c r="L1187" s="5">
        <f t="shared" si="73"/>
        <v>1</v>
      </c>
    </row>
    <row r="1188" spans="1:12" x14ac:dyDescent="0.25">
      <c r="A1188" s="2">
        <v>45491</v>
      </c>
      <c r="B1188" s="3">
        <v>15.93</v>
      </c>
      <c r="C1188" s="3">
        <f t="shared" si="74"/>
        <v>15.93</v>
      </c>
      <c r="D1188" s="3">
        <v>5544.59</v>
      </c>
      <c r="E1188" s="3">
        <f t="shared" si="75"/>
        <v>5544.59</v>
      </c>
      <c r="F1188" s="3">
        <f>MAX($E$2:E1188)</f>
        <v>5667.2</v>
      </c>
      <c r="G1188" s="3">
        <f t="shared" si="72"/>
        <v>-2.1635022586109485</v>
      </c>
      <c r="I1188" s="2">
        <v>45017</v>
      </c>
      <c r="J1188" s="3">
        <f>IFERROR(VLOOKUP(I1188,$A$1:$G$1610,3,FALSE),J1187)</f>
        <v>18.7</v>
      </c>
      <c r="K1188" s="3">
        <f>IFERROR(VLOOKUP(I1188,$A$1:$G$1610,7,FALSE),K1187)</f>
        <v>-14.327976716646928</v>
      </c>
      <c r="L1188" s="5">
        <f t="shared" si="73"/>
        <v>1</v>
      </c>
    </row>
    <row r="1189" spans="1:12" x14ac:dyDescent="0.25">
      <c r="A1189" s="2">
        <v>45492</v>
      </c>
      <c r="B1189" s="3">
        <v>16.52</v>
      </c>
      <c r="C1189" s="3">
        <f t="shared" si="74"/>
        <v>16.52</v>
      </c>
      <c r="D1189" s="3">
        <v>5505</v>
      </c>
      <c r="E1189" s="3">
        <f t="shared" si="75"/>
        <v>5505</v>
      </c>
      <c r="F1189" s="3">
        <f>MAX($E$2:E1189)</f>
        <v>5667.2</v>
      </c>
      <c r="G1189" s="3">
        <f t="shared" si="72"/>
        <v>-2.8620835686053043</v>
      </c>
      <c r="I1189" s="2">
        <v>45018</v>
      </c>
      <c r="J1189" s="3">
        <f>IFERROR(VLOOKUP(I1189,$A$1:$G$1610,3,FALSE),J1188)</f>
        <v>18.7</v>
      </c>
      <c r="K1189" s="3">
        <f>IFERROR(VLOOKUP(I1189,$A$1:$G$1610,7,FALSE),K1188)</f>
        <v>-14.327976716646928</v>
      </c>
      <c r="L1189" s="5">
        <f t="shared" si="73"/>
        <v>1</v>
      </c>
    </row>
    <row r="1190" spans="1:12" x14ac:dyDescent="0.25">
      <c r="A1190" s="2">
        <v>45495</v>
      </c>
      <c r="B1190" s="3">
        <v>14.91</v>
      </c>
      <c r="C1190" s="3">
        <f t="shared" si="74"/>
        <v>14.91</v>
      </c>
      <c r="D1190" s="3">
        <v>5564.41</v>
      </c>
      <c r="E1190" s="3">
        <f t="shared" si="75"/>
        <v>5564.41</v>
      </c>
      <c r="F1190" s="3">
        <f>MAX($E$2:E1190)</f>
        <v>5667.2</v>
      </c>
      <c r="G1190" s="3">
        <f t="shared" si="72"/>
        <v>-1.8137704686617726</v>
      </c>
      <c r="I1190" s="2">
        <v>45019</v>
      </c>
      <c r="J1190" s="3">
        <f>IFERROR(VLOOKUP(I1190,$A$1:$G$1610,3,FALSE),J1189)</f>
        <v>18.55</v>
      </c>
      <c r="K1190" s="3">
        <f>IFERROR(VLOOKUP(I1190,$A$1:$G$1610,7,FALSE),K1189)</f>
        <v>-14.011082942775657</v>
      </c>
      <c r="L1190" s="5">
        <f t="shared" si="73"/>
        <v>1</v>
      </c>
    </row>
    <row r="1191" spans="1:12" x14ac:dyDescent="0.25">
      <c r="A1191" s="2">
        <v>45496</v>
      </c>
      <c r="B1191" s="3">
        <v>14.72</v>
      </c>
      <c r="C1191" s="3">
        <f t="shared" si="74"/>
        <v>14.72</v>
      </c>
      <c r="D1191" s="3">
        <v>5555.74</v>
      </c>
      <c r="E1191" s="3">
        <f t="shared" si="75"/>
        <v>5555.74</v>
      </c>
      <c r="F1191" s="3">
        <f>MAX($E$2:E1191)</f>
        <v>5667.2</v>
      </c>
      <c r="G1191" s="3">
        <f t="shared" si="72"/>
        <v>-1.9667560700169402</v>
      </c>
      <c r="I1191" s="2">
        <v>45020</v>
      </c>
      <c r="J1191" s="3">
        <f>IFERROR(VLOOKUP(I1191,$A$1:$G$1610,3,FALSE),J1190)</f>
        <v>19</v>
      </c>
      <c r="K1191" s="3">
        <f>IFERROR(VLOOKUP(I1191,$A$1:$G$1610,7,FALSE),K1190)</f>
        <v>-14.509565188385009</v>
      </c>
      <c r="L1191" s="5">
        <f t="shared" si="73"/>
        <v>1</v>
      </c>
    </row>
    <row r="1192" spans="1:12" x14ac:dyDescent="0.25">
      <c r="A1192" s="2">
        <v>45497</v>
      </c>
      <c r="B1192" s="3">
        <v>18.04</v>
      </c>
      <c r="C1192" s="3">
        <f t="shared" si="74"/>
        <v>18.04</v>
      </c>
      <c r="D1192" s="3">
        <v>5427.13</v>
      </c>
      <c r="E1192" s="3">
        <f t="shared" si="75"/>
        <v>5427.13</v>
      </c>
      <c r="F1192" s="3">
        <f>MAX($E$2:E1192)</f>
        <v>5667.2</v>
      </c>
      <c r="G1192" s="3">
        <f t="shared" si="72"/>
        <v>-4.2361307171089724</v>
      </c>
      <c r="I1192" s="2">
        <v>45021</v>
      </c>
      <c r="J1192" s="3">
        <f>IFERROR(VLOOKUP(I1192,$A$1:$G$1610,3,FALSE),J1191)</f>
        <v>19.079999999999998</v>
      </c>
      <c r="K1192" s="3">
        <f>IFERROR(VLOOKUP(I1192,$A$1:$G$1610,7,FALSE),K1191)</f>
        <v>-14.722634554764252</v>
      </c>
      <c r="L1192" s="5">
        <f t="shared" si="73"/>
        <v>1</v>
      </c>
    </row>
    <row r="1193" spans="1:12" x14ac:dyDescent="0.25">
      <c r="A1193" s="2">
        <v>45498</v>
      </c>
      <c r="B1193" s="3">
        <v>18.46</v>
      </c>
      <c r="C1193" s="3">
        <f t="shared" si="74"/>
        <v>18.46</v>
      </c>
      <c r="D1193" s="3">
        <v>5399.22</v>
      </c>
      <c r="E1193" s="3">
        <f t="shared" si="75"/>
        <v>5399.22</v>
      </c>
      <c r="F1193" s="3">
        <f>MAX($E$2:E1193)</f>
        <v>5667.2</v>
      </c>
      <c r="G1193" s="3">
        <f t="shared" si="72"/>
        <v>-4.7286137775268138</v>
      </c>
      <c r="I1193" s="2">
        <v>45022</v>
      </c>
      <c r="J1193" s="3">
        <f>IFERROR(VLOOKUP(I1193,$A$1:$G$1610,3,FALSE),J1192)</f>
        <v>18.399999999999999</v>
      </c>
      <c r="K1193" s="3">
        <f>IFERROR(VLOOKUP(I1193,$A$1:$G$1610,7,FALSE),K1192)</f>
        <v>-14.417415814667175</v>
      </c>
      <c r="L1193" s="5">
        <f t="shared" si="73"/>
        <v>1</v>
      </c>
    </row>
    <row r="1194" spans="1:12" x14ac:dyDescent="0.25">
      <c r="A1194" s="2">
        <v>45499</v>
      </c>
      <c r="B1194" s="3">
        <v>16.39</v>
      </c>
      <c r="C1194" s="3">
        <f t="shared" si="74"/>
        <v>16.39</v>
      </c>
      <c r="D1194" s="3">
        <v>5459.1</v>
      </c>
      <c r="E1194" s="3">
        <f t="shared" si="75"/>
        <v>5459.1</v>
      </c>
      <c r="F1194" s="3">
        <f>MAX($E$2:E1194)</f>
        <v>5667.2</v>
      </c>
      <c r="G1194" s="3">
        <f t="shared" si="72"/>
        <v>-3.672007340485592</v>
      </c>
      <c r="I1194" s="2">
        <v>45023</v>
      </c>
      <c r="J1194" s="3">
        <f>IFERROR(VLOOKUP(I1194,$A$1:$G$1610,3,FALSE),J1193)</f>
        <v>18.399999999999999</v>
      </c>
      <c r="K1194" s="3">
        <f>IFERROR(VLOOKUP(I1194,$A$1:$G$1610,7,FALSE),K1193)</f>
        <v>-14.417415814667175</v>
      </c>
      <c r="L1194" s="5">
        <f t="shared" si="73"/>
        <v>1</v>
      </c>
    </row>
    <row r="1195" spans="1:12" x14ac:dyDescent="0.25">
      <c r="A1195" s="2">
        <v>45502</v>
      </c>
      <c r="B1195" s="3">
        <v>16.600000000000001</v>
      </c>
      <c r="C1195" s="3">
        <f t="shared" si="74"/>
        <v>16.600000000000001</v>
      </c>
      <c r="D1195" s="3">
        <v>5463.54</v>
      </c>
      <c r="E1195" s="3">
        <f t="shared" si="75"/>
        <v>5463.54</v>
      </c>
      <c r="F1195" s="3">
        <f>MAX($E$2:E1195)</f>
        <v>5667.2</v>
      </c>
      <c r="G1195" s="3">
        <f t="shared" si="72"/>
        <v>-3.5936617730095968</v>
      </c>
      <c r="I1195" s="2">
        <v>45024</v>
      </c>
      <c r="J1195" s="3">
        <f>IFERROR(VLOOKUP(I1195,$A$1:$G$1610,3,FALSE),J1194)</f>
        <v>18.399999999999999</v>
      </c>
      <c r="K1195" s="3">
        <f>IFERROR(VLOOKUP(I1195,$A$1:$G$1610,7,FALSE),K1194)</f>
        <v>-14.417415814667175</v>
      </c>
      <c r="L1195" s="5">
        <f t="shared" si="73"/>
        <v>1</v>
      </c>
    </row>
    <row r="1196" spans="1:12" x14ac:dyDescent="0.25">
      <c r="A1196" s="2">
        <v>45503</v>
      </c>
      <c r="B1196" s="3">
        <v>17.690000000000001</v>
      </c>
      <c r="C1196" s="3">
        <f t="shared" si="74"/>
        <v>17.690000000000001</v>
      </c>
      <c r="D1196" s="3">
        <v>5436.44</v>
      </c>
      <c r="E1196" s="3">
        <f t="shared" si="75"/>
        <v>5436.44</v>
      </c>
      <c r="F1196" s="3">
        <f>MAX($E$2:E1196)</f>
        <v>5667.2</v>
      </c>
      <c r="G1196" s="3">
        <f t="shared" si="72"/>
        <v>-4.0718520609824997</v>
      </c>
      <c r="I1196" s="2">
        <v>45025</v>
      </c>
      <c r="J1196" s="3">
        <f>IFERROR(VLOOKUP(I1196,$A$1:$G$1610,3,FALSE),J1195)</f>
        <v>18.399999999999999</v>
      </c>
      <c r="K1196" s="3">
        <f>IFERROR(VLOOKUP(I1196,$A$1:$G$1610,7,FALSE),K1195)</f>
        <v>-14.417415814667175</v>
      </c>
      <c r="L1196" s="5">
        <f t="shared" si="73"/>
        <v>1</v>
      </c>
    </row>
    <row r="1197" spans="1:12" x14ac:dyDescent="0.25">
      <c r="A1197" s="2">
        <v>45504</v>
      </c>
      <c r="B1197" s="3">
        <v>16.36</v>
      </c>
      <c r="C1197" s="3">
        <f t="shared" si="74"/>
        <v>16.36</v>
      </c>
      <c r="D1197" s="3">
        <v>5522.3</v>
      </c>
      <c r="E1197" s="3">
        <f t="shared" si="75"/>
        <v>5522.3</v>
      </c>
      <c r="F1197" s="3">
        <f>MAX($E$2:E1197)</f>
        <v>5667.2</v>
      </c>
      <c r="G1197" s="3">
        <f t="shared" si="72"/>
        <v>-2.5568181818181754</v>
      </c>
      <c r="I1197" s="2">
        <v>45026</v>
      </c>
      <c r="J1197" s="3">
        <f>IFERROR(VLOOKUP(I1197,$A$1:$G$1610,3,FALSE),J1196)</f>
        <v>18.97</v>
      </c>
      <c r="K1197" s="3">
        <f>IFERROR(VLOOKUP(I1197,$A$1:$G$1610,7,FALSE),K1196)</f>
        <v>-14.332146371566305</v>
      </c>
      <c r="L1197" s="5">
        <f t="shared" si="73"/>
        <v>1</v>
      </c>
    </row>
    <row r="1198" spans="1:12" x14ac:dyDescent="0.25">
      <c r="A1198" s="2">
        <v>45505</v>
      </c>
      <c r="B1198" s="3">
        <v>18.59</v>
      </c>
      <c r="C1198" s="3">
        <f t="shared" si="74"/>
        <v>18.59</v>
      </c>
      <c r="D1198" s="3">
        <v>5446.68</v>
      </c>
      <c r="E1198" s="3">
        <f t="shared" si="75"/>
        <v>5446.68</v>
      </c>
      <c r="F1198" s="3">
        <f>MAX($E$2:E1198)</f>
        <v>5667.2</v>
      </c>
      <c r="G1198" s="3">
        <f t="shared" si="72"/>
        <v>-3.891163184641437</v>
      </c>
      <c r="I1198" s="2">
        <v>45027</v>
      </c>
      <c r="J1198" s="3">
        <f>IFERROR(VLOOKUP(I1198,$A$1:$G$1610,3,FALSE),J1197)</f>
        <v>19.100000000000001</v>
      </c>
      <c r="K1198" s="3">
        <f>IFERROR(VLOOKUP(I1198,$A$1:$G$1610,7,FALSE),K1197)</f>
        <v>-14.335690578247759</v>
      </c>
      <c r="L1198" s="5">
        <f t="shared" si="73"/>
        <v>1</v>
      </c>
    </row>
    <row r="1199" spans="1:12" x14ac:dyDescent="0.25">
      <c r="A1199" s="2">
        <v>45506</v>
      </c>
      <c r="B1199" s="3">
        <v>23.39</v>
      </c>
      <c r="C1199" s="3">
        <f t="shared" si="74"/>
        <v>23.39</v>
      </c>
      <c r="D1199" s="3">
        <v>5346.56</v>
      </c>
      <c r="E1199" s="3">
        <f t="shared" si="75"/>
        <v>5346.56</v>
      </c>
      <c r="F1199" s="3">
        <f>MAX($E$2:E1199)</f>
        <v>5667.2</v>
      </c>
      <c r="G1199" s="3">
        <f t="shared" si="72"/>
        <v>-5.6578204404291261</v>
      </c>
      <c r="I1199" s="2">
        <v>45028</v>
      </c>
      <c r="J1199" s="3">
        <f>IFERROR(VLOOKUP(I1199,$A$1:$G$1610,3,FALSE),J1198)</f>
        <v>19.09</v>
      </c>
      <c r="K1199" s="3">
        <f>IFERROR(VLOOKUP(I1199,$A$1:$G$1610,7,FALSE),K1198)</f>
        <v>-14.689902763647291</v>
      </c>
      <c r="L1199" s="5">
        <f t="shared" si="73"/>
        <v>1</v>
      </c>
    </row>
    <row r="1200" spans="1:12" x14ac:dyDescent="0.25">
      <c r="A1200" s="2">
        <v>45509</v>
      </c>
      <c r="B1200" s="3">
        <v>38.57</v>
      </c>
      <c r="C1200" s="3">
        <f t="shared" si="74"/>
        <v>38.57</v>
      </c>
      <c r="D1200" s="3">
        <v>5186.33</v>
      </c>
      <c r="E1200" s="3">
        <f t="shared" si="75"/>
        <v>5186.33</v>
      </c>
      <c r="F1200" s="3">
        <f>MAX($E$2:E1200)</f>
        <v>5667.2</v>
      </c>
      <c r="G1200" s="3">
        <f t="shared" si="72"/>
        <v>-8.4851425748164857</v>
      </c>
      <c r="I1200" s="2">
        <v>45029</v>
      </c>
      <c r="J1200" s="3">
        <f>IFERROR(VLOOKUP(I1200,$A$1:$G$1610,3,FALSE),J1199)</f>
        <v>17.8</v>
      </c>
      <c r="K1200" s="3">
        <f>IFERROR(VLOOKUP(I1200,$A$1:$G$1610,7,FALSE),K1199)</f>
        <v>-13.558466901279251</v>
      </c>
      <c r="L1200" s="5">
        <f t="shared" si="73"/>
        <v>1</v>
      </c>
    </row>
    <row r="1201" spans="1:12" x14ac:dyDescent="0.25">
      <c r="A1201" s="2">
        <v>45510</v>
      </c>
      <c r="B1201" s="3">
        <v>27.71</v>
      </c>
      <c r="C1201" s="3">
        <f t="shared" si="74"/>
        <v>27.71</v>
      </c>
      <c r="D1201" s="3">
        <v>5240.03</v>
      </c>
      <c r="E1201" s="3">
        <f t="shared" si="75"/>
        <v>5240.03</v>
      </c>
      <c r="F1201" s="3">
        <f>MAX($E$2:E1201)</f>
        <v>5667.2</v>
      </c>
      <c r="G1201" s="3">
        <f t="shared" si="72"/>
        <v>-7.5375846979107859</v>
      </c>
      <c r="I1201" s="2">
        <v>45030</v>
      </c>
      <c r="J1201" s="3">
        <f>IFERROR(VLOOKUP(I1201,$A$1:$G$1610,3,FALSE),J1200)</f>
        <v>17.07</v>
      </c>
      <c r="K1201" s="3">
        <f>IFERROR(VLOOKUP(I1201,$A$1:$G$1610,7,FALSE),K1200)</f>
        <v>-13.737345097319748</v>
      </c>
      <c r="L1201" s="5">
        <f t="shared" si="73"/>
        <v>1</v>
      </c>
    </row>
    <row r="1202" spans="1:12" x14ac:dyDescent="0.25">
      <c r="A1202" s="2">
        <v>45511</v>
      </c>
      <c r="B1202" s="3">
        <v>27.85</v>
      </c>
      <c r="C1202" s="3">
        <f t="shared" si="74"/>
        <v>27.85</v>
      </c>
      <c r="D1202" s="3">
        <v>5199.5</v>
      </c>
      <c r="E1202" s="3">
        <f t="shared" si="75"/>
        <v>5199.5</v>
      </c>
      <c r="F1202" s="3">
        <f>MAX($E$2:E1202)</f>
        <v>5667.2</v>
      </c>
      <c r="G1202" s="3">
        <f t="shared" si="72"/>
        <v>-8.2527526821005051</v>
      </c>
      <c r="I1202" s="2">
        <v>45031</v>
      </c>
      <c r="J1202" s="3">
        <f>IFERROR(VLOOKUP(I1202,$A$1:$G$1610,3,FALSE),J1201)</f>
        <v>17.07</v>
      </c>
      <c r="K1202" s="3">
        <f>IFERROR(VLOOKUP(I1202,$A$1:$G$1610,7,FALSE),K1201)</f>
        <v>-13.737345097319748</v>
      </c>
      <c r="L1202" s="5">
        <f t="shared" si="73"/>
        <v>1</v>
      </c>
    </row>
    <row r="1203" spans="1:12" x14ac:dyDescent="0.25">
      <c r="A1203" s="2">
        <v>45512</v>
      </c>
      <c r="B1203" s="3">
        <v>23.79</v>
      </c>
      <c r="C1203" s="3">
        <f t="shared" si="74"/>
        <v>23.79</v>
      </c>
      <c r="D1203" s="3">
        <v>5319.31</v>
      </c>
      <c r="E1203" s="3">
        <f t="shared" si="75"/>
        <v>5319.31</v>
      </c>
      <c r="F1203" s="3">
        <f>MAX($E$2:E1203)</f>
        <v>5667.2</v>
      </c>
      <c r="G1203" s="3">
        <f t="shared" si="72"/>
        <v>-6.1386575381140496</v>
      </c>
      <c r="I1203" s="2">
        <v>45032</v>
      </c>
      <c r="J1203" s="3">
        <f>IFERROR(VLOOKUP(I1203,$A$1:$G$1610,3,FALSE),J1202)</f>
        <v>17.07</v>
      </c>
      <c r="K1203" s="3">
        <f>IFERROR(VLOOKUP(I1203,$A$1:$G$1610,7,FALSE),K1202)</f>
        <v>-13.737345097319748</v>
      </c>
      <c r="L1203" s="5">
        <f t="shared" si="73"/>
        <v>1</v>
      </c>
    </row>
    <row r="1204" spans="1:12" x14ac:dyDescent="0.25">
      <c r="A1204" s="2">
        <v>45513</v>
      </c>
      <c r="B1204" s="3">
        <v>20.37</v>
      </c>
      <c r="C1204" s="3">
        <f t="shared" si="74"/>
        <v>20.37</v>
      </c>
      <c r="D1204" s="3">
        <v>5344.16</v>
      </c>
      <c r="E1204" s="3">
        <f t="shared" si="75"/>
        <v>5344.16</v>
      </c>
      <c r="F1204" s="3">
        <f>MAX($E$2:E1204)</f>
        <v>5667.2</v>
      </c>
      <c r="G1204" s="3">
        <f t="shared" si="72"/>
        <v>-5.7001693958215691</v>
      </c>
      <c r="I1204" s="2">
        <v>45033</v>
      </c>
      <c r="J1204" s="3">
        <f>IFERROR(VLOOKUP(I1204,$A$1:$G$1610,3,FALSE),J1203)</f>
        <v>16.95</v>
      </c>
      <c r="K1204" s="3">
        <f>IFERROR(VLOOKUP(I1204,$A$1:$G$1610,7,FALSE),K1203)</f>
        <v>-13.452140700835614</v>
      </c>
      <c r="L1204" s="5">
        <f t="shared" si="73"/>
        <v>1</v>
      </c>
    </row>
    <row r="1205" spans="1:12" x14ac:dyDescent="0.25">
      <c r="A1205" s="2">
        <v>45516</v>
      </c>
      <c r="B1205" s="3">
        <v>20.71</v>
      </c>
      <c r="C1205" s="3">
        <f t="shared" si="74"/>
        <v>20.71</v>
      </c>
      <c r="D1205" s="3">
        <v>5344.39</v>
      </c>
      <c r="E1205" s="3">
        <f t="shared" si="75"/>
        <v>5344.39</v>
      </c>
      <c r="F1205" s="3">
        <f>MAX($E$2:E1205)</f>
        <v>5667.2</v>
      </c>
      <c r="G1205" s="3">
        <f t="shared" si="72"/>
        <v>-5.6961109542631192</v>
      </c>
      <c r="I1205" s="2">
        <v>45034</v>
      </c>
      <c r="J1205" s="3">
        <f>IFERROR(VLOOKUP(I1205,$A$1:$G$1610,3,FALSE),J1204)</f>
        <v>16.829999999999998</v>
      </c>
      <c r="K1205" s="3">
        <f>IFERROR(VLOOKUP(I1205,$A$1:$G$1610,7,FALSE),K1204)</f>
        <v>-13.378129326016989</v>
      </c>
      <c r="L1205" s="5">
        <f t="shared" si="73"/>
        <v>1</v>
      </c>
    </row>
    <row r="1206" spans="1:12" x14ac:dyDescent="0.25">
      <c r="A1206" s="2">
        <v>45517</v>
      </c>
      <c r="B1206" s="3">
        <v>18.12</v>
      </c>
      <c r="C1206" s="3">
        <f t="shared" si="74"/>
        <v>18.12</v>
      </c>
      <c r="D1206" s="3">
        <v>5434.43</v>
      </c>
      <c r="E1206" s="3">
        <f t="shared" si="75"/>
        <v>5434.43</v>
      </c>
      <c r="F1206" s="3">
        <f>MAX($E$2:E1206)</f>
        <v>5667.2</v>
      </c>
      <c r="G1206" s="3">
        <f t="shared" si="72"/>
        <v>-4.1073193111236508</v>
      </c>
      <c r="I1206" s="2">
        <v>45035</v>
      </c>
      <c r="J1206" s="3">
        <f>IFERROR(VLOOKUP(I1206,$A$1:$G$1610,3,FALSE),J1205)</f>
        <v>16.46</v>
      </c>
      <c r="K1206" s="3">
        <f>IFERROR(VLOOKUP(I1206,$A$1:$G$1610,7,FALSE),K1205)</f>
        <v>-13.385426222125854</v>
      </c>
      <c r="L1206" s="5">
        <f t="shared" si="73"/>
        <v>1</v>
      </c>
    </row>
    <row r="1207" spans="1:12" x14ac:dyDescent="0.25">
      <c r="A1207" s="2">
        <v>45518</v>
      </c>
      <c r="B1207" s="3">
        <v>16.190000000000001</v>
      </c>
      <c r="C1207" s="3">
        <f t="shared" si="74"/>
        <v>16.190000000000001</v>
      </c>
      <c r="D1207" s="3">
        <v>5455.21</v>
      </c>
      <c r="E1207" s="3">
        <f t="shared" si="75"/>
        <v>5455.21</v>
      </c>
      <c r="F1207" s="3">
        <f>MAX($E$2:E1207)</f>
        <v>5667.2</v>
      </c>
      <c r="G1207" s="3">
        <f t="shared" si="72"/>
        <v>-3.7406479390175003</v>
      </c>
      <c r="I1207" s="2">
        <v>45036</v>
      </c>
      <c r="J1207" s="3">
        <f>IFERROR(VLOOKUP(I1207,$A$1:$G$1610,3,FALSE),J1206)</f>
        <v>17.170000000000002</v>
      </c>
      <c r="K1207" s="3">
        <f>IFERROR(VLOOKUP(I1207,$A$1:$G$1610,7,FALSE),K1206)</f>
        <v>-13.90100405290459</v>
      </c>
      <c r="L1207" s="5">
        <f t="shared" si="73"/>
        <v>1</v>
      </c>
    </row>
    <row r="1208" spans="1:12" x14ac:dyDescent="0.25">
      <c r="A1208" s="2">
        <v>45519</v>
      </c>
      <c r="B1208" s="3">
        <v>15.23</v>
      </c>
      <c r="C1208" s="3">
        <f t="shared" si="74"/>
        <v>15.23</v>
      </c>
      <c r="D1208" s="3">
        <v>5543.22</v>
      </c>
      <c r="E1208" s="3">
        <f t="shared" si="75"/>
        <v>5543.22</v>
      </c>
      <c r="F1208" s="3">
        <f>MAX($E$2:E1208)</f>
        <v>5667.2</v>
      </c>
      <c r="G1208" s="3">
        <f t="shared" si="72"/>
        <v>-2.187676453980794</v>
      </c>
      <c r="I1208" s="2">
        <v>45037</v>
      </c>
      <c r="J1208" s="3">
        <f>IFERROR(VLOOKUP(I1208,$A$1:$G$1610,3,FALSE),J1207)</f>
        <v>16.77</v>
      </c>
      <c r="K1208" s="3">
        <f>IFERROR(VLOOKUP(I1208,$A$1:$G$1610,7,FALSE),K1207)</f>
        <v>-13.823239988658537</v>
      </c>
      <c r="L1208" s="5">
        <f t="shared" si="73"/>
        <v>1</v>
      </c>
    </row>
    <row r="1209" spans="1:12" x14ac:dyDescent="0.25">
      <c r="A1209" s="2">
        <v>45520</v>
      </c>
      <c r="B1209" s="3">
        <v>14.8</v>
      </c>
      <c r="C1209" s="3">
        <f t="shared" si="74"/>
        <v>14.8</v>
      </c>
      <c r="D1209" s="3">
        <v>5554.25</v>
      </c>
      <c r="E1209" s="3">
        <f t="shared" si="75"/>
        <v>5554.25</v>
      </c>
      <c r="F1209" s="3">
        <f>MAX($E$2:E1209)</f>
        <v>5667.2</v>
      </c>
      <c r="G1209" s="3">
        <f t="shared" si="72"/>
        <v>-1.9930477131564057</v>
      </c>
      <c r="I1209" s="2">
        <v>45038</v>
      </c>
      <c r="J1209" s="3">
        <f>IFERROR(VLOOKUP(I1209,$A$1:$G$1610,3,FALSE),J1208)</f>
        <v>16.77</v>
      </c>
      <c r="K1209" s="3">
        <f>IFERROR(VLOOKUP(I1209,$A$1:$G$1610,7,FALSE),K1208)</f>
        <v>-13.823239988658537</v>
      </c>
      <c r="L1209" s="5">
        <f t="shared" si="73"/>
        <v>1</v>
      </c>
    </row>
    <row r="1210" spans="1:12" x14ac:dyDescent="0.25">
      <c r="A1210" s="2">
        <v>45523</v>
      </c>
      <c r="B1210" s="3">
        <v>14.65</v>
      </c>
      <c r="C1210" s="3">
        <f t="shared" si="74"/>
        <v>14.65</v>
      </c>
      <c r="D1210" s="3">
        <v>5608.25</v>
      </c>
      <c r="E1210" s="3">
        <f t="shared" si="75"/>
        <v>5608.25</v>
      </c>
      <c r="F1210" s="3">
        <f>MAX($E$2:E1210)</f>
        <v>5667.2</v>
      </c>
      <c r="G1210" s="3">
        <f t="shared" si="72"/>
        <v>-1.0401962168266485</v>
      </c>
      <c r="I1210" s="2">
        <v>45039</v>
      </c>
      <c r="J1210" s="3">
        <f>IFERROR(VLOOKUP(I1210,$A$1:$G$1610,3,FALSE),J1209)</f>
        <v>16.77</v>
      </c>
      <c r="K1210" s="3">
        <f>IFERROR(VLOOKUP(I1210,$A$1:$G$1610,7,FALSE),K1209)</f>
        <v>-13.823239988658537</v>
      </c>
      <c r="L1210" s="5">
        <f t="shared" si="73"/>
        <v>1</v>
      </c>
    </row>
    <row r="1211" spans="1:12" x14ac:dyDescent="0.25">
      <c r="A1211" s="2">
        <v>45524</v>
      </c>
      <c r="B1211" s="3">
        <v>15.88</v>
      </c>
      <c r="C1211" s="3">
        <f t="shared" si="74"/>
        <v>15.88</v>
      </c>
      <c r="D1211" s="3">
        <v>5597.12</v>
      </c>
      <c r="E1211" s="3">
        <f t="shared" si="75"/>
        <v>5597.12</v>
      </c>
      <c r="F1211" s="3">
        <f>MAX($E$2:E1211)</f>
        <v>5667.2</v>
      </c>
      <c r="G1211" s="3">
        <f t="shared" si="72"/>
        <v>-1.2365894974590614</v>
      </c>
      <c r="I1211" s="2">
        <v>45040</v>
      </c>
      <c r="J1211" s="3">
        <f>IFERROR(VLOOKUP(I1211,$A$1:$G$1610,3,FALSE),J1210)</f>
        <v>16.89</v>
      </c>
      <c r="K1211" s="3">
        <f>IFERROR(VLOOKUP(I1211,$A$1:$G$1610,7,FALSE),K1210)</f>
        <v>-13.74985406207783</v>
      </c>
      <c r="L1211" s="5">
        <f t="shared" si="73"/>
        <v>1</v>
      </c>
    </row>
    <row r="1212" spans="1:12" x14ac:dyDescent="0.25">
      <c r="A1212" s="2">
        <v>45525</v>
      </c>
      <c r="B1212" s="3">
        <v>16.27</v>
      </c>
      <c r="C1212" s="3">
        <f t="shared" si="74"/>
        <v>16.27</v>
      </c>
      <c r="D1212" s="3">
        <v>5620.85</v>
      </c>
      <c r="E1212" s="3">
        <f t="shared" si="75"/>
        <v>5620.85</v>
      </c>
      <c r="F1212" s="3">
        <f>MAX($E$2:E1212)</f>
        <v>5667.2</v>
      </c>
      <c r="G1212" s="3">
        <f t="shared" si="72"/>
        <v>-0.81786420101636526</v>
      </c>
      <c r="I1212" s="2">
        <v>45041</v>
      </c>
      <c r="J1212" s="3">
        <f>IFERROR(VLOOKUP(I1212,$A$1:$G$1610,3,FALSE),J1211)</f>
        <v>18.760000000000002</v>
      </c>
      <c r="K1212" s="3">
        <f>IFERROR(VLOOKUP(I1212,$A$1:$G$1610,7,FALSE),K1211)</f>
        <v>-15.113539703454146</v>
      </c>
      <c r="L1212" s="5">
        <f t="shared" si="73"/>
        <v>1</v>
      </c>
    </row>
    <row r="1213" spans="1:12" x14ac:dyDescent="0.25">
      <c r="A1213" s="2">
        <v>45526</v>
      </c>
      <c r="B1213" s="3">
        <v>17.55</v>
      </c>
      <c r="C1213" s="3">
        <f t="shared" si="74"/>
        <v>17.55</v>
      </c>
      <c r="D1213" s="3">
        <v>5570.64</v>
      </c>
      <c r="E1213" s="3">
        <f t="shared" si="75"/>
        <v>5570.64</v>
      </c>
      <c r="F1213" s="3">
        <f>MAX($E$2:E1213)</f>
        <v>5667.2</v>
      </c>
      <c r="G1213" s="3">
        <f t="shared" si="72"/>
        <v>-1.7038396386222385</v>
      </c>
      <c r="I1213" s="2">
        <v>45042</v>
      </c>
      <c r="J1213" s="3">
        <f>IFERROR(VLOOKUP(I1213,$A$1:$G$1610,3,FALSE),J1212)</f>
        <v>18.84</v>
      </c>
      <c r="K1213" s="3">
        <f>IFERROR(VLOOKUP(I1213,$A$1:$G$1610,7,FALSE),K1212)</f>
        <v>-15.439606718148019</v>
      </c>
      <c r="L1213" s="5">
        <f t="shared" si="73"/>
        <v>1</v>
      </c>
    </row>
    <row r="1214" spans="1:12" x14ac:dyDescent="0.25">
      <c r="A1214" s="2">
        <v>45527</v>
      </c>
      <c r="B1214" s="3">
        <v>15.86</v>
      </c>
      <c r="C1214" s="3">
        <f t="shared" si="74"/>
        <v>15.86</v>
      </c>
      <c r="D1214" s="3">
        <v>5634.61</v>
      </c>
      <c r="E1214" s="3">
        <f t="shared" si="75"/>
        <v>5634.61</v>
      </c>
      <c r="F1214" s="3">
        <f>MAX($E$2:E1214)</f>
        <v>5667.2</v>
      </c>
      <c r="G1214" s="3">
        <f t="shared" si="72"/>
        <v>-0.57506352343309131</v>
      </c>
      <c r="I1214" s="2">
        <v>45043</v>
      </c>
      <c r="J1214" s="3">
        <f>IFERROR(VLOOKUP(I1214,$A$1:$G$1610,3,FALSE),J1213)</f>
        <v>17.03</v>
      </c>
      <c r="K1214" s="3">
        <f>IFERROR(VLOOKUP(I1214,$A$1:$G$1610,7,FALSE),K1213)</f>
        <v>-13.785087646146405</v>
      </c>
      <c r="L1214" s="5">
        <f t="shared" si="73"/>
        <v>1</v>
      </c>
    </row>
    <row r="1215" spans="1:12" x14ac:dyDescent="0.25">
      <c r="A1215" s="2">
        <v>45530</v>
      </c>
      <c r="B1215" s="3">
        <v>16.149999999999999</v>
      </c>
      <c r="C1215" s="3">
        <f t="shared" si="74"/>
        <v>16.149999999999999</v>
      </c>
      <c r="D1215" s="3">
        <v>5616.84</v>
      </c>
      <c r="E1215" s="3">
        <f t="shared" si="75"/>
        <v>5616.84</v>
      </c>
      <c r="F1215" s="3">
        <f>MAX($E$2:E1215)</f>
        <v>5667.2</v>
      </c>
      <c r="G1215" s="3">
        <f t="shared" si="72"/>
        <v>-0.88862224731789374</v>
      </c>
      <c r="I1215" s="2">
        <v>45044</v>
      </c>
      <c r="J1215" s="3">
        <f>IFERROR(VLOOKUP(I1215,$A$1:$G$1610,3,FALSE),J1214)</f>
        <v>15.78</v>
      </c>
      <c r="K1215" s="3">
        <f>IFERROR(VLOOKUP(I1215,$A$1:$G$1610,7,FALSE),K1214)</f>
        <v>-13.073536034157829</v>
      </c>
      <c r="L1215" s="5">
        <f t="shared" si="73"/>
        <v>1</v>
      </c>
    </row>
    <row r="1216" spans="1:12" x14ac:dyDescent="0.25">
      <c r="A1216" s="2">
        <v>45531</v>
      </c>
      <c r="B1216" s="3">
        <v>15.43</v>
      </c>
      <c r="C1216" s="3">
        <f t="shared" si="74"/>
        <v>15.43</v>
      </c>
      <c r="D1216" s="3">
        <v>5625.8</v>
      </c>
      <c r="E1216" s="3">
        <f t="shared" si="75"/>
        <v>5625.8</v>
      </c>
      <c r="F1216" s="3">
        <f>MAX($E$2:E1216)</f>
        <v>5667.2</v>
      </c>
      <c r="G1216" s="3">
        <f t="shared" si="72"/>
        <v>-0.73051948051947413</v>
      </c>
      <c r="I1216" s="2">
        <v>45045</v>
      </c>
      <c r="J1216" s="3">
        <f>IFERROR(VLOOKUP(I1216,$A$1:$G$1610,3,FALSE),J1215)</f>
        <v>15.78</v>
      </c>
      <c r="K1216" s="3">
        <f>IFERROR(VLOOKUP(I1216,$A$1:$G$1610,7,FALSE),K1215)</f>
        <v>-13.073536034157829</v>
      </c>
      <c r="L1216" s="5">
        <f t="shared" si="73"/>
        <v>1</v>
      </c>
    </row>
    <row r="1217" spans="1:12" x14ac:dyDescent="0.25">
      <c r="A1217" s="2">
        <v>45532</v>
      </c>
      <c r="B1217" s="3">
        <v>17.11</v>
      </c>
      <c r="C1217" s="3">
        <f t="shared" si="74"/>
        <v>17.11</v>
      </c>
      <c r="D1217" s="3">
        <v>5592.18</v>
      </c>
      <c r="E1217" s="3">
        <f t="shared" si="75"/>
        <v>5592.18</v>
      </c>
      <c r="F1217" s="3">
        <f>MAX($E$2:E1217)</f>
        <v>5667.2</v>
      </c>
      <c r="G1217" s="3">
        <f t="shared" si="72"/>
        <v>-1.323757763975147</v>
      </c>
      <c r="I1217" s="2">
        <v>45046</v>
      </c>
      <c r="J1217" s="3">
        <f>IFERROR(VLOOKUP(I1217,$A$1:$G$1610,3,FALSE),J1216)</f>
        <v>15.78</v>
      </c>
      <c r="K1217" s="3">
        <f>IFERROR(VLOOKUP(I1217,$A$1:$G$1610,7,FALSE),K1216)</f>
        <v>-13.073536034157829</v>
      </c>
      <c r="L1217" s="5">
        <f t="shared" si="73"/>
        <v>1</v>
      </c>
    </row>
    <row r="1218" spans="1:12" x14ac:dyDescent="0.25">
      <c r="A1218" s="2">
        <v>45533</v>
      </c>
      <c r="B1218" s="3">
        <v>15.65</v>
      </c>
      <c r="C1218" s="3">
        <f t="shared" si="74"/>
        <v>15.65</v>
      </c>
      <c r="D1218" s="3">
        <v>5591.96</v>
      </c>
      <c r="E1218" s="3">
        <f t="shared" si="75"/>
        <v>5591.96</v>
      </c>
      <c r="F1218" s="3">
        <f>MAX($E$2:E1218)</f>
        <v>5667.2</v>
      </c>
      <c r="G1218" s="3">
        <f t="shared" ref="G1218:G1281" si="76">(E1218-F1218)/F1218*100</f>
        <v>-1.3276397515527913</v>
      </c>
      <c r="I1218" s="2">
        <v>45047</v>
      </c>
      <c r="J1218" s="3">
        <f>IFERROR(VLOOKUP(I1218,$A$1:$G$1610,3,FALSE),J1217)</f>
        <v>16.079999999999998</v>
      </c>
      <c r="K1218" s="3">
        <f>IFERROR(VLOOKUP(I1218,$A$1:$G$1610,7,FALSE),K1217)</f>
        <v>-13.107101756258663</v>
      </c>
      <c r="L1218" s="5">
        <f t="shared" ref="L1218:L1281" si="77">IF(OR(J1218&gt;=30,K1218&lt;-10),1,0)</f>
        <v>1</v>
      </c>
    </row>
    <row r="1219" spans="1:12" x14ac:dyDescent="0.25">
      <c r="A1219" s="2">
        <v>45534</v>
      </c>
      <c r="B1219" s="3">
        <v>15</v>
      </c>
      <c r="C1219" s="3">
        <f t="shared" ref="C1219:C1282" si="78">IF(B1219="",B1218,B1219)</f>
        <v>15</v>
      </c>
      <c r="D1219" s="3">
        <v>5648.4</v>
      </c>
      <c r="E1219" s="3">
        <f t="shared" si="75"/>
        <v>5648.4</v>
      </c>
      <c r="F1219" s="3">
        <f>MAX($E$2:E1219)</f>
        <v>5667.2</v>
      </c>
      <c r="G1219" s="3">
        <f t="shared" si="76"/>
        <v>-0.33173348390740015</v>
      </c>
      <c r="I1219" s="2">
        <v>45048</v>
      </c>
      <c r="J1219" s="3">
        <f>IFERROR(VLOOKUP(I1219,$A$1:$G$1610,3,FALSE),J1218)</f>
        <v>17.78</v>
      </c>
      <c r="K1219" s="3">
        <f>IFERROR(VLOOKUP(I1219,$A$1:$G$1610,7,FALSE),K1218)</f>
        <v>-14.113864936537862</v>
      </c>
      <c r="L1219" s="5">
        <f t="shared" si="77"/>
        <v>1</v>
      </c>
    </row>
    <row r="1220" spans="1:12" x14ac:dyDescent="0.25">
      <c r="A1220" s="2">
        <v>45537</v>
      </c>
      <c r="B1220" s="3">
        <v>15.55</v>
      </c>
      <c r="C1220" s="3">
        <f t="shared" si="78"/>
        <v>15.55</v>
      </c>
      <c r="E1220" s="3">
        <f t="shared" si="75"/>
        <v>5648.4</v>
      </c>
      <c r="F1220" s="3">
        <f>MAX($E$2:E1220)</f>
        <v>5667.2</v>
      </c>
      <c r="G1220" s="3">
        <f t="shared" si="76"/>
        <v>-0.33173348390740015</v>
      </c>
      <c r="I1220" s="2">
        <v>45049</v>
      </c>
      <c r="J1220" s="3">
        <f>IFERROR(VLOOKUP(I1220,$A$1:$G$1610,3,FALSE),J1219)</f>
        <v>18.34</v>
      </c>
      <c r="K1220" s="3">
        <f>IFERROR(VLOOKUP(I1220,$A$1:$G$1610,7,FALSE),K1219)</f>
        <v>-14.714920693163441</v>
      </c>
      <c r="L1220" s="5">
        <f t="shared" si="77"/>
        <v>1</v>
      </c>
    </row>
    <row r="1221" spans="1:12" x14ac:dyDescent="0.25">
      <c r="A1221" s="2">
        <v>45538</v>
      </c>
      <c r="B1221" s="3">
        <v>20.72</v>
      </c>
      <c r="C1221" s="3">
        <f t="shared" si="78"/>
        <v>20.72</v>
      </c>
      <c r="D1221" s="3">
        <v>5528.93</v>
      </c>
      <c r="E1221" s="3">
        <f t="shared" ref="E1221:E1284" si="79">IF(D1221="",D1220,D1221)</f>
        <v>5528.93</v>
      </c>
      <c r="F1221" s="3">
        <f>MAX($E$2:E1221)</f>
        <v>5667.2</v>
      </c>
      <c r="G1221" s="3">
        <f t="shared" si="76"/>
        <v>-2.4398291925465756</v>
      </c>
      <c r="I1221" s="2">
        <v>45050</v>
      </c>
      <c r="J1221" s="3">
        <f>IFERROR(VLOOKUP(I1221,$A$1:$G$1610,3,FALSE),J1220)</f>
        <v>20.09</v>
      </c>
      <c r="K1221" s="3">
        <f>IFERROR(VLOOKUP(I1221,$A$1:$G$1610,7,FALSE),K1220)</f>
        <v>-15.330570242006782</v>
      </c>
      <c r="L1221" s="5">
        <f t="shared" si="77"/>
        <v>1</v>
      </c>
    </row>
    <row r="1222" spans="1:12" x14ac:dyDescent="0.25">
      <c r="A1222" s="2">
        <v>45539</v>
      </c>
      <c r="B1222" s="3">
        <v>21.32</v>
      </c>
      <c r="C1222" s="3">
        <f t="shared" si="78"/>
        <v>21.32</v>
      </c>
      <c r="D1222" s="3">
        <v>5520.07</v>
      </c>
      <c r="E1222" s="3">
        <f t="shared" si="79"/>
        <v>5520.07</v>
      </c>
      <c r="F1222" s="3">
        <f>MAX($E$2:E1222)</f>
        <v>5667.2</v>
      </c>
      <c r="G1222" s="3">
        <f t="shared" si="76"/>
        <v>-2.5961674195369868</v>
      </c>
      <c r="I1222" s="2">
        <v>45051</v>
      </c>
      <c r="J1222" s="3">
        <f>IFERROR(VLOOKUP(I1222,$A$1:$G$1610,3,FALSE),J1221)</f>
        <v>17.190000000000001</v>
      </c>
      <c r="K1222" s="3">
        <f>IFERROR(VLOOKUP(I1222,$A$1:$G$1610,7,FALSE),K1221)</f>
        <v>-13.766324199009297</v>
      </c>
      <c r="L1222" s="5">
        <f t="shared" si="77"/>
        <v>1</v>
      </c>
    </row>
    <row r="1223" spans="1:12" x14ac:dyDescent="0.25">
      <c r="A1223" s="2">
        <v>45540</v>
      </c>
      <c r="B1223" s="3">
        <v>19.899999999999999</v>
      </c>
      <c r="C1223" s="3">
        <f t="shared" si="78"/>
        <v>19.899999999999999</v>
      </c>
      <c r="D1223" s="3">
        <v>5503.41</v>
      </c>
      <c r="E1223" s="3">
        <f t="shared" si="79"/>
        <v>5503.41</v>
      </c>
      <c r="F1223" s="3">
        <f>MAX($E$2:E1223)</f>
        <v>5667.2</v>
      </c>
      <c r="G1223" s="3">
        <f t="shared" si="76"/>
        <v>-2.8901397515527947</v>
      </c>
      <c r="I1223" s="2">
        <v>45052</v>
      </c>
      <c r="J1223" s="3">
        <f>IFERROR(VLOOKUP(I1223,$A$1:$G$1610,3,FALSE),J1222)</f>
        <v>17.190000000000001</v>
      </c>
      <c r="K1223" s="3">
        <f>IFERROR(VLOOKUP(I1223,$A$1:$G$1610,7,FALSE),K1222)</f>
        <v>-13.766324199009297</v>
      </c>
      <c r="L1223" s="5">
        <f t="shared" si="77"/>
        <v>1</v>
      </c>
    </row>
    <row r="1224" spans="1:12" x14ac:dyDescent="0.25">
      <c r="A1224" s="2">
        <v>45541</v>
      </c>
      <c r="B1224" s="3">
        <v>22.38</v>
      </c>
      <c r="C1224" s="3">
        <f t="shared" si="78"/>
        <v>22.38</v>
      </c>
      <c r="D1224" s="3">
        <v>5408.42</v>
      </c>
      <c r="E1224" s="3">
        <f t="shared" si="79"/>
        <v>5408.42</v>
      </c>
      <c r="F1224" s="3">
        <f>MAX($E$2:E1224)</f>
        <v>5667.2</v>
      </c>
      <c r="G1224" s="3">
        <f t="shared" si="76"/>
        <v>-4.5662761151891544</v>
      </c>
      <c r="I1224" s="2">
        <v>45053</v>
      </c>
      <c r="J1224" s="3">
        <f>IFERROR(VLOOKUP(I1224,$A$1:$G$1610,3,FALSE),J1223)</f>
        <v>17.190000000000001</v>
      </c>
      <c r="K1224" s="3">
        <f>IFERROR(VLOOKUP(I1224,$A$1:$G$1610,7,FALSE),K1223)</f>
        <v>-13.766324199009297</v>
      </c>
      <c r="L1224" s="5">
        <f t="shared" si="77"/>
        <v>1</v>
      </c>
    </row>
    <row r="1225" spans="1:12" x14ac:dyDescent="0.25">
      <c r="A1225" s="2">
        <v>45544</v>
      </c>
      <c r="B1225" s="3">
        <v>19.45</v>
      </c>
      <c r="C1225" s="3">
        <f t="shared" si="78"/>
        <v>19.45</v>
      </c>
      <c r="D1225" s="3">
        <v>5471.05</v>
      </c>
      <c r="E1225" s="3">
        <f t="shared" si="79"/>
        <v>5471.05</v>
      </c>
      <c r="F1225" s="3">
        <f>MAX($E$2:E1225)</f>
        <v>5667.2</v>
      </c>
      <c r="G1225" s="3">
        <f t="shared" si="76"/>
        <v>-3.461144833427436</v>
      </c>
      <c r="I1225" s="2">
        <v>45054</v>
      </c>
      <c r="J1225" s="3">
        <f>IFERROR(VLOOKUP(I1225,$A$1:$G$1610,3,FALSE),J1224)</f>
        <v>16.98</v>
      </c>
      <c r="K1225" s="3">
        <f>IFERROR(VLOOKUP(I1225,$A$1:$G$1610,7,FALSE),K1224)</f>
        <v>-13.727337925513295</v>
      </c>
      <c r="L1225" s="5">
        <f t="shared" si="77"/>
        <v>1</v>
      </c>
    </row>
    <row r="1226" spans="1:12" x14ac:dyDescent="0.25">
      <c r="A1226" s="2">
        <v>45545</v>
      </c>
      <c r="B1226" s="3">
        <v>19.079999999999998</v>
      </c>
      <c r="C1226" s="3">
        <f t="shared" si="78"/>
        <v>19.079999999999998</v>
      </c>
      <c r="D1226" s="3">
        <v>5495.52</v>
      </c>
      <c r="E1226" s="3">
        <f t="shared" si="79"/>
        <v>5495.52</v>
      </c>
      <c r="F1226" s="3">
        <f>MAX($E$2:E1226)</f>
        <v>5667.2</v>
      </c>
      <c r="G1226" s="3">
        <f t="shared" si="76"/>
        <v>-3.0293619424054099</v>
      </c>
      <c r="I1226" s="2">
        <v>45055</v>
      </c>
      <c r="J1226" s="3">
        <f>IFERROR(VLOOKUP(I1226,$A$1:$G$1610,3,FALSE),J1225)</f>
        <v>17.71</v>
      </c>
      <c r="K1226" s="3">
        <f>IFERROR(VLOOKUP(I1226,$A$1:$G$1610,7,FALSE),K1225)</f>
        <v>-14.122412729122544</v>
      </c>
      <c r="L1226" s="5">
        <f t="shared" si="77"/>
        <v>1</v>
      </c>
    </row>
    <row r="1227" spans="1:12" x14ac:dyDescent="0.25">
      <c r="A1227" s="2">
        <v>45546</v>
      </c>
      <c r="B1227" s="3">
        <v>17.690000000000001</v>
      </c>
      <c r="C1227" s="3">
        <f t="shared" si="78"/>
        <v>17.690000000000001</v>
      </c>
      <c r="D1227" s="3">
        <v>5554.13</v>
      </c>
      <c r="E1227" s="3">
        <f t="shared" si="79"/>
        <v>5554.13</v>
      </c>
      <c r="F1227" s="3">
        <f>MAX($E$2:E1227)</f>
        <v>5667.2</v>
      </c>
      <c r="G1227" s="3">
        <f t="shared" si="76"/>
        <v>-1.9951651609260255</v>
      </c>
      <c r="I1227" s="2">
        <v>45056</v>
      </c>
      <c r="J1227" s="3">
        <f>IFERROR(VLOOKUP(I1227,$A$1:$G$1610,3,FALSE),J1226)</f>
        <v>16.940000000000001</v>
      </c>
      <c r="K1227" s="3">
        <f>IFERROR(VLOOKUP(I1227,$A$1:$G$1610,7,FALSE),K1226)</f>
        <v>-13.737345097319748</v>
      </c>
      <c r="L1227" s="5">
        <f t="shared" si="77"/>
        <v>1</v>
      </c>
    </row>
    <row r="1228" spans="1:12" x14ac:dyDescent="0.25">
      <c r="A1228" s="2">
        <v>45547</v>
      </c>
      <c r="B1228" s="3">
        <v>17.07</v>
      </c>
      <c r="C1228" s="3">
        <f t="shared" si="78"/>
        <v>17.07</v>
      </c>
      <c r="D1228" s="3">
        <v>5595.76</v>
      </c>
      <c r="E1228" s="3">
        <f t="shared" si="79"/>
        <v>5595.76</v>
      </c>
      <c r="F1228" s="3">
        <f>MAX($E$2:E1228)</f>
        <v>5667.2</v>
      </c>
      <c r="G1228" s="3">
        <f t="shared" si="76"/>
        <v>-1.2605872388481014</v>
      </c>
      <c r="I1228" s="2">
        <v>45057</v>
      </c>
      <c r="J1228" s="3">
        <f>IFERROR(VLOOKUP(I1228,$A$1:$G$1610,3,FALSE),J1227)</f>
        <v>16.93</v>
      </c>
      <c r="K1228" s="3">
        <f>IFERROR(VLOOKUP(I1228,$A$1:$G$1610,7,FALSE),K1227)</f>
        <v>-13.883699984989251</v>
      </c>
      <c r="L1228" s="5">
        <f t="shared" si="77"/>
        <v>1</v>
      </c>
    </row>
    <row r="1229" spans="1:12" x14ac:dyDescent="0.25">
      <c r="A1229" s="2">
        <v>45548</v>
      </c>
      <c r="B1229" s="3">
        <v>16.559999999999999</v>
      </c>
      <c r="C1229" s="3">
        <f t="shared" si="78"/>
        <v>16.559999999999999</v>
      </c>
      <c r="D1229" s="3">
        <v>5626.02</v>
      </c>
      <c r="E1229" s="3">
        <f t="shared" si="79"/>
        <v>5626.02</v>
      </c>
      <c r="F1229" s="3">
        <f>MAX($E$2:E1229)</f>
        <v>5667.2</v>
      </c>
      <c r="G1229" s="3">
        <f t="shared" si="76"/>
        <v>-0.72663749294182989</v>
      </c>
      <c r="I1229" s="2">
        <v>45058</v>
      </c>
      <c r="J1229" s="3">
        <f>IFERROR(VLOOKUP(I1229,$A$1:$G$1610,3,FALSE),J1228)</f>
        <v>17.03</v>
      </c>
      <c r="K1229" s="3">
        <f>IFERROR(VLOOKUP(I1229,$A$1:$G$1610,7,FALSE),K1228)</f>
        <v>-14.020047700852286</v>
      </c>
      <c r="L1229" s="5">
        <f t="shared" si="77"/>
        <v>1</v>
      </c>
    </row>
    <row r="1230" spans="1:12" x14ac:dyDescent="0.25">
      <c r="A1230" s="2">
        <v>45551</v>
      </c>
      <c r="B1230" s="3">
        <v>17.14</v>
      </c>
      <c r="C1230" s="3">
        <f t="shared" si="78"/>
        <v>17.14</v>
      </c>
      <c r="D1230" s="3">
        <v>5633.09</v>
      </c>
      <c r="E1230" s="3">
        <f t="shared" si="79"/>
        <v>5633.09</v>
      </c>
      <c r="F1230" s="3">
        <f>MAX($E$2:E1230)</f>
        <v>5667.2</v>
      </c>
      <c r="G1230" s="3">
        <f t="shared" si="76"/>
        <v>-0.60188452851495755</v>
      </c>
      <c r="I1230" s="2">
        <v>45059</v>
      </c>
      <c r="J1230" s="3">
        <f>IFERROR(VLOOKUP(I1230,$A$1:$G$1610,3,FALSE),J1229)</f>
        <v>17.03</v>
      </c>
      <c r="K1230" s="3">
        <f>IFERROR(VLOOKUP(I1230,$A$1:$G$1610,7,FALSE),K1229)</f>
        <v>-14.020047700852286</v>
      </c>
      <c r="L1230" s="5">
        <f t="shared" si="77"/>
        <v>1</v>
      </c>
    </row>
    <row r="1231" spans="1:12" x14ac:dyDescent="0.25">
      <c r="A1231" s="2">
        <v>45552</v>
      </c>
      <c r="B1231" s="3">
        <v>17.61</v>
      </c>
      <c r="C1231" s="3">
        <f t="shared" si="78"/>
        <v>17.61</v>
      </c>
      <c r="D1231" s="3">
        <v>5634.58</v>
      </c>
      <c r="E1231" s="3">
        <f t="shared" si="79"/>
        <v>5634.58</v>
      </c>
      <c r="F1231" s="3">
        <f>MAX($E$2:E1231)</f>
        <v>5667.2</v>
      </c>
      <c r="G1231" s="3">
        <f t="shared" si="76"/>
        <v>-0.57559288537549214</v>
      </c>
      <c r="I1231" s="2">
        <v>45060</v>
      </c>
      <c r="J1231" s="3">
        <f>IFERROR(VLOOKUP(I1231,$A$1:$G$1610,3,FALSE),J1230)</f>
        <v>17.03</v>
      </c>
      <c r="K1231" s="3">
        <f>IFERROR(VLOOKUP(I1231,$A$1:$G$1610,7,FALSE),K1230)</f>
        <v>-14.020047700852286</v>
      </c>
      <c r="L1231" s="5">
        <f t="shared" si="77"/>
        <v>1</v>
      </c>
    </row>
    <row r="1232" spans="1:12" x14ac:dyDescent="0.25">
      <c r="A1232" s="2">
        <v>45553</v>
      </c>
      <c r="B1232" s="3">
        <v>18.23</v>
      </c>
      <c r="C1232" s="3">
        <f t="shared" si="78"/>
        <v>18.23</v>
      </c>
      <c r="D1232" s="3">
        <v>5618.26</v>
      </c>
      <c r="E1232" s="3">
        <f t="shared" si="79"/>
        <v>5618.26</v>
      </c>
      <c r="F1232" s="3">
        <f>MAX($E$2:E1232)</f>
        <v>5667.2</v>
      </c>
      <c r="G1232" s="3">
        <f t="shared" si="76"/>
        <v>-0.86356578204403589</v>
      </c>
      <c r="I1232" s="2">
        <v>45061</v>
      </c>
      <c r="J1232" s="3">
        <f>IFERROR(VLOOKUP(I1232,$A$1:$G$1610,3,FALSE),J1231)</f>
        <v>17.12</v>
      </c>
      <c r="K1232" s="3">
        <f>IFERROR(VLOOKUP(I1232,$A$1:$G$1610,7,FALSE),K1231)</f>
        <v>-13.765698750771399</v>
      </c>
      <c r="L1232" s="5">
        <f t="shared" si="77"/>
        <v>1</v>
      </c>
    </row>
    <row r="1233" spans="1:12" x14ac:dyDescent="0.25">
      <c r="A1233" s="2">
        <v>45554</v>
      </c>
      <c r="B1233" s="3">
        <v>16.329999999999998</v>
      </c>
      <c r="C1233" s="3">
        <f t="shared" si="78"/>
        <v>16.329999999999998</v>
      </c>
      <c r="D1233" s="3">
        <v>5713.64</v>
      </c>
      <c r="E1233" s="3">
        <f t="shared" si="79"/>
        <v>5713.64</v>
      </c>
      <c r="F1233" s="3">
        <f>MAX($E$2:E1233)</f>
        <v>5713.64</v>
      </c>
      <c r="G1233" s="3">
        <f t="shared" si="76"/>
        <v>0</v>
      </c>
      <c r="I1233" s="2">
        <v>45062</v>
      </c>
      <c r="J1233" s="3">
        <f>IFERROR(VLOOKUP(I1233,$A$1:$G$1610,3,FALSE),J1232)</f>
        <v>17.989999999999998</v>
      </c>
      <c r="K1233" s="3">
        <f>IFERROR(VLOOKUP(I1233,$A$1:$G$1610,7,FALSE),K1232)</f>
        <v>-14.315676234634836</v>
      </c>
      <c r="L1233" s="5">
        <f t="shared" si="77"/>
        <v>1</v>
      </c>
    </row>
    <row r="1234" spans="1:12" x14ac:dyDescent="0.25">
      <c r="A1234" s="2">
        <v>45555</v>
      </c>
      <c r="B1234" s="3">
        <v>16.149999999999999</v>
      </c>
      <c r="C1234" s="3">
        <f t="shared" si="78"/>
        <v>16.149999999999999</v>
      </c>
      <c r="D1234" s="3">
        <v>5702.55</v>
      </c>
      <c r="E1234" s="3">
        <f t="shared" si="79"/>
        <v>5702.55</v>
      </c>
      <c r="F1234" s="3">
        <f>MAX($E$2:E1234)</f>
        <v>5713.64</v>
      </c>
      <c r="G1234" s="3">
        <f t="shared" si="76"/>
        <v>-0.19409693295342628</v>
      </c>
      <c r="I1234" s="2">
        <v>45063</v>
      </c>
      <c r="J1234" s="3">
        <f>IFERROR(VLOOKUP(I1234,$A$1:$G$1610,3,FALSE),J1233)</f>
        <v>16.87</v>
      </c>
      <c r="K1234" s="3">
        <f>IFERROR(VLOOKUP(I1234,$A$1:$G$1610,7,FALSE),K1233)</f>
        <v>-13.296821055089477</v>
      </c>
      <c r="L1234" s="5">
        <f t="shared" si="77"/>
        <v>1</v>
      </c>
    </row>
    <row r="1235" spans="1:12" x14ac:dyDescent="0.25">
      <c r="A1235" s="2">
        <v>45558</v>
      </c>
      <c r="B1235" s="3">
        <v>15.89</v>
      </c>
      <c r="C1235" s="3">
        <f t="shared" si="78"/>
        <v>15.89</v>
      </c>
      <c r="D1235" s="3">
        <v>5718.57</v>
      </c>
      <c r="E1235" s="3">
        <f t="shared" si="79"/>
        <v>5718.57</v>
      </c>
      <c r="F1235" s="3">
        <f>MAX($E$2:E1235)</f>
        <v>5718.57</v>
      </c>
      <c r="G1235" s="3">
        <f t="shared" si="76"/>
        <v>0</v>
      </c>
      <c r="I1235" s="2">
        <v>45064</v>
      </c>
      <c r="J1235" s="3">
        <f>IFERROR(VLOOKUP(I1235,$A$1:$G$1610,3,FALSE),J1234)</f>
        <v>16.05</v>
      </c>
      <c r="K1235" s="3">
        <f>IFERROR(VLOOKUP(I1235,$A$1:$G$1610,7,FALSE),K1234)</f>
        <v>-12.477900828927401</v>
      </c>
      <c r="L1235" s="5">
        <f t="shared" si="77"/>
        <v>1</v>
      </c>
    </row>
    <row r="1236" spans="1:12" x14ac:dyDescent="0.25">
      <c r="A1236" s="2">
        <v>45559</v>
      </c>
      <c r="B1236" s="3">
        <v>15.39</v>
      </c>
      <c r="C1236" s="3">
        <f t="shared" si="78"/>
        <v>15.39</v>
      </c>
      <c r="D1236" s="3">
        <v>5732.93</v>
      </c>
      <c r="E1236" s="3">
        <f t="shared" si="79"/>
        <v>5732.93</v>
      </c>
      <c r="F1236" s="3">
        <f>MAX($E$2:E1236)</f>
        <v>5732.93</v>
      </c>
      <c r="G1236" s="3">
        <f t="shared" si="76"/>
        <v>0</v>
      </c>
      <c r="I1236" s="2">
        <v>45065</v>
      </c>
      <c r="J1236" s="3">
        <f>IFERROR(VLOOKUP(I1236,$A$1:$G$1610,3,FALSE),J1235)</f>
        <v>16.809999999999999</v>
      </c>
      <c r="K1236" s="3">
        <f>IFERROR(VLOOKUP(I1236,$A$1:$G$1610,7,FALSE),K1235)</f>
        <v>-12.604449855729957</v>
      </c>
      <c r="L1236" s="5">
        <f t="shared" si="77"/>
        <v>1</v>
      </c>
    </row>
    <row r="1237" spans="1:12" x14ac:dyDescent="0.25">
      <c r="A1237" s="2">
        <v>45560</v>
      </c>
      <c r="B1237" s="3">
        <v>15.41</v>
      </c>
      <c r="C1237" s="3">
        <f t="shared" si="78"/>
        <v>15.41</v>
      </c>
      <c r="D1237" s="3">
        <v>5722.26</v>
      </c>
      <c r="E1237" s="3">
        <f t="shared" si="79"/>
        <v>5722.26</v>
      </c>
      <c r="F1237" s="3">
        <f>MAX($E$2:E1237)</f>
        <v>5732.93</v>
      </c>
      <c r="G1237" s="3">
        <f t="shared" si="76"/>
        <v>-0.18611774432968956</v>
      </c>
      <c r="I1237" s="2">
        <v>45066</v>
      </c>
      <c r="J1237" s="3">
        <f>IFERROR(VLOOKUP(I1237,$A$1:$G$1610,3,FALSE),J1236)</f>
        <v>16.809999999999999</v>
      </c>
      <c r="K1237" s="3">
        <f>IFERROR(VLOOKUP(I1237,$A$1:$G$1610,7,FALSE),K1236)</f>
        <v>-12.604449855729957</v>
      </c>
      <c r="L1237" s="5">
        <f t="shared" si="77"/>
        <v>1</v>
      </c>
    </row>
    <row r="1238" spans="1:12" x14ac:dyDescent="0.25">
      <c r="A1238" s="2">
        <v>45561</v>
      </c>
      <c r="B1238" s="3">
        <v>15.37</v>
      </c>
      <c r="C1238" s="3">
        <f t="shared" si="78"/>
        <v>15.37</v>
      </c>
      <c r="D1238" s="3">
        <v>5745.37</v>
      </c>
      <c r="E1238" s="3">
        <f t="shared" si="79"/>
        <v>5745.37</v>
      </c>
      <c r="F1238" s="3">
        <f>MAX($E$2:E1238)</f>
        <v>5745.37</v>
      </c>
      <c r="G1238" s="3">
        <f t="shared" si="76"/>
        <v>0</v>
      </c>
      <c r="I1238" s="2">
        <v>45067</v>
      </c>
      <c r="J1238" s="3">
        <f>IFERROR(VLOOKUP(I1238,$A$1:$G$1610,3,FALSE),J1237)</f>
        <v>16.809999999999999</v>
      </c>
      <c r="K1238" s="3">
        <f>IFERROR(VLOOKUP(I1238,$A$1:$G$1610,7,FALSE),K1237)</f>
        <v>-12.604449855729957</v>
      </c>
      <c r="L1238" s="5">
        <f t="shared" si="77"/>
        <v>1</v>
      </c>
    </row>
    <row r="1239" spans="1:12" x14ac:dyDescent="0.25">
      <c r="A1239" s="2">
        <v>45562</v>
      </c>
      <c r="B1239" s="3">
        <v>16.96</v>
      </c>
      <c r="C1239" s="3">
        <f t="shared" si="78"/>
        <v>16.96</v>
      </c>
      <c r="D1239" s="3">
        <v>5738.17</v>
      </c>
      <c r="E1239" s="3">
        <f t="shared" si="79"/>
        <v>5738.17</v>
      </c>
      <c r="F1239" s="3">
        <f>MAX($E$2:E1239)</f>
        <v>5745.37</v>
      </c>
      <c r="G1239" s="3">
        <f t="shared" si="76"/>
        <v>-0.12531829977877523</v>
      </c>
      <c r="I1239" s="2">
        <v>45068</v>
      </c>
      <c r="J1239" s="3">
        <f>IFERROR(VLOOKUP(I1239,$A$1:$G$1610,3,FALSE),J1238)</f>
        <v>17.21</v>
      </c>
      <c r="K1239" s="3">
        <f>IFERROR(VLOOKUP(I1239,$A$1:$G$1610,7,FALSE),K1238)</f>
        <v>-12.59089847724203</v>
      </c>
      <c r="L1239" s="5">
        <f t="shared" si="77"/>
        <v>1</v>
      </c>
    </row>
    <row r="1240" spans="1:12" x14ac:dyDescent="0.25">
      <c r="A1240" s="2">
        <v>45565</v>
      </c>
      <c r="B1240" s="3">
        <v>16.73</v>
      </c>
      <c r="C1240" s="3">
        <f t="shared" si="78"/>
        <v>16.73</v>
      </c>
      <c r="D1240" s="3">
        <v>5762.48</v>
      </c>
      <c r="E1240" s="3">
        <f t="shared" si="79"/>
        <v>5762.48</v>
      </c>
      <c r="F1240" s="3">
        <f>MAX($E$2:E1240)</f>
        <v>5762.48</v>
      </c>
      <c r="G1240" s="3">
        <f t="shared" si="76"/>
        <v>0</v>
      </c>
      <c r="I1240" s="2">
        <v>45069</v>
      </c>
      <c r="J1240" s="3">
        <f>IFERROR(VLOOKUP(I1240,$A$1:$G$1610,3,FALSE),J1239)</f>
        <v>18.53</v>
      </c>
      <c r="K1240" s="3">
        <f>IFERROR(VLOOKUP(I1240,$A$1:$G$1610,7,FALSE),K1239)</f>
        <v>-13.571809797021206</v>
      </c>
      <c r="L1240" s="5">
        <f t="shared" si="77"/>
        <v>1</v>
      </c>
    </row>
    <row r="1241" spans="1:12" x14ac:dyDescent="0.25">
      <c r="A1241" s="2">
        <v>45566</v>
      </c>
      <c r="B1241" s="3">
        <v>19.260000000000002</v>
      </c>
      <c r="C1241" s="3">
        <f t="shared" si="78"/>
        <v>19.260000000000002</v>
      </c>
      <c r="D1241" s="3">
        <v>5708.75</v>
      </c>
      <c r="E1241" s="3">
        <f t="shared" si="79"/>
        <v>5708.75</v>
      </c>
      <c r="F1241" s="3">
        <f>MAX($E$2:E1241)</f>
        <v>5762.48</v>
      </c>
      <c r="G1241" s="3">
        <f t="shared" si="76"/>
        <v>-0.9324110452444011</v>
      </c>
      <c r="I1241" s="2">
        <v>45070</v>
      </c>
      <c r="J1241" s="3">
        <f>IFERROR(VLOOKUP(I1241,$A$1:$G$1610,3,FALSE),J1240)</f>
        <v>20.03</v>
      </c>
      <c r="K1241" s="3">
        <f>IFERROR(VLOOKUP(I1241,$A$1:$G$1610,7,FALSE),K1240)</f>
        <v>-14.204346448287952</v>
      </c>
      <c r="L1241" s="5">
        <f t="shared" si="77"/>
        <v>1</v>
      </c>
    </row>
    <row r="1242" spans="1:12" x14ac:dyDescent="0.25">
      <c r="A1242" s="2">
        <v>45567</v>
      </c>
      <c r="B1242" s="3">
        <v>18.899999999999999</v>
      </c>
      <c r="C1242" s="3">
        <f t="shared" si="78"/>
        <v>18.899999999999999</v>
      </c>
      <c r="D1242" s="3">
        <v>5709.54</v>
      </c>
      <c r="E1242" s="3">
        <f t="shared" si="79"/>
        <v>5709.54</v>
      </c>
      <c r="F1242" s="3">
        <f>MAX($E$2:E1242)</f>
        <v>5762.48</v>
      </c>
      <c r="G1242" s="3">
        <f t="shared" si="76"/>
        <v>-0.91870167011424952</v>
      </c>
      <c r="I1242" s="2">
        <v>45071</v>
      </c>
      <c r="J1242" s="3">
        <f>IFERROR(VLOOKUP(I1242,$A$1:$G$1610,3,FALSE),J1241)</f>
        <v>19.14</v>
      </c>
      <c r="K1242" s="3">
        <f>IFERROR(VLOOKUP(I1242,$A$1:$G$1610,7,FALSE),K1241)</f>
        <v>-13.452974631819483</v>
      </c>
      <c r="L1242" s="5">
        <f t="shared" si="77"/>
        <v>1</v>
      </c>
    </row>
    <row r="1243" spans="1:12" x14ac:dyDescent="0.25">
      <c r="A1243" s="2">
        <v>45568</v>
      </c>
      <c r="B1243" s="3">
        <v>20.49</v>
      </c>
      <c r="C1243" s="3">
        <f t="shared" si="78"/>
        <v>20.49</v>
      </c>
      <c r="D1243" s="3">
        <v>5699.94</v>
      </c>
      <c r="E1243" s="3">
        <f t="shared" si="79"/>
        <v>5699.94</v>
      </c>
      <c r="F1243" s="3">
        <f>MAX($E$2:E1243)</f>
        <v>5762.48</v>
      </c>
      <c r="G1243" s="3">
        <f t="shared" si="76"/>
        <v>-1.0852966084047142</v>
      </c>
      <c r="I1243" s="2">
        <v>45072</v>
      </c>
      <c r="J1243" s="3">
        <f>IFERROR(VLOOKUP(I1243,$A$1:$G$1610,3,FALSE),J1242)</f>
        <v>17.95</v>
      </c>
      <c r="K1243" s="3">
        <f>IFERROR(VLOOKUP(I1243,$A$1:$G$1610,7,FALSE),K1242)</f>
        <v>-12.32362359691113</v>
      </c>
      <c r="L1243" s="5">
        <f t="shared" si="77"/>
        <v>1</v>
      </c>
    </row>
    <row r="1244" spans="1:12" x14ac:dyDescent="0.25">
      <c r="A1244" s="2">
        <v>45569</v>
      </c>
      <c r="B1244" s="3">
        <v>19.21</v>
      </c>
      <c r="C1244" s="3">
        <f t="shared" si="78"/>
        <v>19.21</v>
      </c>
      <c r="D1244" s="3">
        <v>5751.07</v>
      </c>
      <c r="E1244" s="3">
        <f t="shared" si="79"/>
        <v>5751.07</v>
      </c>
      <c r="F1244" s="3">
        <f>MAX($E$2:E1244)</f>
        <v>5762.48</v>
      </c>
      <c r="G1244" s="3">
        <f t="shared" si="76"/>
        <v>-0.19800502561396924</v>
      </c>
      <c r="I1244" s="2">
        <v>45073</v>
      </c>
      <c r="J1244" s="3">
        <f>IFERROR(VLOOKUP(I1244,$A$1:$G$1610,3,FALSE),J1243)</f>
        <v>17.95</v>
      </c>
      <c r="K1244" s="3">
        <f>IFERROR(VLOOKUP(I1244,$A$1:$G$1610,7,FALSE),K1243)</f>
        <v>-12.32362359691113</v>
      </c>
      <c r="L1244" s="5">
        <f t="shared" si="77"/>
        <v>1</v>
      </c>
    </row>
    <row r="1245" spans="1:12" x14ac:dyDescent="0.25">
      <c r="A1245" s="2">
        <v>45572</v>
      </c>
      <c r="B1245" s="3">
        <v>22.64</v>
      </c>
      <c r="C1245" s="3">
        <f t="shared" si="78"/>
        <v>22.64</v>
      </c>
      <c r="D1245" s="3">
        <v>5695.94</v>
      </c>
      <c r="E1245" s="3">
        <f t="shared" si="79"/>
        <v>5695.94</v>
      </c>
      <c r="F1245" s="3">
        <f>MAX($E$2:E1245)</f>
        <v>5762.48</v>
      </c>
      <c r="G1245" s="3">
        <f t="shared" si="76"/>
        <v>-1.1547111660257383</v>
      </c>
      <c r="I1245" s="2">
        <v>45074</v>
      </c>
      <c r="J1245" s="3">
        <f>IFERROR(VLOOKUP(I1245,$A$1:$G$1610,3,FALSE),J1244)</f>
        <v>17.95</v>
      </c>
      <c r="K1245" s="3">
        <f>IFERROR(VLOOKUP(I1245,$A$1:$G$1610,7,FALSE),K1244)</f>
        <v>-12.32362359691113</v>
      </c>
      <c r="L1245" s="5">
        <f t="shared" si="77"/>
        <v>1</v>
      </c>
    </row>
    <row r="1246" spans="1:12" x14ac:dyDescent="0.25">
      <c r="A1246" s="2">
        <v>45573</v>
      </c>
      <c r="B1246" s="3">
        <v>21.42</v>
      </c>
      <c r="C1246" s="3">
        <f t="shared" si="78"/>
        <v>21.42</v>
      </c>
      <c r="D1246" s="3">
        <v>5751.13</v>
      </c>
      <c r="E1246" s="3">
        <f t="shared" si="79"/>
        <v>5751.13</v>
      </c>
      <c r="F1246" s="3">
        <f>MAX($E$2:E1246)</f>
        <v>5762.48</v>
      </c>
      <c r="G1246" s="3">
        <f t="shared" si="76"/>
        <v>-0.19696380724964693</v>
      </c>
      <c r="I1246" s="2">
        <v>45075</v>
      </c>
      <c r="J1246" s="3">
        <f>IFERROR(VLOOKUP(I1246,$A$1:$G$1610,3,FALSE),J1245)</f>
        <v>17.46</v>
      </c>
      <c r="K1246" s="3">
        <f>IFERROR(VLOOKUP(I1246,$A$1:$G$1610,7,FALSE),K1245)</f>
        <v>-12.32362359691113</v>
      </c>
      <c r="L1246" s="5">
        <f t="shared" si="77"/>
        <v>1</v>
      </c>
    </row>
    <row r="1247" spans="1:12" x14ac:dyDescent="0.25">
      <c r="A1247" s="2">
        <v>45574</v>
      </c>
      <c r="B1247" s="3">
        <v>20.86</v>
      </c>
      <c r="C1247" s="3">
        <f t="shared" si="78"/>
        <v>20.86</v>
      </c>
      <c r="D1247" s="3">
        <v>5792.04</v>
      </c>
      <c r="E1247" s="3">
        <f t="shared" si="79"/>
        <v>5792.04</v>
      </c>
      <c r="F1247" s="3">
        <f>MAX($E$2:E1247)</f>
        <v>5792.04</v>
      </c>
      <c r="G1247" s="3">
        <f t="shared" si="76"/>
        <v>0</v>
      </c>
      <c r="I1247" s="2">
        <v>45076</v>
      </c>
      <c r="J1247" s="3">
        <f>IFERROR(VLOOKUP(I1247,$A$1:$G$1610,3,FALSE),J1246)</f>
        <v>17.46</v>
      </c>
      <c r="K1247" s="3">
        <f>IFERROR(VLOOKUP(I1247,$A$1:$G$1610,7,FALSE),K1246)</f>
        <v>-12.322164217689343</v>
      </c>
      <c r="L1247" s="5">
        <f t="shared" si="77"/>
        <v>1</v>
      </c>
    </row>
    <row r="1248" spans="1:12" x14ac:dyDescent="0.25">
      <c r="A1248" s="2">
        <v>45575</v>
      </c>
      <c r="B1248" s="3">
        <v>20.93</v>
      </c>
      <c r="C1248" s="3">
        <f t="shared" si="78"/>
        <v>20.93</v>
      </c>
      <c r="D1248" s="3">
        <v>5780.05</v>
      </c>
      <c r="E1248" s="3">
        <f t="shared" si="79"/>
        <v>5780.05</v>
      </c>
      <c r="F1248" s="3">
        <f>MAX($E$2:E1248)</f>
        <v>5792.04</v>
      </c>
      <c r="G1248" s="3">
        <f t="shared" si="76"/>
        <v>-0.20700823889337402</v>
      </c>
      <c r="I1248" s="2">
        <v>45077</v>
      </c>
      <c r="J1248" s="3">
        <f>IFERROR(VLOOKUP(I1248,$A$1:$G$1610,3,FALSE),J1247)</f>
        <v>17.940000000000001</v>
      </c>
      <c r="K1248" s="3">
        <f>IFERROR(VLOOKUP(I1248,$A$1:$G$1610,7,FALSE),K1247)</f>
        <v>-12.857756392080999</v>
      </c>
      <c r="L1248" s="5">
        <f t="shared" si="77"/>
        <v>1</v>
      </c>
    </row>
    <row r="1249" spans="1:12" x14ac:dyDescent="0.25">
      <c r="A1249" s="2">
        <v>45576</v>
      </c>
      <c r="B1249" s="3">
        <v>20.46</v>
      </c>
      <c r="C1249" s="3">
        <f t="shared" si="78"/>
        <v>20.46</v>
      </c>
      <c r="D1249" s="3">
        <v>5815.03</v>
      </c>
      <c r="E1249" s="3">
        <f t="shared" si="79"/>
        <v>5815.03</v>
      </c>
      <c r="F1249" s="3">
        <f>MAX($E$2:E1249)</f>
        <v>5815.03</v>
      </c>
      <c r="G1249" s="3">
        <f t="shared" si="76"/>
        <v>0</v>
      </c>
      <c r="I1249" s="2">
        <v>45078</v>
      </c>
      <c r="J1249" s="3">
        <f>IFERROR(VLOOKUP(I1249,$A$1:$G$1610,3,FALSE),J1248)</f>
        <v>15.65</v>
      </c>
      <c r="K1249" s="3">
        <f>IFERROR(VLOOKUP(I1249,$A$1:$G$1610,7,FALSE),K1248)</f>
        <v>-11.99901596143903</v>
      </c>
      <c r="L1249" s="5">
        <f t="shared" si="77"/>
        <v>1</v>
      </c>
    </row>
    <row r="1250" spans="1:12" x14ac:dyDescent="0.25">
      <c r="A1250" s="2">
        <v>45579</v>
      </c>
      <c r="B1250" s="3">
        <v>19.7</v>
      </c>
      <c r="C1250" s="3">
        <f t="shared" si="78"/>
        <v>19.7</v>
      </c>
      <c r="D1250" s="3">
        <v>5859.85</v>
      </c>
      <c r="E1250" s="3">
        <f t="shared" si="79"/>
        <v>5859.85</v>
      </c>
      <c r="F1250" s="3">
        <f>MAX($E$2:E1250)</f>
        <v>5859.85</v>
      </c>
      <c r="G1250" s="3">
        <f t="shared" si="76"/>
        <v>0</v>
      </c>
      <c r="I1250" s="2">
        <v>45079</v>
      </c>
      <c r="J1250" s="3">
        <f>IFERROR(VLOOKUP(I1250,$A$1:$G$1610,3,FALSE),J1249)</f>
        <v>14.6</v>
      </c>
      <c r="K1250" s="3">
        <f>IFERROR(VLOOKUP(I1250,$A$1:$G$1610,7,FALSE),K1249)</f>
        <v>-10.719974314925707</v>
      </c>
      <c r="L1250" s="5">
        <f t="shared" si="77"/>
        <v>1</v>
      </c>
    </row>
    <row r="1251" spans="1:12" x14ac:dyDescent="0.25">
      <c r="A1251" s="2">
        <v>45580</v>
      </c>
      <c r="B1251" s="3">
        <v>20.64</v>
      </c>
      <c r="C1251" s="3">
        <f t="shared" si="78"/>
        <v>20.64</v>
      </c>
      <c r="D1251" s="3">
        <v>5815.26</v>
      </c>
      <c r="E1251" s="3">
        <f t="shared" si="79"/>
        <v>5815.26</v>
      </c>
      <c r="F1251" s="3">
        <f>MAX($E$2:E1251)</f>
        <v>5859.85</v>
      </c>
      <c r="G1251" s="3">
        <f t="shared" si="76"/>
        <v>-0.7609409797179133</v>
      </c>
      <c r="I1251" s="2">
        <v>45080</v>
      </c>
      <c r="J1251" s="3">
        <f>IFERROR(VLOOKUP(I1251,$A$1:$G$1610,3,FALSE),J1250)</f>
        <v>14.6</v>
      </c>
      <c r="K1251" s="3">
        <f>IFERROR(VLOOKUP(I1251,$A$1:$G$1610,7,FALSE),K1250)</f>
        <v>-10.719974314925707</v>
      </c>
      <c r="L1251" s="5">
        <f t="shared" si="77"/>
        <v>1</v>
      </c>
    </row>
    <row r="1252" spans="1:12" x14ac:dyDescent="0.25">
      <c r="A1252" s="2">
        <v>45581</v>
      </c>
      <c r="B1252" s="3">
        <v>19.579999999999998</v>
      </c>
      <c r="C1252" s="3">
        <f t="shared" si="78"/>
        <v>19.579999999999998</v>
      </c>
      <c r="D1252" s="3">
        <v>5842.47</v>
      </c>
      <c r="E1252" s="3">
        <f t="shared" si="79"/>
        <v>5842.47</v>
      </c>
      <c r="F1252" s="3">
        <f>MAX($E$2:E1252)</f>
        <v>5859.85</v>
      </c>
      <c r="G1252" s="3">
        <f t="shared" si="76"/>
        <v>-0.29659462272925263</v>
      </c>
      <c r="I1252" s="2">
        <v>45081</v>
      </c>
      <c r="J1252" s="3">
        <f>IFERROR(VLOOKUP(I1252,$A$1:$G$1610,3,FALSE),J1251)</f>
        <v>14.6</v>
      </c>
      <c r="K1252" s="3">
        <f>IFERROR(VLOOKUP(I1252,$A$1:$G$1610,7,FALSE),K1251)</f>
        <v>-10.719974314925707</v>
      </c>
      <c r="L1252" s="5">
        <f t="shared" si="77"/>
        <v>1</v>
      </c>
    </row>
    <row r="1253" spans="1:12" x14ac:dyDescent="0.25">
      <c r="A1253" s="2">
        <v>45582</v>
      </c>
      <c r="B1253" s="3">
        <v>19.11</v>
      </c>
      <c r="C1253" s="3">
        <f t="shared" si="78"/>
        <v>19.11</v>
      </c>
      <c r="D1253" s="3">
        <v>5841.47</v>
      </c>
      <c r="E1253" s="3">
        <f t="shared" si="79"/>
        <v>5841.47</v>
      </c>
      <c r="F1253" s="3">
        <f>MAX($E$2:E1253)</f>
        <v>5859.85</v>
      </c>
      <c r="G1253" s="3">
        <f t="shared" si="76"/>
        <v>-0.3136599059702912</v>
      </c>
      <c r="I1253" s="2">
        <v>45082</v>
      </c>
      <c r="J1253" s="3">
        <f>IFERROR(VLOOKUP(I1253,$A$1:$G$1610,3,FALSE),J1252)</f>
        <v>14.73</v>
      </c>
      <c r="K1253" s="3">
        <f>IFERROR(VLOOKUP(I1253,$A$1:$G$1610,7,FALSE),K1252)</f>
        <v>-10.898852510966201</v>
      </c>
      <c r="L1253" s="5">
        <f t="shared" si="77"/>
        <v>1</v>
      </c>
    </row>
    <row r="1254" spans="1:12" x14ac:dyDescent="0.25">
      <c r="A1254" s="2">
        <v>45583</v>
      </c>
      <c r="B1254" s="3">
        <v>18.03</v>
      </c>
      <c r="C1254" s="3">
        <f t="shared" si="78"/>
        <v>18.03</v>
      </c>
      <c r="D1254" s="3">
        <v>5864.67</v>
      </c>
      <c r="E1254" s="3">
        <f t="shared" si="79"/>
        <v>5864.67</v>
      </c>
      <c r="F1254" s="3">
        <f>MAX($E$2:E1254)</f>
        <v>5864.67</v>
      </c>
      <c r="G1254" s="3">
        <f t="shared" si="76"/>
        <v>0</v>
      </c>
      <c r="I1254" s="2">
        <v>45083</v>
      </c>
      <c r="J1254" s="3">
        <f>IFERROR(VLOOKUP(I1254,$A$1:$G$1610,3,FALSE),J1253)</f>
        <v>13.96</v>
      </c>
      <c r="K1254" s="3">
        <f>IFERROR(VLOOKUP(I1254,$A$1:$G$1610,7,FALSE),K1253)</f>
        <v>-10.68911886852244</v>
      </c>
      <c r="L1254" s="5">
        <f t="shared" si="77"/>
        <v>1</v>
      </c>
    </row>
    <row r="1255" spans="1:12" x14ac:dyDescent="0.25">
      <c r="A1255" s="2">
        <v>45586</v>
      </c>
      <c r="B1255" s="3">
        <v>18.37</v>
      </c>
      <c r="C1255" s="3">
        <f t="shared" si="78"/>
        <v>18.37</v>
      </c>
      <c r="D1255" s="3">
        <v>5853.98</v>
      </c>
      <c r="E1255" s="3">
        <f t="shared" si="79"/>
        <v>5853.98</v>
      </c>
      <c r="F1255" s="3">
        <f>MAX($E$2:E1255)</f>
        <v>5864.67</v>
      </c>
      <c r="G1255" s="3">
        <f t="shared" si="76"/>
        <v>-0.18227794573267567</v>
      </c>
      <c r="I1255" s="2">
        <v>45084</v>
      </c>
      <c r="J1255" s="3">
        <f>IFERROR(VLOOKUP(I1255,$A$1:$G$1610,3,FALSE),J1254)</f>
        <v>13.94</v>
      </c>
      <c r="K1255" s="3">
        <f>IFERROR(VLOOKUP(I1255,$A$1:$G$1610,7,FALSE),K1254)</f>
        <v>-11.02957119268809</v>
      </c>
      <c r="L1255" s="5">
        <f t="shared" si="77"/>
        <v>1</v>
      </c>
    </row>
    <row r="1256" spans="1:12" x14ac:dyDescent="0.25">
      <c r="A1256" s="2">
        <v>45587</v>
      </c>
      <c r="B1256" s="3">
        <v>18.2</v>
      </c>
      <c r="C1256" s="3">
        <f t="shared" si="78"/>
        <v>18.2</v>
      </c>
      <c r="D1256" s="3">
        <v>5851.2</v>
      </c>
      <c r="E1256" s="3">
        <f t="shared" si="79"/>
        <v>5851.2</v>
      </c>
      <c r="F1256" s="3">
        <f>MAX($E$2:E1256)</f>
        <v>5864.67</v>
      </c>
      <c r="G1256" s="3">
        <f t="shared" si="76"/>
        <v>-0.22968044237783636</v>
      </c>
      <c r="I1256" s="2">
        <v>45085</v>
      </c>
      <c r="J1256" s="3">
        <f>IFERROR(VLOOKUP(I1256,$A$1:$G$1610,3,FALSE),J1255)</f>
        <v>13.65</v>
      </c>
      <c r="K1256" s="3">
        <f>IFERROR(VLOOKUP(I1256,$A$1:$G$1610,7,FALSE),K1255)</f>
        <v>-10.478968260586754</v>
      </c>
      <c r="L1256" s="5">
        <f t="shared" si="77"/>
        <v>1</v>
      </c>
    </row>
    <row r="1257" spans="1:12" x14ac:dyDescent="0.25">
      <c r="A1257" s="2">
        <v>45588</v>
      </c>
      <c r="B1257" s="3">
        <v>19.239999999999998</v>
      </c>
      <c r="C1257" s="3">
        <f t="shared" si="78"/>
        <v>19.239999999999998</v>
      </c>
      <c r="D1257" s="3">
        <v>5797.42</v>
      </c>
      <c r="E1257" s="3">
        <f t="shared" si="79"/>
        <v>5797.42</v>
      </c>
      <c r="F1257" s="3">
        <f>MAX($E$2:E1257)</f>
        <v>5864.67</v>
      </c>
      <c r="G1257" s="3">
        <f t="shared" si="76"/>
        <v>-1.146697086110557</v>
      </c>
      <c r="I1257" s="2">
        <v>45086</v>
      </c>
      <c r="J1257" s="3">
        <f>IFERROR(VLOOKUP(I1257,$A$1:$G$1610,3,FALSE),J1256)</f>
        <v>13.83</v>
      </c>
      <c r="K1257" s="3">
        <f>IFERROR(VLOOKUP(I1257,$A$1:$G$1610,7,FALSE),K1256)</f>
        <v>-10.376186266824572</v>
      </c>
      <c r="L1257" s="5">
        <f t="shared" si="77"/>
        <v>1</v>
      </c>
    </row>
    <row r="1258" spans="1:12" x14ac:dyDescent="0.25">
      <c r="A1258" s="2">
        <v>45589</v>
      </c>
      <c r="B1258" s="3">
        <v>19.079999999999998</v>
      </c>
      <c r="C1258" s="3">
        <f t="shared" si="78"/>
        <v>19.079999999999998</v>
      </c>
      <c r="D1258" s="3">
        <v>5809.86</v>
      </c>
      <c r="E1258" s="3">
        <f t="shared" si="79"/>
        <v>5809.86</v>
      </c>
      <c r="F1258" s="3">
        <f>MAX($E$2:E1258)</f>
        <v>5864.67</v>
      </c>
      <c r="G1258" s="3">
        <f t="shared" si="76"/>
        <v>-0.93457943925234332</v>
      </c>
      <c r="I1258" s="2">
        <v>45087</v>
      </c>
      <c r="J1258" s="3">
        <f>IFERROR(VLOOKUP(I1258,$A$1:$G$1610,3,FALSE),J1257)</f>
        <v>13.83</v>
      </c>
      <c r="K1258" s="3">
        <f>IFERROR(VLOOKUP(I1258,$A$1:$G$1610,7,FALSE),K1257)</f>
        <v>-10.376186266824572</v>
      </c>
      <c r="L1258" s="5">
        <f t="shared" si="77"/>
        <v>1</v>
      </c>
    </row>
    <row r="1259" spans="1:12" x14ac:dyDescent="0.25">
      <c r="A1259" s="2">
        <v>45590</v>
      </c>
      <c r="B1259" s="3">
        <v>20.329999999999998</v>
      </c>
      <c r="C1259" s="3">
        <f t="shared" si="78"/>
        <v>20.329999999999998</v>
      </c>
      <c r="D1259" s="3">
        <v>5808.12</v>
      </c>
      <c r="E1259" s="3">
        <f t="shared" si="79"/>
        <v>5808.12</v>
      </c>
      <c r="F1259" s="3">
        <f>MAX($E$2:E1259)</f>
        <v>5864.67</v>
      </c>
      <c r="G1259" s="3">
        <f t="shared" si="76"/>
        <v>-0.96424862780003284</v>
      </c>
      <c r="I1259" s="2">
        <v>45088</v>
      </c>
      <c r="J1259" s="3">
        <f>IFERROR(VLOOKUP(I1259,$A$1:$G$1610,3,FALSE),J1258)</f>
        <v>13.83</v>
      </c>
      <c r="K1259" s="3">
        <f>IFERROR(VLOOKUP(I1259,$A$1:$G$1610,7,FALSE),K1258)</f>
        <v>-10.376186266824572</v>
      </c>
      <c r="L1259" s="5">
        <f t="shared" si="77"/>
        <v>1</v>
      </c>
    </row>
    <row r="1260" spans="1:12" x14ac:dyDescent="0.25">
      <c r="A1260" s="2">
        <v>45593</v>
      </c>
      <c r="B1260" s="3">
        <v>19.8</v>
      </c>
      <c r="C1260" s="3">
        <f t="shared" si="78"/>
        <v>19.8</v>
      </c>
      <c r="D1260" s="3">
        <v>5823.52</v>
      </c>
      <c r="E1260" s="3">
        <f t="shared" si="79"/>
        <v>5823.52</v>
      </c>
      <c r="F1260" s="3">
        <f>MAX($E$2:E1260)</f>
        <v>5864.67</v>
      </c>
      <c r="G1260" s="3">
        <f t="shared" si="76"/>
        <v>-0.70165925789515238</v>
      </c>
      <c r="I1260" s="2">
        <v>45089</v>
      </c>
      <c r="J1260" s="3">
        <f>IFERROR(VLOOKUP(I1260,$A$1:$G$1610,3,FALSE),J1259)</f>
        <v>15.01</v>
      </c>
      <c r="K1260" s="3">
        <f>IFERROR(VLOOKUP(I1260,$A$1:$G$1610,7,FALSE),K1259)</f>
        <v>-9.5407959037310093</v>
      </c>
      <c r="L1260" s="5">
        <f t="shared" si="77"/>
        <v>0</v>
      </c>
    </row>
    <row r="1261" spans="1:12" x14ac:dyDescent="0.25">
      <c r="A1261" s="2">
        <v>45594</v>
      </c>
      <c r="B1261" s="3">
        <v>19.34</v>
      </c>
      <c r="C1261" s="3">
        <f t="shared" si="78"/>
        <v>19.34</v>
      </c>
      <c r="D1261" s="3">
        <v>5832.92</v>
      </c>
      <c r="E1261" s="3">
        <f t="shared" si="79"/>
        <v>5832.92</v>
      </c>
      <c r="F1261" s="3">
        <f>MAX($E$2:E1261)</f>
        <v>5864.67</v>
      </c>
      <c r="G1261" s="3">
        <f t="shared" si="76"/>
        <v>-0.54137743470647104</v>
      </c>
      <c r="I1261" s="2">
        <v>45090</v>
      </c>
      <c r="J1261" s="3">
        <f>IFERROR(VLOOKUP(I1261,$A$1:$G$1610,3,FALSE),J1260)</f>
        <v>14.61</v>
      </c>
      <c r="K1261" s="3">
        <f>IFERROR(VLOOKUP(I1261,$A$1:$G$1610,7,FALSE),K1260)</f>
        <v>-8.913679803859436</v>
      </c>
      <c r="L1261" s="5">
        <f t="shared" si="77"/>
        <v>0</v>
      </c>
    </row>
    <row r="1262" spans="1:12" x14ac:dyDescent="0.25">
      <c r="A1262" s="2">
        <v>45595</v>
      </c>
      <c r="B1262" s="3">
        <v>20.350000000000001</v>
      </c>
      <c r="C1262" s="3">
        <f t="shared" si="78"/>
        <v>20.350000000000001</v>
      </c>
      <c r="D1262" s="3">
        <v>5813.67</v>
      </c>
      <c r="E1262" s="3">
        <f t="shared" si="79"/>
        <v>5813.67</v>
      </c>
      <c r="F1262" s="3">
        <f>MAX($E$2:E1262)</f>
        <v>5864.67</v>
      </c>
      <c r="G1262" s="3">
        <f t="shared" si="76"/>
        <v>-0.8696141470875598</v>
      </c>
      <c r="I1262" s="2">
        <v>45091</v>
      </c>
      <c r="J1262" s="3">
        <f>IFERROR(VLOOKUP(I1262,$A$1:$G$1610,3,FALSE),J1261)</f>
        <v>13.88</v>
      </c>
      <c r="K1262" s="3">
        <f>IFERROR(VLOOKUP(I1262,$A$1:$G$1610,7,FALSE),K1261)</f>
        <v>-8.8390429808029136</v>
      </c>
      <c r="L1262" s="5">
        <f t="shared" si="77"/>
        <v>0</v>
      </c>
    </row>
    <row r="1263" spans="1:12" x14ac:dyDescent="0.25">
      <c r="A1263" s="2">
        <v>45596</v>
      </c>
      <c r="B1263" s="3">
        <v>23.16</v>
      </c>
      <c r="C1263" s="3">
        <f t="shared" si="78"/>
        <v>23.16</v>
      </c>
      <c r="D1263" s="3">
        <v>5705.45</v>
      </c>
      <c r="E1263" s="3">
        <f t="shared" si="79"/>
        <v>5705.45</v>
      </c>
      <c r="F1263" s="3">
        <f>MAX($E$2:E1263)</f>
        <v>5864.67</v>
      </c>
      <c r="G1263" s="3">
        <f t="shared" si="76"/>
        <v>-2.7149012646917945</v>
      </c>
      <c r="I1263" s="2">
        <v>45092</v>
      </c>
      <c r="J1263" s="3">
        <f>IFERROR(VLOOKUP(I1263,$A$1:$G$1610,3,FALSE),J1262)</f>
        <v>14.5</v>
      </c>
      <c r="K1263" s="3">
        <f>IFERROR(VLOOKUP(I1263,$A$1:$G$1610,7,FALSE),K1262)</f>
        <v>-7.7288723585236125</v>
      </c>
      <c r="L1263" s="5">
        <f t="shared" si="77"/>
        <v>0</v>
      </c>
    </row>
    <row r="1264" spans="1:12" x14ac:dyDescent="0.25">
      <c r="A1264" s="2">
        <v>45597</v>
      </c>
      <c r="B1264" s="3">
        <v>21.88</v>
      </c>
      <c r="C1264" s="3">
        <f t="shared" si="78"/>
        <v>21.88</v>
      </c>
      <c r="D1264" s="3">
        <v>5728.8</v>
      </c>
      <c r="E1264" s="3">
        <f t="shared" si="79"/>
        <v>5728.8</v>
      </c>
      <c r="F1264" s="3">
        <f>MAX($E$2:E1264)</f>
        <v>5864.67</v>
      </c>
      <c r="G1264" s="3">
        <f t="shared" si="76"/>
        <v>-2.3167543953879739</v>
      </c>
      <c r="I1264" s="2">
        <v>45093</v>
      </c>
      <c r="J1264" s="3">
        <f>IFERROR(VLOOKUP(I1264,$A$1:$G$1610,3,FALSE),J1263)</f>
        <v>13.54</v>
      </c>
      <c r="K1264" s="3">
        <f>IFERROR(VLOOKUP(I1264,$A$1:$G$1610,7,FALSE),K1263)</f>
        <v>-8.0676568207215222</v>
      </c>
      <c r="L1264" s="5">
        <f t="shared" si="77"/>
        <v>0</v>
      </c>
    </row>
    <row r="1265" spans="1:12" x14ac:dyDescent="0.25">
      <c r="A1265" s="2">
        <v>45600</v>
      </c>
      <c r="B1265" s="3">
        <v>21.98</v>
      </c>
      <c r="C1265" s="3">
        <f t="shared" si="78"/>
        <v>21.98</v>
      </c>
      <c r="D1265" s="3">
        <v>5712.69</v>
      </c>
      <c r="E1265" s="3">
        <f t="shared" si="79"/>
        <v>5712.69</v>
      </c>
      <c r="F1265" s="3">
        <f>MAX($E$2:E1265)</f>
        <v>5864.67</v>
      </c>
      <c r="G1265" s="3">
        <f t="shared" si="76"/>
        <v>-2.5914501583209364</v>
      </c>
      <c r="I1265" s="2">
        <v>45094</v>
      </c>
      <c r="J1265" s="3">
        <f>IFERROR(VLOOKUP(I1265,$A$1:$G$1610,3,FALSE),J1264)</f>
        <v>13.54</v>
      </c>
      <c r="K1265" s="3">
        <f>IFERROR(VLOOKUP(I1265,$A$1:$G$1610,7,FALSE),K1264)</f>
        <v>-8.0676568207215222</v>
      </c>
      <c r="L1265" s="5">
        <f t="shared" si="77"/>
        <v>0</v>
      </c>
    </row>
    <row r="1266" spans="1:12" x14ac:dyDescent="0.25">
      <c r="A1266" s="2">
        <v>45601</v>
      </c>
      <c r="B1266" s="3">
        <v>20.49</v>
      </c>
      <c r="C1266" s="3">
        <f t="shared" si="78"/>
        <v>20.49</v>
      </c>
      <c r="D1266" s="3">
        <v>5782.76</v>
      </c>
      <c r="E1266" s="3">
        <f t="shared" si="79"/>
        <v>5782.76</v>
      </c>
      <c r="F1266" s="3">
        <f>MAX($E$2:E1266)</f>
        <v>5864.67</v>
      </c>
      <c r="G1266" s="3">
        <f t="shared" si="76"/>
        <v>-1.3966685252537629</v>
      </c>
      <c r="I1266" s="2">
        <v>45095</v>
      </c>
      <c r="J1266" s="3">
        <f>IFERROR(VLOOKUP(I1266,$A$1:$G$1610,3,FALSE),J1265)</f>
        <v>13.54</v>
      </c>
      <c r="K1266" s="3">
        <f>IFERROR(VLOOKUP(I1266,$A$1:$G$1610,7,FALSE),K1265)</f>
        <v>-8.0676568207215222</v>
      </c>
      <c r="L1266" s="5">
        <f t="shared" si="77"/>
        <v>0</v>
      </c>
    </row>
    <row r="1267" spans="1:12" x14ac:dyDescent="0.25">
      <c r="A1267" s="2">
        <v>45602</v>
      </c>
      <c r="B1267" s="3">
        <v>16.27</v>
      </c>
      <c r="C1267" s="3">
        <f t="shared" si="78"/>
        <v>16.27</v>
      </c>
      <c r="D1267" s="3">
        <v>5929.04</v>
      </c>
      <c r="E1267" s="3">
        <f t="shared" si="79"/>
        <v>5929.04</v>
      </c>
      <c r="F1267" s="3">
        <f>MAX($E$2:E1267)</f>
        <v>5929.04</v>
      </c>
      <c r="G1267" s="3">
        <f t="shared" si="76"/>
        <v>0</v>
      </c>
      <c r="I1267" s="2">
        <v>45096</v>
      </c>
      <c r="J1267" s="3">
        <f>IFERROR(VLOOKUP(I1267,$A$1:$G$1610,3,FALSE),J1266)</f>
        <v>14.19</v>
      </c>
      <c r="K1267" s="3">
        <f>IFERROR(VLOOKUP(I1267,$A$1:$G$1610,7,FALSE),K1266)</f>
        <v>-8.0676568207215222</v>
      </c>
      <c r="L1267" s="5">
        <f t="shared" si="77"/>
        <v>0</v>
      </c>
    </row>
    <row r="1268" spans="1:12" x14ac:dyDescent="0.25">
      <c r="A1268" s="2">
        <v>45603</v>
      </c>
      <c r="B1268" s="3">
        <v>15.2</v>
      </c>
      <c r="C1268" s="3">
        <f t="shared" si="78"/>
        <v>15.2</v>
      </c>
      <c r="D1268" s="3">
        <v>5973.1</v>
      </c>
      <c r="E1268" s="3">
        <f t="shared" si="79"/>
        <v>5973.1</v>
      </c>
      <c r="F1268" s="3">
        <f>MAX($E$2:E1268)</f>
        <v>5973.1</v>
      </c>
      <c r="G1268" s="3">
        <f t="shared" si="76"/>
        <v>0</v>
      </c>
      <c r="I1268" s="2">
        <v>45097</v>
      </c>
      <c r="J1268" s="3">
        <f>IFERROR(VLOOKUP(I1268,$A$1:$G$1610,3,FALSE),J1267)</f>
        <v>13.88</v>
      </c>
      <c r="K1268" s="3">
        <f>IFERROR(VLOOKUP(I1268,$A$1:$G$1610,7,FALSE),K1267)</f>
        <v>-8.5029687943025891</v>
      </c>
      <c r="L1268" s="5">
        <f t="shared" si="77"/>
        <v>0</v>
      </c>
    </row>
    <row r="1269" spans="1:12" x14ac:dyDescent="0.25">
      <c r="A1269" s="2">
        <v>45604</v>
      </c>
      <c r="B1269" s="3">
        <v>14.94</v>
      </c>
      <c r="C1269" s="3">
        <f t="shared" si="78"/>
        <v>14.94</v>
      </c>
      <c r="D1269" s="3">
        <v>5995.54</v>
      </c>
      <c r="E1269" s="3">
        <f t="shared" si="79"/>
        <v>5995.54</v>
      </c>
      <c r="F1269" s="3">
        <f>MAX($E$2:E1269)</f>
        <v>5995.54</v>
      </c>
      <c r="G1269" s="3">
        <f t="shared" si="76"/>
        <v>0</v>
      </c>
      <c r="I1269" s="2">
        <v>45098</v>
      </c>
      <c r="J1269" s="3">
        <f>IFERROR(VLOOKUP(I1269,$A$1:$G$1610,3,FALSE),J1268)</f>
        <v>13.2</v>
      </c>
      <c r="K1269" s="3">
        <f>IFERROR(VLOOKUP(I1269,$A$1:$G$1610,7,FALSE),K1268)</f>
        <v>-8.9828960755208058</v>
      </c>
      <c r="L1269" s="5">
        <f t="shared" si="77"/>
        <v>0</v>
      </c>
    </row>
    <row r="1270" spans="1:12" x14ac:dyDescent="0.25">
      <c r="A1270" s="2">
        <v>45607</v>
      </c>
      <c r="B1270" s="3">
        <v>14.97</v>
      </c>
      <c r="C1270" s="3">
        <f t="shared" si="78"/>
        <v>14.97</v>
      </c>
      <c r="D1270" s="3">
        <v>6001.35</v>
      </c>
      <c r="E1270" s="3">
        <f t="shared" si="79"/>
        <v>6001.35</v>
      </c>
      <c r="F1270" s="3">
        <f>MAX($E$2:E1270)</f>
        <v>6001.35</v>
      </c>
      <c r="G1270" s="3">
        <f t="shared" si="76"/>
        <v>0</v>
      </c>
      <c r="I1270" s="2">
        <v>45099</v>
      </c>
      <c r="J1270" s="3">
        <f>IFERROR(VLOOKUP(I1270,$A$1:$G$1610,3,FALSE),J1269)</f>
        <v>12.91</v>
      </c>
      <c r="K1270" s="3">
        <f>IFERROR(VLOOKUP(I1270,$A$1:$G$1610,7,FALSE),K1269)</f>
        <v>-8.6451540270527225</v>
      </c>
      <c r="L1270" s="5">
        <f t="shared" si="77"/>
        <v>0</v>
      </c>
    </row>
    <row r="1271" spans="1:12" x14ac:dyDescent="0.25">
      <c r="A1271" s="2">
        <v>45608</v>
      </c>
      <c r="B1271" s="3">
        <v>14.71</v>
      </c>
      <c r="C1271" s="3">
        <f t="shared" si="78"/>
        <v>14.71</v>
      </c>
      <c r="D1271" s="3">
        <v>5983.99</v>
      </c>
      <c r="E1271" s="3">
        <f t="shared" si="79"/>
        <v>5983.99</v>
      </c>
      <c r="F1271" s="3">
        <f>MAX($E$2:E1271)</f>
        <v>6001.35</v>
      </c>
      <c r="G1271" s="3">
        <f t="shared" si="76"/>
        <v>-0.28926824797754808</v>
      </c>
      <c r="I1271" s="2">
        <v>45100</v>
      </c>
      <c r="J1271" s="3">
        <f>IFERROR(VLOOKUP(I1271,$A$1:$G$1610,3,FALSE),J1270)</f>
        <v>13.44</v>
      </c>
      <c r="K1271" s="3">
        <f>IFERROR(VLOOKUP(I1271,$A$1:$G$1610,7,FALSE),K1270)</f>
        <v>-9.3448221225211494</v>
      </c>
      <c r="L1271" s="5">
        <f t="shared" si="77"/>
        <v>0</v>
      </c>
    </row>
    <row r="1272" spans="1:12" x14ac:dyDescent="0.25">
      <c r="A1272" s="2">
        <v>45609</v>
      </c>
      <c r="B1272" s="3">
        <v>14.02</v>
      </c>
      <c r="C1272" s="3">
        <f t="shared" si="78"/>
        <v>14.02</v>
      </c>
      <c r="D1272" s="3">
        <v>5985.38</v>
      </c>
      <c r="E1272" s="3">
        <f t="shared" si="79"/>
        <v>5985.38</v>
      </c>
      <c r="F1272" s="3">
        <f>MAX($E$2:E1272)</f>
        <v>6001.35</v>
      </c>
      <c r="G1272" s="3">
        <f t="shared" si="76"/>
        <v>-0.26610679263832726</v>
      </c>
      <c r="I1272" s="2">
        <v>45101</v>
      </c>
      <c r="J1272" s="3">
        <f>IFERROR(VLOOKUP(I1272,$A$1:$G$1610,3,FALSE),J1271)</f>
        <v>13.44</v>
      </c>
      <c r="K1272" s="3">
        <f>IFERROR(VLOOKUP(I1272,$A$1:$G$1610,7,FALSE),K1271)</f>
        <v>-9.3448221225211494</v>
      </c>
      <c r="L1272" s="5">
        <f t="shared" si="77"/>
        <v>0</v>
      </c>
    </row>
    <row r="1273" spans="1:12" x14ac:dyDescent="0.25">
      <c r="A1273" s="2">
        <v>45610</v>
      </c>
      <c r="B1273" s="3">
        <v>14.31</v>
      </c>
      <c r="C1273" s="3">
        <f t="shared" si="78"/>
        <v>14.31</v>
      </c>
      <c r="D1273" s="3">
        <v>5949.17</v>
      </c>
      <c r="E1273" s="3">
        <f t="shared" si="79"/>
        <v>5949.17</v>
      </c>
      <c r="F1273" s="3">
        <f>MAX($E$2:E1273)</f>
        <v>6001.35</v>
      </c>
      <c r="G1273" s="3">
        <f t="shared" si="76"/>
        <v>-0.86947103568364259</v>
      </c>
      <c r="I1273" s="2">
        <v>45102</v>
      </c>
      <c r="J1273" s="3">
        <f>IFERROR(VLOOKUP(I1273,$A$1:$G$1610,3,FALSE),J1272)</f>
        <v>13.44</v>
      </c>
      <c r="K1273" s="3">
        <f>IFERROR(VLOOKUP(I1273,$A$1:$G$1610,7,FALSE),K1272)</f>
        <v>-9.3448221225211494</v>
      </c>
      <c r="L1273" s="5">
        <f t="shared" si="77"/>
        <v>0</v>
      </c>
    </row>
    <row r="1274" spans="1:12" x14ac:dyDescent="0.25">
      <c r="A1274" s="2">
        <v>45611</v>
      </c>
      <c r="B1274" s="3">
        <v>16.14</v>
      </c>
      <c r="C1274" s="3">
        <f t="shared" si="78"/>
        <v>16.14</v>
      </c>
      <c r="D1274" s="3">
        <v>5870.62</v>
      </c>
      <c r="E1274" s="3">
        <f t="shared" si="79"/>
        <v>5870.62</v>
      </c>
      <c r="F1274" s="3">
        <f>MAX($E$2:E1274)</f>
        <v>6001.35</v>
      </c>
      <c r="G1274" s="3">
        <f t="shared" si="76"/>
        <v>-2.1783432061119661</v>
      </c>
      <c r="I1274" s="2">
        <v>45103</v>
      </c>
      <c r="J1274" s="3">
        <f>IFERROR(VLOOKUP(I1274,$A$1:$G$1610,3,FALSE),J1273)</f>
        <v>14.25</v>
      </c>
      <c r="K1274" s="3">
        <f>IFERROR(VLOOKUP(I1274,$A$1:$G$1610,7,FALSE),K1273)</f>
        <v>-9.7515719599046111</v>
      </c>
      <c r="L1274" s="5">
        <f t="shared" si="77"/>
        <v>0</v>
      </c>
    </row>
    <row r="1275" spans="1:12" x14ac:dyDescent="0.25">
      <c r="A1275" s="2">
        <v>45614</v>
      </c>
      <c r="B1275" s="3">
        <v>15.58</v>
      </c>
      <c r="C1275" s="3">
        <f t="shared" si="78"/>
        <v>15.58</v>
      </c>
      <c r="D1275" s="3">
        <v>5893.62</v>
      </c>
      <c r="E1275" s="3">
        <f t="shared" si="79"/>
        <v>5893.62</v>
      </c>
      <c r="F1275" s="3">
        <f>MAX($E$2:E1275)</f>
        <v>6001.35</v>
      </c>
      <c r="G1275" s="3">
        <f t="shared" si="76"/>
        <v>-1.7950961033767481</v>
      </c>
      <c r="I1275" s="2">
        <v>45104</v>
      </c>
      <c r="J1275" s="3">
        <f>IFERROR(VLOOKUP(I1275,$A$1:$G$1610,3,FALSE),J1274)</f>
        <v>13.74</v>
      </c>
      <c r="K1275" s="3">
        <f>IFERROR(VLOOKUP(I1275,$A$1:$G$1610,7,FALSE),K1274)</f>
        <v>-8.7177060226495762</v>
      </c>
      <c r="L1275" s="5">
        <f t="shared" si="77"/>
        <v>0</v>
      </c>
    </row>
    <row r="1276" spans="1:12" x14ac:dyDescent="0.25">
      <c r="A1276" s="2">
        <v>45615</v>
      </c>
      <c r="B1276" s="3">
        <v>16.350000000000001</v>
      </c>
      <c r="C1276" s="3">
        <f t="shared" si="78"/>
        <v>16.350000000000001</v>
      </c>
      <c r="D1276" s="3">
        <v>5916.98</v>
      </c>
      <c r="E1276" s="3">
        <f t="shared" si="79"/>
        <v>5916.98</v>
      </c>
      <c r="F1276" s="3">
        <f>MAX($E$2:E1276)</f>
        <v>6001.35</v>
      </c>
      <c r="G1276" s="3">
        <f t="shared" si="76"/>
        <v>-1.4058503503378539</v>
      </c>
      <c r="I1276" s="2">
        <v>45105</v>
      </c>
      <c r="J1276" s="3">
        <f>IFERROR(VLOOKUP(I1276,$A$1:$G$1610,3,FALSE),J1275)</f>
        <v>13.43</v>
      </c>
      <c r="K1276" s="3">
        <f>IFERROR(VLOOKUP(I1276,$A$1:$G$1610,7,FALSE),K1275)</f>
        <v>-8.7500208482746125</v>
      </c>
      <c r="L1276" s="5">
        <f t="shared" si="77"/>
        <v>0</v>
      </c>
    </row>
    <row r="1277" spans="1:12" x14ac:dyDescent="0.25">
      <c r="A1277" s="2">
        <v>45616</v>
      </c>
      <c r="B1277" s="3">
        <v>17.16</v>
      </c>
      <c r="C1277" s="3">
        <f t="shared" si="78"/>
        <v>17.16</v>
      </c>
      <c r="D1277" s="3">
        <v>5917.11</v>
      </c>
      <c r="E1277" s="3">
        <f t="shared" si="79"/>
        <v>5917.11</v>
      </c>
      <c r="F1277" s="3">
        <f>MAX($E$2:E1277)</f>
        <v>6001.35</v>
      </c>
      <c r="G1277" s="3">
        <f t="shared" si="76"/>
        <v>-1.4036841710615227</v>
      </c>
      <c r="I1277" s="2">
        <v>45106</v>
      </c>
      <c r="J1277" s="3">
        <f>IFERROR(VLOOKUP(I1277,$A$1:$G$1610,3,FALSE),J1276)</f>
        <v>13.54</v>
      </c>
      <c r="K1277" s="3">
        <f>IFERROR(VLOOKUP(I1277,$A$1:$G$1610,7,FALSE),K1276)</f>
        <v>-8.3418116316693798</v>
      </c>
      <c r="L1277" s="5">
        <f t="shared" si="77"/>
        <v>0</v>
      </c>
    </row>
    <row r="1278" spans="1:12" x14ac:dyDescent="0.25">
      <c r="A1278" s="2">
        <v>45617</v>
      </c>
      <c r="B1278" s="3">
        <v>16.87</v>
      </c>
      <c r="C1278" s="3">
        <f t="shared" si="78"/>
        <v>16.87</v>
      </c>
      <c r="D1278" s="3">
        <v>5948.71</v>
      </c>
      <c r="E1278" s="3">
        <f t="shared" si="79"/>
        <v>5948.71</v>
      </c>
      <c r="F1278" s="3">
        <f>MAX($E$2:E1278)</f>
        <v>6001.35</v>
      </c>
      <c r="G1278" s="3">
        <f t="shared" si="76"/>
        <v>-0.87713597773834762</v>
      </c>
      <c r="I1278" s="2">
        <v>45107</v>
      </c>
      <c r="J1278" s="3">
        <f>IFERROR(VLOOKUP(I1278,$A$1:$G$1610,3,FALSE),J1277)</f>
        <v>13.59</v>
      </c>
      <c r="K1278" s="3">
        <f>IFERROR(VLOOKUP(I1278,$A$1:$G$1610,7,FALSE),K1277)</f>
        <v>-7.2172556999182804</v>
      </c>
      <c r="L1278" s="5">
        <f t="shared" si="77"/>
        <v>0</v>
      </c>
    </row>
    <row r="1279" spans="1:12" x14ac:dyDescent="0.25">
      <c r="A1279" s="2">
        <v>45618</v>
      </c>
      <c r="B1279" s="3">
        <v>15.24</v>
      </c>
      <c r="C1279" s="3">
        <f t="shared" si="78"/>
        <v>15.24</v>
      </c>
      <c r="D1279" s="3">
        <v>5969.34</v>
      </c>
      <c r="E1279" s="3">
        <f t="shared" si="79"/>
        <v>5969.34</v>
      </c>
      <c r="F1279" s="3">
        <f>MAX($E$2:E1279)</f>
        <v>6001.35</v>
      </c>
      <c r="G1279" s="3">
        <f t="shared" si="76"/>
        <v>-0.53337998950236565</v>
      </c>
      <c r="I1279" s="2">
        <v>45108</v>
      </c>
      <c r="J1279" s="3">
        <f>IFERROR(VLOOKUP(I1279,$A$1:$G$1610,3,FALSE),J1278)</f>
        <v>13.59</v>
      </c>
      <c r="K1279" s="3">
        <f>IFERROR(VLOOKUP(I1279,$A$1:$G$1610,7,FALSE),K1278)</f>
        <v>-7.2172556999182804</v>
      </c>
      <c r="L1279" s="5">
        <f t="shared" si="77"/>
        <v>0</v>
      </c>
    </row>
    <row r="1280" spans="1:12" x14ac:dyDescent="0.25">
      <c r="A1280" s="2">
        <v>45621</v>
      </c>
      <c r="B1280" s="3">
        <v>14.6</v>
      </c>
      <c r="C1280" s="3">
        <f t="shared" si="78"/>
        <v>14.6</v>
      </c>
      <c r="D1280" s="3">
        <v>5987.37</v>
      </c>
      <c r="E1280" s="3">
        <f t="shared" si="79"/>
        <v>5987.37</v>
      </c>
      <c r="F1280" s="3">
        <f>MAX($E$2:E1280)</f>
        <v>6001.35</v>
      </c>
      <c r="G1280" s="3">
        <f t="shared" si="76"/>
        <v>-0.23294758679297944</v>
      </c>
      <c r="I1280" s="2">
        <v>45109</v>
      </c>
      <c r="J1280" s="3">
        <f>IFERROR(VLOOKUP(I1280,$A$1:$G$1610,3,FALSE),J1279)</f>
        <v>13.59</v>
      </c>
      <c r="K1280" s="3">
        <f>IFERROR(VLOOKUP(I1280,$A$1:$G$1610,7,FALSE),K1279)</f>
        <v>-7.2172556999182804</v>
      </c>
      <c r="L1280" s="5">
        <f t="shared" si="77"/>
        <v>0</v>
      </c>
    </row>
    <row r="1281" spans="1:12" x14ac:dyDescent="0.25">
      <c r="A1281" s="2">
        <v>45622</v>
      </c>
      <c r="B1281" s="3">
        <v>14.1</v>
      </c>
      <c r="C1281" s="3">
        <f t="shared" si="78"/>
        <v>14.1</v>
      </c>
      <c r="D1281" s="3">
        <v>6021.63</v>
      </c>
      <c r="E1281" s="3">
        <f t="shared" si="79"/>
        <v>6021.63</v>
      </c>
      <c r="F1281" s="3">
        <f>MAX($E$2:E1281)</f>
        <v>6021.63</v>
      </c>
      <c r="G1281" s="3">
        <f t="shared" si="76"/>
        <v>0</v>
      </c>
      <c r="I1281" s="2">
        <v>45110</v>
      </c>
      <c r="J1281" s="3">
        <f>IFERROR(VLOOKUP(I1281,$A$1:$G$1610,3,FALSE),J1280)</f>
        <v>13.57</v>
      </c>
      <c r="K1281" s="3">
        <f>IFERROR(VLOOKUP(I1281,$A$1:$G$1610,7,FALSE),K1280)</f>
        <v>-7.1086361892689816</v>
      </c>
      <c r="L1281" s="5">
        <f t="shared" si="77"/>
        <v>0</v>
      </c>
    </row>
    <row r="1282" spans="1:12" x14ac:dyDescent="0.25">
      <c r="A1282" s="2">
        <v>45623</v>
      </c>
      <c r="B1282" s="3">
        <v>14.1</v>
      </c>
      <c r="C1282" s="3">
        <f t="shared" si="78"/>
        <v>14.1</v>
      </c>
      <c r="D1282" s="3">
        <v>5998.74</v>
      </c>
      <c r="E1282" s="3">
        <f t="shared" si="79"/>
        <v>5998.74</v>
      </c>
      <c r="F1282" s="3">
        <f>MAX($E$2:E1282)</f>
        <v>6021.63</v>
      </c>
      <c r="G1282" s="3">
        <f t="shared" ref="G1282:G1345" si="80">(E1282-F1282)/F1282*100</f>
        <v>-0.3801296326742149</v>
      </c>
      <c r="I1282" s="2">
        <v>45111</v>
      </c>
      <c r="J1282" s="3">
        <f>IFERROR(VLOOKUP(I1282,$A$1:$G$1610,3,FALSE),J1281)</f>
        <v>13.7</v>
      </c>
      <c r="K1282" s="3">
        <f>IFERROR(VLOOKUP(I1282,$A$1:$G$1610,7,FALSE),K1281)</f>
        <v>-7.1086361892689816</v>
      </c>
      <c r="L1282" s="5">
        <f t="shared" ref="L1282:L1345" si="81">IF(OR(J1282&gt;=30,K1282&lt;-10),1,0)</f>
        <v>0</v>
      </c>
    </row>
    <row r="1283" spans="1:12" x14ac:dyDescent="0.25">
      <c r="A1283" s="2">
        <v>45624</v>
      </c>
      <c r="B1283" s="3">
        <v>13.9</v>
      </c>
      <c r="C1283" s="3">
        <f t="shared" ref="C1283:C1346" si="82">IF(B1283="",B1282,B1283)</f>
        <v>13.9</v>
      </c>
      <c r="E1283" s="3">
        <f t="shared" si="79"/>
        <v>5998.74</v>
      </c>
      <c r="F1283" s="3">
        <f>MAX($E$2:E1283)</f>
        <v>6021.63</v>
      </c>
      <c r="G1283" s="3">
        <f t="shared" si="80"/>
        <v>-0.3801296326742149</v>
      </c>
      <c r="I1283" s="2">
        <v>45112</v>
      </c>
      <c r="J1283" s="3">
        <f>IFERROR(VLOOKUP(I1283,$A$1:$G$1610,3,FALSE),J1282)</f>
        <v>14.18</v>
      </c>
      <c r="K1283" s="3">
        <f>IFERROR(VLOOKUP(I1283,$A$1:$G$1610,7,FALSE),K1282)</f>
        <v>-7.2914755574828769</v>
      </c>
      <c r="L1283" s="5">
        <f t="shared" si="81"/>
        <v>0</v>
      </c>
    </row>
    <row r="1284" spans="1:12" x14ac:dyDescent="0.25">
      <c r="A1284" s="2">
        <v>45625</v>
      </c>
      <c r="B1284" s="3">
        <v>13.51</v>
      </c>
      <c r="C1284" s="3">
        <f t="shared" si="82"/>
        <v>13.51</v>
      </c>
      <c r="D1284" s="3">
        <v>6032.38</v>
      </c>
      <c r="E1284" s="3">
        <f t="shared" si="79"/>
        <v>6032.38</v>
      </c>
      <c r="F1284" s="3">
        <f>MAX($E$2:E1284)</f>
        <v>6032.38</v>
      </c>
      <c r="G1284" s="3">
        <f t="shared" si="80"/>
        <v>0</v>
      </c>
      <c r="I1284" s="2">
        <v>45113</v>
      </c>
      <c r="J1284" s="3">
        <f>IFERROR(VLOOKUP(I1284,$A$1:$G$1610,3,FALSE),J1283)</f>
        <v>15.44</v>
      </c>
      <c r="K1284" s="3">
        <f>IFERROR(VLOOKUP(I1284,$A$1:$G$1610,7,FALSE),K1283)</f>
        <v>-8.0259602715279339</v>
      </c>
      <c r="L1284" s="5">
        <f t="shared" si="81"/>
        <v>0</v>
      </c>
    </row>
    <row r="1285" spans="1:12" x14ac:dyDescent="0.25">
      <c r="A1285" s="2">
        <v>45628</v>
      </c>
      <c r="B1285" s="3">
        <v>13.34</v>
      </c>
      <c r="C1285" s="3">
        <f t="shared" si="82"/>
        <v>13.34</v>
      </c>
      <c r="D1285" s="3">
        <v>6047.15</v>
      </c>
      <c r="E1285" s="3">
        <f t="shared" ref="E1285:E1348" si="83">IF(D1285="",D1284,D1285)</f>
        <v>6047.15</v>
      </c>
      <c r="F1285" s="3">
        <f>MAX($E$2:E1285)</f>
        <v>6047.15</v>
      </c>
      <c r="G1285" s="3">
        <f t="shared" si="80"/>
        <v>0</v>
      </c>
      <c r="I1285" s="2">
        <v>45114</v>
      </c>
      <c r="J1285" s="3">
        <f>IFERROR(VLOOKUP(I1285,$A$1:$G$1610,3,FALSE),J1284)</f>
        <v>14.83</v>
      </c>
      <c r="K1285" s="3">
        <f>IFERROR(VLOOKUP(I1285,$A$1:$G$1610,7,FALSE),K1284)</f>
        <v>-8.2894824624314207</v>
      </c>
      <c r="L1285" s="5">
        <f t="shared" si="81"/>
        <v>0</v>
      </c>
    </row>
    <row r="1286" spans="1:12" x14ac:dyDescent="0.25">
      <c r="A1286" s="2">
        <v>45629</v>
      </c>
      <c r="B1286" s="3">
        <v>13.3</v>
      </c>
      <c r="C1286" s="3">
        <f t="shared" si="82"/>
        <v>13.3</v>
      </c>
      <c r="D1286" s="3">
        <v>6049.88</v>
      </c>
      <c r="E1286" s="3">
        <f t="shared" si="83"/>
        <v>6049.88</v>
      </c>
      <c r="F1286" s="3">
        <f>MAX($E$2:E1286)</f>
        <v>6049.88</v>
      </c>
      <c r="G1286" s="3">
        <f t="shared" si="80"/>
        <v>0</v>
      </c>
      <c r="I1286" s="2">
        <v>45115</v>
      </c>
      <c r="J1286" s="3">
        <f>IFERROR(VLOOKUP(I1286,$A$1:$G$1610,3,FALSE),J1285)</f>
        <v>14.83</v>
      </c>
      <c r="K1286" s="3">
        <f>IFERROR(VLOOKUP(I1286,$A$1:$G$1610,7,FALSE),K1285)</f>
        <v>-8.2894824624314207</v>
      </c>
      <c r="L1286" s="5">
        <f t="shared" si="81"/>
        <v>0</v>
      </c>
    </row>
    <row r="1287" spans="1:12" x14ac:dyDescent="0.25">
      <c r="A1287" s="2">
        <v>45630</v>
      </c>
      <c r="B1287" s="3">
        <v>13.45</v>
      </c>
      <c r="C1287" s="3">
        <f t="shared" si="82"/>
        <v>13.45</v>
      </c>
      <c r="D1287" s="3">
        <v>6086.49</v>
      </c>
      <c r="E1287" s="3">
        <f t="shared" si="83"/>
        <v>6086.49</v>
      </c>
      <c r="F1287" s="3">
        <f>MAX($E$2:E1287)</f>
        <v>6086.49</v>
      </c>
      <c r="G1287" s="3">
        <f t="shared" si="80"/>
        <v>0</v>
      </c>
      <c r="I1287" s="2">
        <v>45116</v>
      </c>
      <c r="J1287" s="3">
        <f>IFERROR(VLOOKUP(I1287,$A$1:$G$1610,3,FALSE),J1286)</f>
        <v>14.83</v>
      </c>
      <c r="K1287" s="3">
        <f>IFERROR(VLOOKUP(I1287,$A$1:$G$1610,7,FALSE),K1286)</f>
        <v>-8.2894824624314207</v>
      </c>
      <c r="L1287" s="5">
        <f t="shared" si="81"/>
        <v>0</v>
      </c>
    </row>
    <row r="1288" spans="1:12" x14ac:dyDescent="0.25">
      <c r="A1288" s="2">
        <v>45631</v>
      </c>
      <c r="B1288" s="3">
        <v>13.54</v>
      </c>
      <c r="C1288" s="3">
        <f t="shared" si="82"/>
        <v>13.54</v>
      </c>
      <c r="D1288" s="3">
        <v>6075.11</v>
      </c>
      <c r="E1288" s="3">
        <f t="shared" si="83"/>
        <v>6075.11</v>
      </c>
      <c r="F1288" s="3">
        <f>MAX($E$2:E1288)</f>
        <v>6086.49</v>
      </c>
      <c r="G1288" s="3">
        <f t="shared" si="80"/>
        <v>-0.18697147288503077</v>
      </c>
      <c r="I1288" s="2">
        <v>45117</v>
      </c>
      <c r="J1288" s="3">
        <f>IFERROR(VLOOKUP(I1288,$A$1:$G$1610,3,FALSE),J1287)</f>
        <v>15.07</v>
      </c>
      <c r="K1288" s="3">
        <f>IFERROR(VLOOKUP(I1288,$A$1:$G$1610,7,FALSE),K1287)</f>
        <v>-8.0689077171973373</v>
      </c>
      <c r="L1288" s="5">
        <f t="shared" si="81"/>
        <v>0</v>
      </c>
    </row>
    <row r="1289" spans="1:12" x14ac:dyDescent="0.25">
      <c r="A1289" s="2">
        <v>45632</v>
      </c>
      <c r="B1289" s="3">
        <v>12.77</v>
      </c>
      <c r="C1289" s="3">
        <f t="shared" si="82"/>
        <v>12.77</v>
      </c>
      <c r="D1289" s="3">
        <v>6090.27</v>
      </c>
      <c r="E1289" s="3">
        <f t="shared" si="83"/>
        <v>6090.27</v>
      </c>
      <c r="F1289" s="3">
        <f>MAX($E$2:E1289)</f>
        <v>6090.27</v>
      </c>
      <c r="G1289" s="3">
        <f t="shared" si="80"/>
        <v>0</v>
      </c>
      <c r="I1289" s="2">
        <v>45118</v>
      </c>
      <c r="J1289" s="3">
        <f>IFERROR(VLOOKUP(I1289,$A$1:$G$1610,3,FALSE),J1288)</f>
        <v>14.84</v>
      </c>
      <c r="K1289" s="3">
        <f>IFERROR(VLOOKUP(I1289,$A$1:$G$1610,7,FALSE),K1288)</f>
        <v>-7.4490885134346314</v>
      </c>
      <c r="L1289" s="5">
        <f t="shared" si="81"/>
        <v>0</v>
      </c>
    </row>
    <row r="1290" spans="1:12" x14ac:dyDescent="0.25">
      <c r="A1290" s="2">
        <v>45635</v>
      </c>
      <c r="B1290" s="3">
        <v>14.19</v>
      </c>
      <c r="C1290" s="3">
        <f t="shared" si="82"/>
        <v>14.19</v>
      </c>
      <c r="D1290" s="3">
        <v>6052.85</v>
      </c>
      <c r="E1290" s="3">
        <f t="shared" si="83"/>
        <v>6052.85</v>
      </c>
      <c r="F1290" s="3">
        <f>MAX($E$2:E1290)</f>
        <v>6090.27</v>
      </c>
      <c r="G1290" s="3">
        <f t="shared" si="80"/>
        <v>-0.61442267748392221</v>
      </c>
      <c r="I1290" s="2">
        <v>45119</v>
      </c>
      <c r="J1290" s="3">
        <f>IFERROR(VLOOKUP(I1290,$A$1:$G$1610,3,FALSE),J1289)</f>
        <v>13.54</v>
      </c>
      <c r="K1290" s="3">
        <f>IFERROR(VLOOKUP(I1290,$A$1:$G$1610,7,FALSE),K1289)</f>
        <v>-6.7631802792001041</v>
      </c>
      <c r="L1290" s="5">
        <f t="shared" si="81"/>
        <v>0</v>
      </c>
    </row>
    <row r="1291" spans="1:12" x14ac:dyDescent="0.25">
      <c r="A1291" s="2">
        <v>45636</v>
      </c>
      <c r="B1291" s="3">
        <v>14.18</v>
      </c>
      <c r="C1291" s="3">
        <f t="shared" si="82"/>
        <v>14.18</v>
      </c>
      <c r="D1291" s="3">
        <v>6034.91</v>
      </c>
      <c r="E1291" s="3">
        <f t="shared" si="83"/>
        <v>6034.91</v>
      </c>
      <c r="F1291" s="3">
        <f>MAX($E$2:E1291)</f>
        <v>6090.27</v>
      </c>
      <c r="G1291" s="3">
        <f t="shared" si="80"/>
        <v>-0.90899089859728022</v>
      </c>
      <c r="I1291" s="2">
        <v>45120</v>
      </c>
      <c r="J1291" s="3">
        <f>IFERROR(VLOOKUP(I1291,$A$1:$G$1610,3,FALSE),J1290)</f>
        <v>13.61</v>
      </c>
      <c r="K1291" s="3">
        <f>IFERROR(VLOOKUP(I1291,$A$1:$G$1610,7,FALSE),K1290)</f>
        <v>-5.973447637473531</v>
      </c>
      <c r="L1291" s="5">
        <f t="shared" si="81"/>
        <v>0</v>
      </c>
    </row>
    <row r="1292" spans="1:12" x14ac:dyDescent="0.25">
      <c r="A1292" s="2">
        <v>45637</v>
      </c>
      <c r="B1292" s="3">
        <v>13.58</v>
      </c>
      <c r="C1292" s="3">
        <f t="shared" si="82"/>
        <v>13.58</v>
      </c>
      <c r="D1292" s="3">
        <v>6084.19</v>
      </c>
      <c r="E1292" s="3">
        <f t="shared" si="83"/>
        <v>6084.19</v>
      </c>
      <c r="F1292" s="3">
        <f>MAX($E$2:E1292)</f>
        <v>6090.27</v>
      </c>
      <c r="G1292" s="3">
        <f t="shared" si="80"/>
        <v>-9.9831370366187971E-2</v>
      </c>
      <c r="I1292" s="2">
        <v>45121</v>
      </c>
      <c r="J1292" s="3">
        <f>IFERROR(VLOOKUP(I1292,$A$1:$G$1610,3,FALSE),J1291)</f>
        <v>13.34</v>
      </c>
      <c r="K1292" s="3">
        <f>IFERROR(VLOOKUP(I1292,$A$1:$G$1610,7,FALSE),K1291)</f>
        <v>-6.069766666110719</v>
      </c>
      <c r="L1292" s="5">
        <f t="shared" si="81"/>
        <v>0</v>
      </c>
    </row>
    <row r="1293" spans="1:12" x14ac:dyDescent="0.25">
      <c r="A1293" s="2">
        <v>45638</v>
      </c>
      <c r="B1293" s="3">
        <v>13.92</v>
      </c>
      <c r="C1293" s="3">
        <f t="shared" si="82"/>
        <v>13.92</v>
      </c>
      <c r="D1293" s="3">
        <v>6051.25</v>
      </c>
      <c r="E1293" s="3">
        <f t="shared" si="83"/>
        <v>6051.25</v>
      </c>
      <c r="F1293" s="3">
        <f>MAX($E$2:E1293)</f>
        <v>6090.27</v>
      </c>
      <c r="G1293" s="3">
        <f t="shared" si="80"/>
        <v>-0.64069409073818462</v>
      </c>
      <c r="I1293" s="2">
        <v>45122</v>
      </c>
      <c r="J1293" s="3">
        <f>IFERROR(VLOOKUP(I1293,$A$1:$G$1610,3,FALSE),J1292)</f>
        <v>13.34</v>
      </c>
      <c r="K1293" s="3">
        <f>IFERROR(VLOOKUP(I1293,$A$1:$G$1610,7,FALSE),K1292)</f>
        <v>-6.069766666110719</v>
      </c>
      <c r="L1293" s="5">
        <f t="shared" si="81"/>
        <v>0</v>
      </c>
    </row>
    <row r="1294" spans="1:12" x14ac:dyDescent="0.25">
      <c r="A1294" s="2">
        <v>45639</v>
      </c>
      <c r="B1294" s="3">
        <v>13.81</v>
      </c>
      <c r="C1294" s="3">
        <f t="shared" si="82"/>
        <v>13.81</v>
      </c>
      <c r="D1294" s="3">
        <v>6051.09</v>
      </c>
      <c r="E1294" s="3">
        <f t="shared" si="83"/>
        <v>6051.09</v>
      </c>
      <c r="F1294" s="3">
        <f>MAX($E$2:E1294)</f>
        <v>6090.27</v>
      </c>
      <c r="G1294" s="3">
        <f t="shared" si="80"/>
        <v>-0.64332123206360781</v>
      </c>
      <c r="I1294" s="2">
        <v>45123</v>
      </c>
      <c r="J1294" s="3">
        <f>IFERROR(VLOOKUP(I1294,$A$1:$G$1610,3,FALSE),J1293)</f>
        <v>13.34</v>
      </c>
      <c r="K1294" s="3">
        <f>IFERROR(VLOOKUP(I1294,$A$1:$G$1610,7,FALSE),K1293)</f>
        <v>-6.069766666110719</v>
      </c>
      <c r="L1294" s="5">
        <f t="shared" si="81"/>
        <v>0</v>
      </c>
    </row>
    <row r="1295" spans="1:12" x14ac:dyDescent="0.25">
      <c r="A1295" s="2">
        <v>45642</v>
      </c>
      <c r="B1295" s="3">
        <v>14.69</v>
      </c>
      <c r="C1295" s="3">
        <f t="shared" si="82"/>
        <v>14.69</v>
      </c>
      <c r="D1295" s="3">
        <v>6074.08</v>
      </c>
      <c r="E1295" s="3">
        <f t="shared" si="83"/>
        <v>6074.08</v>
      </c>
      <c r="F1295" s="3">
        <f>MAX($E$2:E1295)</f>
        <v>6090.27</v>
      </c>
      <c r="G1295" s="3">
        <f t="shared" si="80"/>
        <v>-0.26583386286651511</v>
      </c>
      <c r="I1295" s="2">
        <v>45124</v>
      </c>
      <c r="J1295" s="3">
        <f>IFERROR(VLOOKUP(I1295,$A$1:$G$1610,3,FALSE),J1294)</f>
        <v>13.48</v>
      </c>
      <c r="K1295" s="3">
        <f>IFERROR(VLOOKUP(I1295,$A$1:$G$1610,7,FALSE),K1294)</f>
        <v>-5.7076321363644027</v>
      </c>
      <c r="L1295" s="5">
        <f t="shared" si="81"/>
        <v>0</v>
      </c>
    </row>
    <row r="1296" spans="1:12" x14ac:dyDescent="0.25">
      <c r="A1296" s="2">
        <v>45643</v>
      </c>
      <c r="B1296" s="3">
        <v>15.87</v>
      </c>
      <c r="C1296" s="3">
        <f t="shared" si="82"/>
        <v>15.87</v>
      </c>
      <c r="D1296" s="3">
        <v>6050.61</v>
      </c>
      <c r="E1296" s="3">
        <f t="shared" si="83"/>
        <v>6050.61</v>
      </c>
      <c r="F1296" s="3">
        <f>MAX($E$2:E1296)</f>
        <v>6090.27</v>
      </c>
      <c r="G1296" s="3">
        <f t="shared" si="80"/>
        <v>-0.65120265603989247</v>
      </c>
      <c r="I1296" s="2">
        <v>45125</v>
      </c>
      <c r="J1296" s="3">
        <f>IFERROR(VLOOKUP(I1296,$A$1:$G$1610,3,FALSE),J1295)</f>
        <v>13.3</v>
      </c>
      <c r="K1296" s="3">
        <f>IFERROR(VLOOKUP(I1296,$A$1:$G$1610,7,FALSE),K1295)</f>
        <v>-5.0365261770936014</v>
      </c>
      <c r="L1296" s="5">
        <f t="shared" si="81"/>
        <v>0</v>
      </c>
    </row>
    <row r="1297" spans="1:12" x14ac:dyDescent="0.25">
      <c r="A1297" s="2">
        <v>45644</v>
      </c>
      <c r="B1297" s="3">
        <v>27.62</v>
      </c>
      <c r="C1297" s="3">
        <f t="shared" si="82"/>
        <v>27.62</v>
      </c>
      <c r="D1297" s="3">
        <v>5872.16</v>
      </c>
      <c r="E1297" s="3">
        <f t="shared" si="83"/>
        <v>5872.16</v>
      </c>
      <c r="F1297" s="3">
        <f>MAX($E$2:E1297)</f>
        <v>6090.27</v>
      </c>
      <c r="G1297" s="3">
        <f t="shared" si="80"/>
        <v>-3.5812862155536709</v>
      </c>
      <c r="I1297" s="2">
        <v>45126</v>
      </c>
      <c r="J1297" s="3">
        <f>IFERROR(VLOOKUP(I1297,$A$1:$G$1610,3,FALSE),J1296)</f>
        <v>13.76</v>
      </c>
      <c r="K1297" s="3">
        <f>IFERROR(VLOOKUP(I1297,$A$1:$G$1610,7,FALSE),K1296)</f>
        <v>-4.8126157079240146</v>
      </c>
      <c r="L1297" s="5">
        <f t="shared" si="81"/>
        <v>0</v>
      </c>
    </row>
    <row r="1298" spans="1:12" x14ac:dyDescent="0.25">
      <c r="A1298" s="2">
        <v>45645</v>
      </c>
      <c r="B1298" s="3">
        <v>24.09</v>
      </c>
      <c r="C1298" s="3">
        <f t="shared" si="82"/>
        <v>24.09</v>
      </c>
      <c r="D1298" s="3">
        <v>5867.08</v>
      </c>
      <c r="E1298" s="3">
        <f t="shared" si="83"/>
        <v>5867.08</v>
      </c>
      <c r="F1298" s="3">
        <f>MAX($E$2:E1298)</f>
        <v>6090.27</v>
      </c>
      <c r="G1298" s="3">
        <f t="shared" si="80"/>
        <v>-3.664697952635934</v>
      </c>
      <c r="I1298" s="2">
        <v>45127</v>
      </c>
      <c r="J1298" s="3">
        <f>IFERROR(VLOOKUP(I1298,$A$1:$G$1610,3,FALSE),J1297)</f>
        <v>13.99</v>
      </c>
      <c r="K1298" s="3">
        <f>IFERROR(VLOOKUP(I1298,$A$1:$G$1610,7,FALSE),K1297)</f>
        <v>-5.455784979235129</v>
      </c>
      <c r="L1298" s="5">
        <f t="shared" si="81"/>
        <v>0</v>
      </c>
    </row>
    <row r="1299" spans="1:12" x14ac:dyDescent="0.25">
      <c r="A1299" s="2">
        <v>45646</v>
      </c>
      <c r="B1299" s="3">
        <v>18.36</v>
      </c>
      <c r="C1299" s="3">
        <f t="shared" si="82"/>
        <v>18.36</v>
      </c>
      <c r="D1299" s="3">
        <v>5930.85</v>
      </c>
      <c r="E1299" s="3">
        <f t="shared" si="83"/>
        <v>5930.85</v>
      </c>
      <c r="F1299" s="3">
        <f>MAX($E$2:E1299)</f>
        <v>6090.27</v>
      </c>
      <c r="G1299" s="3">
        <f t="shared" si="80"/>
        <v>-2.6176179381209712</v>
      </c>
      <c r="I1299" s="2">
        <v>45128</v>
      </c>
      <c r="J1299" s="3">
        <f>IFERROR(VLOOKUP(I1299,$A$1:$G$1610,3,FALSE),J1298)</f>
        <v>13.6</v>
      </c>
      <c r="K1299" s="3">
        <f>IFERROR(VLOOKUP(I1299,$A$1:$G$1610,7,FALSE),K1298)</f>
        <v>-5.4251380155778355</v>
      </c>
      <c r="L1299" s="5">
        <f t="shared" si="81"/>
        <v>0</v>
      </c>
    </row>
    <row r="1300" spans="1:12" x14ac:dyDescent="0.25">
      <c r="A1300" s="2">
        <v>45649</v>
      </c>
      <c r="B1300" s="3">
        <v>16.78</v>
      </c>
      <c r="C1300" s="3">
        <f t="shared" si="82"/>
        <v>16.78</v>
      </c>
      <c r="D1300" s="3">
        <v>5974.07</v>
      </c>
      <c r="E1300" s="3">
        <f t="shared" si="83"/>
        <v>5974.07</v>
      </c>
      <c r="F1300" s="3">
        <f>MAX($E$2:E1300)</f>
        <v>6090.27</v>
      </c>
      <c r="G1300" s="3">
        <f t="shared" si="80"/>
        <v>-1.9079613875903814</v>
      </c>
      <c r="I1300" s="2">
        <v>45129</v>
      </c>
      <c r="J1300" s="3">
        <f>IFERROR(VLOOKUP(I1300,$A$1:$G$1610,3,FALSE),J1299)</f>
        <v>13.6</v>
      </c>
      <c r="K1300" s="3">
        <f>IFERROR(VLOOKUP(I1300,$A$1:$G$1610,7,FALSE),K1299)</f>
        <v>-5.4251380155778355</v>
      </c>
      <c r="L1300" s="5">
        <f t="shared" si="81"/>
        <v>0</v>
      </c>
    </row>
    <row r="1301" spans="1:12" x14ac:dyDescent="0.25">
      <c r="A1301" s="2">
        <v>45650</v>
      </c>
      <c r="B1301" s="3">
        <v>14.27</v>
      </c>
      <c r="C1301" s="3">
        <f t="shared" si="82"/>
        <v>14.27</v>
      </c>
      <c r="D1301" s="3">
        <v>6040.04</v>
      </c>
      <c r="E1301" s="3">
        <f t="shared" si="83"/>
        <v>6040.04</v>
      </c>
      <c r="F1301" s="3">
        <f>MAX($E$2:E1301)</f>
        <v>6090.27</v>
      </c>
      <c r="G1301" s="3">
        <f t="shared" si="80"/>
        <v>-0.8247581798508189</v>
      </c>
      <c r="I1301" s="2">
        <v>45130</v>
      </c>
      <c r="J1301" s="3">
        <f>IFERROR(VLOOKUP(I1301,$A$1:$G$1610,3,FALSE),J1300)</f>
        <v>13.6</v>
      </c>
      <c r="K1301" s="3">
        <f>IFERROR(VLOOKUP(I1301,$A$1:$G$1610,7,FALSE),K1300)</f>
        <v>-5.4251380155778355</v>
      </c>
      <c r="L1301" s="5">
        <f t="shared" si="81"/>
        <v>0</v>
      </c>
    </row>
    <row r="1302" spans="1:12" x14ac:dyDescent="0.25">
      <c r="A1302" s="2">
        <v>45651</v>
      </c>
      <c r="C1302" s="3">
        <f t="shared" si="82"/>
        <v>14.27</v>
      </c>
      <c r="E1302" s="3">
        <f t="shared" si="83"/>
        <v>6040.04</v>
      </c>
      <c r="F1302" s="3">
        <f>MAX($E$2:E1302)</f>
        <v>6090.27</v>
      </c>
      <c r="G1302" s="3">
        <f t="shared" si="80"/>
        <v>-0.8247581798508189</v>
      </c>
      <c r="I1302" s="2">
        <v>45131</v>
      </c>
      <c r="J1302" s="3">
        <f>IFERROR(VLOOKUP(I1302,$A$1:$G$1610,3,FALSE),J1301)</f>
        <v>13.91</v>
      </c>
      <c r="K1302" s="3">
        <f>IFERROR(VLOOKUP(I1302,$A$1:$G$1610,7,FALSE),K1301)</f>
        <v>-5.0436145904564951</v>
      </c>
      <c r="L1302" s="5">
        <f t="shared" si="81"/>
        <v>0</v>
      </c>
    </row>
    <row r="1303" spans="1:12" x14ac:dyDescent="0.25">
      <c r="A1303" s="2">
        <v>45652</v>
      </c>
      <c r="B1303" s="3">
        <v>14.73</v>
      </c>
      <c r="C1303" s="3">
        <f t="shared" si="82"/>
        <v>14.73</v>
      </c>
      <c r="D1303" s="3">
        <v>6037.59</v>
      </c>
      <c r="E1303" s="3">
        <f t="shared" si="83"/>
        <v>6037.59</v>
      </c>
      <c r="F1303" s="3">
        <f>MAX($E$2:E1303)</f>
        <v>6090.27</v>
      </c>
      <c r="G1303" s="3">
        <f t="shared" si="80"/>
        <v>-0.864986281396396</v>
      </c>
      <c r="I1303" s="2">
        <v>45132</v>
      </c>
      <c r="J1303" s="3">
        <f>IFERROR(VLOOKUP(I1303,$A$1:$G$1610,3,FALSE),J1302)</f>
        <v>13.86</v>
      </c>
      <c r="K1303" s="3">
        <f>IFERROR(VLOOKUP(I1303,$A$1:$G$1610,7,FALSE),K1302)</f>
        <v>-4.7763397101255975</v>
      </c>
      <c r="L1303" s="5">
        <f t="shared" si="81"/>
        <v>0</v>
      </c>
    </row>
    <row r="1304" spans="1:12" x14ac:dyDescent="0.25">
      <c r="A1304" s="2">
        <v>45653</v>
      </c>
      <c r="B1304" s="3">
        <v>15.95</v>
      </c>
      <c r="C1304" s="3">
        <f t="shared" si="82"/>
        <v>15.95</v>
      </c>
      <c r="D1304" s="3">
        <v>5970.84</v>
      </c>
      <c r="E1304" s="3">
        <f t="shared" si="83"/>
        <v>5970.84</v>
      </c>
      <c r="F1304" s="3">
        <f>MAX($E$2:E1304)</f>
        <v>6090.27</v>
      </c>
      <c r="G1304" s="3">
        <f t="shared" si="80"/>
        <v>-1.9609968030974041</v>
      </c>
      <c r="I1304" s="2">
        <v>45133</v>
      </c>
      <c r="J1304" s="3">
        <f>IFERROR(VLOOKUP(I1304,$A$1:$G$1610,3,FALSE),J1303)</f>
        <v>13.19</v>
      </c>
      <c r="K1304" s="3">
        <f>IFERROR(VLOOKUP(I1304,$A$1:$G$1610,7,FALSE),K1303)</f>
        <v>-4.7911419850893218</v>
      </c>
      <c r="L1304" s="5">
        <f t="shared" si="81"/>
        <v>0</v>
      </c>
    </row>
    <row r="1305" spans="1:12" x14ac:dyDescent="0.25">
      <c r="A1305" s="2">
        <v>45656</v>
      </c>
      <c r="B1305" s="3">
        <v>17.399999999999999</v>
      </c>
      <c r="C1305" s="3">
        <f t="shared" si="82"/>
        <v>17.399999999999999</v>
      </c>
      <c r="D1305" s="3">
        <v>5906.94</v>
      </c>
      <c r="E1305" s="3">
        <f t="shared" si="83"/>
        <v>5906.94</v>
      </c>
      <c r="F1305" s="3">
        <f>MAX($E$2:E1305)</f>
        <v>6090.27</v>
      </c>
      <c r="G1305" s="3">
        <f t="shared" si="80"/>
        <v>-3.0102113699392774</v>
      </c>
      <c r="I1305" s="2">
        <v>45134</v>
      </c>
      <c r="J1305" s="3">
        <f>IFERROR(VLOOKUP(I1305,$A$1:$G$1610,3,FALSE),J1304)</f>
        <v>14.41</v>
      </c>
      <c r="K1305" s="3">
        <f>IFERROR(VLOOKUP(I1305,$A$1:$G$1610,7,FALSE),K1304)</f>
        <v>-5.4028303617592721</v>
      </c>
      <c r="L1305" s="5">
        <f t="shared" si="81"/>
        <v>0</v>
      </c>
    </row>
    <row r="1306" spans="1:12" x14ac:dyDescent="0.25">
      <c r="A1306" s="2">
        <v>45657</v>
      </c>
      <c r="B1306" s="3">
        <v>17.350000000000001</v>
      </c>
      <c r="C1306" s="3">
        <f t="shared" si="82"/>
        <v>17.350000000000001</v>
      </c>
      <c r="D1306" s="3">
        <v>5881.63</v>
      </c>
      <c r="E1306" s="3">
        <f t="shared" si="83"/>
        <v>5881.63</v>
      </c>
      <c r="F1306" s="3">
        <f>MAX($E$2:E1306)</f>
        <v>6090.27</v>
      </c>
      <c r="G1306" s="3">
        <f t="shared" si="80"/>
        <v>-3.4257922883550367</v>
      </c>
      <c r="I1306" s="2">
        <v>45135</v>
      </c>
      <c r="J1306" s="3">
        <f>IFERROR(VLOOKUP(I1306,$A$1:$G$1610,3,FALSE),J1305)</f>
        <v>13.33</v>
      </c>
      <c r="K1306" s="3">
        <f>IFERROR(VLOOKUP(I1306,$A$1:$G$1610,7,FALSE),K1305)</f>
        <v>-4.4684106943309541</v>
      </c>
      <c r="L1306" s="5">
        <f t="shared" si="81"/>
        <v>0</v>
      </c>
    </row>
    <row r="1307" spans="1:12" x14ac:dyDescent="0.25">
      <c r="A1307" s="2">
        <v>45658</v>
      </c>
      <c r="C1307" s="3">
        <f t="shared" si="82"/>
        <v>17.350000000000001</v>
      </c>
      <c r="E1307" s="3">
        <f t="shared" si="83"/>
        <v>5881.63</v>
      </c>
      <c r="F1307" s="3">
        <f>MAX($E$2:E1307)</f>
        <v>6090.27</v>
      </c>
      <c r="G1307" s="3">
        <f t="shared" si="80"/>
        <v>-3.4257922883550367</v>
      </c>
      <c r="I1307" s="2">
        <v>45136</v>
      </c>
      <c r="J1307" s="3">
        <f>IFERROR(VLOOKUP(I1307,$A$1:$G$1610,3,FALSE),J1306)</f>
        <v>13.33</v>
      </c>
      <c r="K1307" s="3">
        <f>IFERROR(VLOOKUP(I1307,$A$1:$G$1610,7,FALSE),K1306)</f>
        <v>-4.4684106943309541</v>
      </c>
      <c r="L1307" s="5">
        <f t="shared" si="81"/>
        <v>0</v>
      </c>
    </row>
    <row r="1308" spans="1:12" x14ac:dyDescent="0.25">
      <c r="A1308" s="2">
        <v>45659</v>
      </c>
      <c r="B1308" s="3">
        <v>17.93</v>
      </c>
      <c r="C1308" s="3">
        <f t="shared" si="82"/>
        <v>17.93</v>
      </c>
      <c r="D1308" s="3">
        <v>5868.55</v>
      </c>
      <c r="E1308" s="3">
        <f t="shared" si="83"/>
        <v>5868.55</v>
      </c>
      <c r="F1308" s="3">
        <f>MAX($E$2:E1308)</f>
        <v>6090.27</v>
      </c>
      <c r="G1308" s="3">
        <f t="shared" si="80"/>
        <v>-3.6405610917085816</v>
      </c>
      <c r="I1308" s="2">
        <v>45137</v>
      </c>
      <c r="J1308" s="3">
        <f>IFERROR(VLOOKUP(I1308,$A$1:$G$1610,3,FALSE),J1307)</f>
        <v>13.33</v>
      </c>
      <c r="K1308" s="3">
        <f>IFERROR(VLOOKUP(I1308,$A$1:$G$1610,7,FALSE),K1307)</f>
        <v>-4.4684106943309541</v>
      </c>
      <c r="L1308" s="5">
        <f t="shared" si="81"/>
        <v>0</v>
      </c>
    </row>
    <row r="1309" spans="1:12" x14ac:dyDescent="0.25">
      <c r="A1309" s="2">
        <v>45660</v>
      </c>
      <c r="B1309" s="3">
        <v>16.13</v>
      </c>
      <c r="C1309" s="3">
        <f t="shared" si="82"/>
        <v>16.13</v>
      </c>
      <c r="D1309" s="3">
        <v>5942.47</v>
      </c>
      <c r="E1309" s="3">
        <f t="shared" si="83"/>
        <v>5942.47</v>
      </c>
      <c r="F1309" s="3">
        <f>MAX($E$2:E1309)</f>
        <v>6090.27</v>
      </c>
      <c r="G1309" s="3">
        <f t="shared" si="80"/>
        <v>-2.4268217993619356</v>
      </c>
      <c r="I1309" s="2">
        <v>45138</v>
      </c>
      <c r="J1309" s="3">
        <f>IFERROR(VLOOKUP(I1309,$A$1:$G$1610,3,FALSE),J1308)</f>
        <v>13.63</v>
      </c>
      <c r="K1309" s="3">
        <f>IFERROR(VLOOKUP(I1309,$A$1:$G$1610,7,FALSE),K1308)</f>
        <v>-4.3281018062945185</v>
      </c>
      <c r="L1309" s="5">
        <f t="shared" si="81"/>
        <v>0</v>
      </c>
    </row>
    <row r="1310" spans="1:12" x14ac:dyDescent="0.25">
      <c r="A1310" s="2">
        <v>45663</v>
      </c>
      <c r="B1310" s="3">
        <v>16.04</v>
      </c>
      <c r="C1310" s="3">
        <f t="shared" si="82"/>
        <v>16.04</v>
      </c>
      <c r="D1310" s="3">
        <v>5975.38</v>
      </c>
      <c r="E1310" s="3">
        <f t="shared" si="83"/>
        <v>5975.38</v>
      </c>
      <c r="F1310" s="3">
        <f>MAX($E$2:E1310)</f>
        <v>6090.27</v>
      </c>
      <c r="G1310" s="3">
        <f t="shared" si="80"/>
        <v>-1.8864516679884524</v>
      </c>
      <c r="I1310" s="2">
        <v>45139</v>
      </c>
      <c r="J1310" s="3">
        <f>IFERROR(VLOOKUP(I1310,$A$1:$G$1610,3,FALSE),J1309)</f>
        <v>13.93</v>
      </c>
      <c r="K1310" s="3">
        <f>IFERROR(VLOOKUP(I1310,$A$1:$G$1610,7,FALSE),K1309)</f>
        <v>-4.5830762046133238</v>
      </c>
      <c r="L1310" s="5">
        <f t="shared" si="81"/>
        <v>0</v>
      </c>
    </row>
    <row r="1311" spans="1:12" x14ac:dyDescent="0.25">
      <c r="A1311" s="2">
        <v>45664</v>
      </c>
      <c r="B1311" s="3">
        <v>17.82</v>
      </c>
      <c r="C1311" s="3">
        <f t="shared" si="82"/>
        <v>17.82</v>
      </c>
      <c r="D1311" s="3">
        <v>5909.03</v>
      </c>
      <c r="E1311" s="3">
        <f t="shared" si="83"/>
        <v>5909.03</v>
      </c>
      <c r="F1311" s="3">
        <f>MAX($E$2:E1311)</f>
        <v>6090.27</v>
      </c>
      <c r="G1311" s="3">
        <f t="shared" si="80"/>
        <v>-2.9758943363759025</v>
      </c>
      <c r="I1311" s="2">
        <v>45140</v>
      </c>
      <c r="J1311" s="3">
        <f>IFERROR(VLOOKUP(I1311,$A$1:$G$1610,3,FALSE),J1310)</f>
        <v>16.09</v>
      </c>
      <c r="K1311" s="3">
        <f>IFERROR(VLOOKUP(I1311,$A$1:$G$1610,7,FALSE),K1310)</f>
        <v>-5.9036059175742626</v>
      </c>
      <c r="L1311" s="5">
        <f t="shared" si="81"/>
        <v>0</v>
      </c>
    </row>
    <row r="1312" spans="1:12" x14ac:dyDescent="0.25">
      <c r="A1312" s="2">
        <v>45665</v>
      </c>
      <c r="B1312" s="3">
        <v>17.7</v>
      </c>
      <c r="C1312" s="3">
        <f t="shared" si="82"/>
        <v>17.7</v>
      </c>
      <c r="D1312" s="3">
        <v>5918.25</v>
      </c>
      <c r="E1312" s="3">
        <f t="shared" si="83"/>
        <v>5918.25</v>
      </c>
      <c r="F1312" s="3">
        <f>MAX($E$2:E1312)</f>
        <v>6090.27</v>
      </c>
      <c r="G1312" s="3">
        <f t="shared" si="80"/>
        <v>-2.8245053174982457</v>
      </c>
      <c r="I1312" s="2">
        <v>45141</v>
      </c>
      <c r="J1312" s="3">
        <f>IFERROR(VLOOKUP(I1312,$A$1:$G$1610,3,FALSE),J1311)</f>
        <v>15.92</v>
      </c>
      <c r="K1312" s="3">
        <f>IFERROR(VLOOKUP(I1312,$A$1:$G$1610,7,FALSE),K1311)</f>
        <v>-6.1433610754373982</v>
      </c>
      <c r="L1312" s="5">
        <f t="shared" si="81"/>
        <v>0</v>
      </c>
    </row>
    <row r="1313" spans="1:12" x14ac:dyDescent="0.25">
      <c r="A1313" s="2">
        <v>45666</v>
      </c>
      <c r="B1313" s="3">
        <v>18.07</v>
      </c>
      <c r="C1313" s="3">
        <f t="shared" si="82"/>
        <v>18.07</v>
      </c>
      <c r="E1313" s="3">
        <f t="shared" si="83"/>
        <v>5918.25</v>
      </c>
      <c r="F1313" s="3">
        <f>MAX($E$2:E1313)</f>
        <v>6090.27</v>
      </c>
      <c r="G1313" s="3">
        <f t="shared" si="80"/>
        <v>-2.8245053174982457</v>
      </c>
      <c r="I1313" s="2">
        <v>45142</v>
      </c>
      <c r="J1313" s="3">
        <f>IFERROR(VLOOKUP(I1313,$A$1:$G$1610,3,FALSE),J1312)</f>
        <v>17.100000000000001</v>
      </c>
      <c r="K1313" s="3">
        <f>IFERROR(VLOOKUP(I1313,$A$1:$G$1610,7,FALSE),K1312)</f>
        <v>-6.6408009073169243</v>
      </c>
      <c r="L1313" s="5">
        <f t="shared" si="81"/>
        <v>0</v>
      </c>
    </row>
    <row r="1314" spans="1:12" x14ac:dyDescent="0.25">
      <c r="A1314" s="2">
        <v>45667</v>
      </c>
      <c r="B1314" s="3">
        <v>19.54</v>
      </c>
      <c r="C1314" s="3">
        <f t="shared" si="82"/>
        <v>19.54</v>
      </c>
      <c r="D1314" s="3">
        <v>5827.04</v>
      </c>
      <c r="E1314" s="3">
        <f t="shared" si="83"/>
        <v>5827.04</v>
      </c>
      <c r="F1314" s="3">
        <f>MAX($E$2:E1314)</f>
        <v>6090.27</v>
      </c>
      <c r="G1314" s="3">
        <f t="shared" si="80"/>
        <v>-4.3221400693236989</v>
      </c>
      <c r="I1314" s="2">
        <v>45143</v>
      </c>
      <c r="J1314" s="3">
        <f>IFERROR(VLOOKUP(I1314,$A$1:$G$1610,3,FALSE),J1313)</f>
        <v>17.100000000000001</v>
      </c>
      <c r="K1314" s="3">
        <f>IFERROR(VLOOKUP(I1314,$A$1:$G$1610,7,FALSE),K1313)</f>
        <v>-6.6408009073169243</v>
      </c>
      <c r="L1314" s="5">
        <f t="shared" si="81"/>
        <v>0</v>
      </c>
    </row>
    <row r="1315" spans="1:12" x14ac:dyDescent="0.25">
      <c r="A1315" s="2">
        <v>45670</v>
      </c>
      <c r="B1315" s="3">
        <v>19.190000000000001</v>
      </c>
      <c r="C1315" s="3">
        <f t="shared" si="82"/>
        <v>19.190000000000001</v>
      </c>
      <c r="D1315" s="3">
        <v>5836.22</v>
      </c>
      <c r="E1315" s="3">
        <f t="shared" si="83"/>
        <v>5836.22</v>
      </c>
      <c r="F1315" s="3">
        <f>MAX($E$2:E1315)</f>
        <v>6090.27</v>
      </c>
      <c r="G1315" s="3">
        <f t="shared" si="80"/>
        <v>-4.1714078357773987</v>
      </c>
      <c r="I1315" s="2">
        <v>45144</v>
      </c>
      <c r="J1315" s="3">
        <f>IFERROR(VLOOKUP(I1315,$A$1:$G$1610,3,FALSE),J1314)</f>
        <v>17.100000000000001</v>
      </c>
      <c r="K1315" s="3">
        <f>IFERROR(VLOOKUP(I1315,$A$1:$G$1610,7,FALSE),K1314)</f>
        <v>-6.6408009073169243</v>
      </c>
      <c r="L1315" s="5">
        <f t="shared" si="81"/>
        <v>0</v>
      </c>
    </row>
    <row r="1316" spans="1:12" x14ac:dyDescent="0.25">
      <c r="A1316" s="2">
        <v>45671</v>
      </c>
      <c r="B1316" s="3">
        <v>18.71</v>
      </c>
      <c r="C1316" s="3">
        <f t="shared" si="82"/>
        <v>18.71</v>
      </c>
      <c r="D1316" s="3">
        <v>5842.91</v>
      </c>
      <c r="E1316" s="3">
        <f t="shared" si="83"/>
        <v>5842.91</v>
      </c>
      <c r="F1316" s="3">
        <f>MAX($E$2:E1316)</f>
        <v>6090.27</v>
      </c>
      <c r="G1316" s="3">
        <f t="shared" si="80"/>
        <v>-4.0615604891080448</v>
      </c>
      <c r="I1316" s="2">
        <v>45145</v>
      </c>
      <c r="J1316" s="3">
        <f>IFERROR(VLOOKUP(I1316,$A$1:$G$1610,3,FALSE),J1315)</f>
        <v>15.77</v>
      </c>
      <c r="K1316" s="3">
        <f>IFERROR(VLOOKUP(I1316,$A$1:$G$1610,7,FALSE),K1315)</f>
        <v>-5.7983221308604662</v>
      </c>
      <c r="L1316" s="5">
        <f t="shared" si="81"/>
        <v>0</v>
      </c>
    </row>
    <row r="1317" spans="1:12" x14ac:dyDescent="0.25">
      <c r="A1317" s="2">
        <v>45672</v>
      </c>
      <c r="B1317" s="3">
        <v>16.12</v>
      </c>
      <c r="C1317" s="3">
        <f t="shared" si="82"/>
        <v>16.12</v>
      </c>
      <c r="D1317" s="3">
        <v>5949.91</v>
      </c>
      <c r="E1317" s="3">
        <f t="shared" si="83"/>
        <v>5949.91</v>
      </c>
      <c r="F1317" s="3">
        <f>MAX($E$2:E1317)</f>
        <v>6090.27</v>
      </c>
      <c r="G1317" s="3">
        <f t="shared" si="80"/>
        <v>-2.3046597277296503</v>
      </c>
      <c r="I1317" s="2">
        <v>45146</v>
      </c>
      <c r="J1317" s="3">
        <f>IFERROR(VLOOKUP(I1317,$A$1:$G$1610,3,FALSE),J1316)</f>
        <v>15.99</v>
      </c>
      <c r="K1317" s="3">
        <f>IFERROR(VLOOKUP(I1317,$A$1:$G$1610,7,FALSE),K1316)</f>
        <v>-6.1956902446753563</v>
      </c>
      <c r="L1317" s="5">
        <f t="shared" si="81"/>
        <v>0</v>
      </c>
    </row>
    <row r="1318" spans="1:12" x14ac:dyDescent="0.25">
      <c r="A1318" s="2">
        <v>45673</v>
      </c>
      <c r="B1318" s="3">
        <v>16.600000000000001</v>
      </c>
      <c r="C1318" s="3">
        <f t="shared" si="82"/>
        <v>16.600000000000001</v>
      </c>
      <c r="D1318" s="3">
        <v>5937.34</v>
      </c>
      <c r="E1318" s="3">
        <f t="shared" si="83"/>
        <v>5937.34</v>
      </c>
      <c r="F1318" s="3">
        <f>MAX($E$2:E1318)</f>
        <v>6090.27</v>
      </c>
      <c r="G1318" s="3">
        <f t="shared" si="80"/>
        <v>-2.5110545181083972</v>
      </c>
      <c r="I1318" s="2">
        <v>45147</v>
      </c>
      <c r="J1318" s="3">
        <f>IFERROR(VLOOKUP(I1318,$A$1:$G$1610,3,FALSE),J1317)</f>
        <v>15.96</v>
      </c>
      <c r="K1318" s="3">
        <f>IFERROR(VLOOKUP(I1318,$A$1:$G$1610,7,FALSE),K1317)</f>
        <v>-6.8559551011558346</v>
      </c>
      <c r="L1318" s="5">
        <f t="shared" si="81"/>
        <v>0</v>
      </c>
    </row>
    <row r="1319" spans="1:12" x14ac:dyDescent="0.25">
      <c r="A1319" s="2">
        <v>45674</v>
      </c>
      <c r="B1319" s="3">
        <v>15.97</v>
      </c>
      <c r="C1319" s="3">
        <f t="shared" si="82"/>
        <v>15.97</v>
      </c>
      <c r="D1319" s="3">
        <v>5996.66</v>
      </c>
      <c r="E1319" s="3">
        <f t="shared" si="83"/>
        <v>5996.66</v>
      </c>
      <c r="F1319" s="3">
        <f>MAX($E$2:E1319)</f>
        <v>6090.27</v>
      </c>
      <c r="G1319" s="3">
        <f t="shared" si="80"/>
        <v>-1.5370418717068468</v>
      </c>
      <c r="I1319" s="2">
        <v>45148</v>
      </c>
      <c r="J1319" s="3">
        <f>IFERROR(VLOOKUP(I1319,$A$1:$G$1610,3,FALSE),J1318)</f>
        <v>15.85</v>
      </c>
      <c r="K1319" s="3">
        <f>IFERROR(VLOOKUP(I1319,$A$1:$G$1610,7,FALSE),K1318)</f>
        <v>-6.832605033607428</v>
      </c>
      <c r="L1319" s="5">
        <f t="shared" si="81"/>
        <v>0</v>
      </c>
    </row>
    <row r="1320" spans="1:12" x14ac:dyDescent="0.25">
      <c r="A1320" s="2">
        <v>45677</v>
      </c>
      <c r="B1320" s="3">
        <v>15.81</v>
      </c>
      <c r="C1320" s="3">
        <f t="shared" si="82"/>
        <v>15.81</v>
      </c>
      <c r="E1320" s="3">
        <f t="shared" si="83"/>
        <v>5996.66</v>
      </c>
      <c r="F1320" s="3">
        <f>MAX($E$2:E1320)</f>
        <v>6090.27</v>
      </c>
      <c r="G1320" s="3">
        <f t="shared" si="80"/>
        <v>-1.5370418717068468</v>
      </c>
      <c r="I1320" s="2">
        <v>45149</v>
      </c>
      <c r="J1320" s="3">
        <f>IFERROR(VLOOKUP(I1320,$A$1:$G$1610,3,FALSE),J1319)</f>
        <v>14.84</v>
      </c>
      <c r="K1320" s="3">
        <f>IFERROR(VLOOKUP(I1320,$A$1:$G$1610,7,FALSE),K1319)</f>
        <v>-6.932259786180099</v>
      </c>
      <c r="L1320" s="5">
        <f t="shared" si="81"/>
        <v>0</v>
      </c>
    </row>
    <row r="1321" spans="1:12" x14ac:dyDescent="0.25">
      <c r="A1321" s="2">
        <v>45678</v>
      </c>
      <c r="B1321" s="3">
        <v>15.06</v>
      </c>
      <c r="C1321" s="3">
        <f t="shared" si="82"/>
        <v>15.06</v>
      </c>
      <c r="D1321" s="3">
        <v>6049.24</v>
      </c>
      <c r="E1321" s="3">
        <f t="shared" si="83"/>
        <v>6049.24</v>
      </c>
      <c r="F1321" s="3">
        <f>MAX($E$2:E1321)</f>
        <v>6090.27</v>
      </c>
      <c r="G1321" s="3">
        <f t="shared" si="80"/>
        <v>-0.67369755363884776</v>
      </c>
      <c r="I1321" s="2">
        <v>45150</v>
      </c>
      <c r="J1321" s="3">
        <f>IFERROR(VLOOKUP(I1321,$A$1:$G$1610,3,FALSE),J1320)</f>
        <v>14.84</v>
      </c>
      <c r="K1321" s="3">
        <f>IFERROR(VLOOKUP(I1321,$A$1:$G$1610,7,FALSE),K1320)</f>
        <v>-6.932259786180099</v>
      </c>
      <c r="L1321" s="5">
        <f t="shared" si="81"/>
        <v>0</v>
      </c>
    </row>
    <row r="1322" spans="1:12" x14ac:dyDescent="0.25">
      <c r="A1322" s="2">
        <v>45679</v>
      </c>
      <c r="B1322" s="3">
        <v>15.1</v>
      </c>
      <c r="C1322" s="3">
        <f t="shared" si="82"/>
        <v>15.1</v>
      </c>
      <c r="D1322" s="3">
        <v>6086.37</v>
      </c>
      <c r="E1322" s="3">
        <f t="shared" si="83"/>
        <v>6086.37</v>
      </c>
      <c r="F1322" s="3">
        <f>MAX($E$2:E1322)</f>
        <v>6090.27</v>
      </c>
      <c r="G1322" s="3">
        <f t="shared" si="80"/>
        <v>-6.4036569807258886E-2</v>
      </c>
      <c r="I1322" s="2">
        <v>45151</v>
      </c>
      <c r="J1322" s="3">
        <f>IFERROR(VLOOKUP(I1322,$A$1:$G$1610,3,FALSE),J1321)</f>
        <v>14.84</v>
      </c>
      <c r="K1322" s="3">
        <f>IFERROR(VLOOKUP(I1322,$A$1:$G$1610,7,FALSE),K1321)</f>
        <v>-6.932259786180099</v>
      </c>
      <c r="L1322" s="5">
        <f t="shared" si="81"/>
        <v>0</v>
      </c>
    </row>
    <row r="1323" spans="1:12" x14ac:dyDescent="0.25">
      <c r="A1323" s="2">
        <v>45680</v>
      </c>
      <c r="B1323" s="3">
        <v>15.02</v>
      </c>
      <c r="C1323" s="3">
        <f t="shared" si="82"/>
        <v>15.02</v>
      </c>
      <c r="D1323" s="3">
        <v>6118.71</v>
      </c>
      <c r="E1323" s="3">
        <f t="shared" si="83"/>
        <v>6118.71</v>
      </c>
      <c r="F1323" s="3">
        <f>MAX($E$2:E1323)</f>
        <v>6118.71</v>
      </c>
      <c r="G1323" s="3">
        <f t="shared" si="80"/>
        <v>0</v>
      </c>
      <c r="I1323" s="2">
        <v>45152</v>
      </c>
      <c r="J1323" s="3">
        <f>IFERROR(VLOOKUP(I1323,$A$1:$G$1610,3,FALSE),J1322)</f>
        <v>14.82</v>
      </c>
      <c r="K1323" s="3">
        <f>IFERROR(VLOOKUP(I1323,$A$1:$G$1610,7,FALSE),K1322)</f>
        <v>-6.3970845772803857</v>
      </c>
      <c r="L1323" s="5">
        <f t="shared" si="81"/>
        <v>0</v>
      </c>
    </row>
    <row r="1324" spans="1:12" x14ac:dyDescent="0.25">
      <c r="A1324" s="2">
        <v>45681</v>
      </c>
      <c r="B1324" s="3">
        <v>14.85</v>
      </c>
      <c r="C1324" s="3">
        <f t="shared" si="82"/>
        <v>14.85</v>
      </c>
      <c r="D1324" s="3">
        <v>6101.24</v>
      </c>
      <c r="E1324" s="3">
        <f t="shared" si="83"/>
        <v>6101.24</v>
      </c>
      <c r="F1324" s="3">
        <f>MAX($E$2:E1324)</f>
        <v>6118.71</v>
      </c>
      <c r="G1324" s="3">
        <f t="shared" si="80"/>
        <v>-0.28551769899211193</v>
      </c>
      <c r="I1324" s="2">
        <v>45153</v>
      </c>
      <c r="J1324" s="3">
        <f>IFERROR(VLOOKUP(I1324,$A$1:$G$1610,3,FALSE),J1323)</f>
        <v>16.46</v>
      </c>
      <c r="K1324" s="3">
        <f>IFERROR(VLOOKUP(I1324,$A$1:$G$1610,7,FALSE),K1323)</f>
        <v>-7.4782760978701557</v>
      </c>
      <c r="L1324" s="5">
        <f t="shared" si="81"/>
        <v>0</v>
      </c>
    </row>
    <row r="1325" spans="1:12" x14ac:dyDescent="0.25">
      <c r="A1325" s="2">
        <v>45684</v>
      </c>
      <c r="B1325" s="3">
        <v>17.899999999999999</v>
      </c>
      <c r="C1325" s="3">
        <f t="shared" si="82"/>
        <v>17.899999999999999</v>
      </c>
      <c r="D1325" s="3">
        <v>6012.28</v>
      </c>
      <c r="E1325" s="3">
        <f t="shared" si="83"/>
        <v>6012.28</v>
      </c>
      <c r="F1325" s="3">
        <f>MAX($E$2:E1325)</f>
        <v>6118.71</v>
      </c>
      <c r="G1325" s="3">
        <f t="shared" si="80"/>
        <v>-1.7394189298071043</v>
      </c>
      <c r="I1325" s="2">
        <v>45154</v>
      </c>
      <c r="J1325" s="3">
        <f>IFERROR(VLOOKUP(I1325,$A$1:$G$1610,3,FALSE),J1324)</f>
        <v>16.78</v>
      </c>
      <c r="K1325" s="3">
        <f>IFERROR(VLOOKUP(I1325,$A$1:$G$1610,7,FALSE),K1324)</f>
        <v>-8.1773187451006653</v>
      </c>
      <c r="L1325" s="5">
        <f t="shared" si="81"/>
        <v>0</v>
      </c>
    </row>
    <row r="1326" spans="1:12" x14ac:dyDescent="0.25">
      <c r="A1326" s="2">
        <v>45685</v>
      </c>
      <c r="B1326" s="3">
        <v>16.41</v>
      </c>
      <c r="C1326" s="3">
        <f t="shared" si="82"/>
        <v>16.41</v>
      </c>
      <c r="D1326" s="3">
        <v>6067.7</v>
      </c>
      <c r="E1326" s="3">
        <f t="shared" si="83"/>
        <v>6067.7</v>
      </c>
      <c r="F1326" s="3">
        <f>MAX($E$2:E1326)</f>
        <v>6118.71</v>
      </c>
      <c r="G1326" s="3">
        <f t="shared" si="80"/>
        <v>-0.83367245710288962</v>
      </c>
      <c r="I1326" s="2">
        <v>45155</v>
      </c>
      <c r="J1326" s="3">
        <f>IFERROR(VLOOKUP(I1326,$A$1:$G$1610,3,FALSE),J1325)</f>
        <v>17.89</v>
      </c>
      <c r="K1326" s="3">
        <f>IFERROR(VLOOKUP(I1326,$A$1:$G$1610,7,FALSE),K1325)</f>
        <v>-8.8855346331537746</v>
      </c>
      <c r="L1326" s="5">
        <f t="shared" si="81"/>
        <v>0</v>
      </c>
    </row>
    <row r="1327" spans="1:12" x14ac:dyDescent="0.25">
      <c r="A1327" s="2">
        <v>45686</v>
      </c>
      <c r="B1327" s="3">
        <v>16.559999999999999</v>
      </c>
      <c r="C1327" s="3">
        <f t="shared" si="82"/>
        <v>16.559999999999999</v>
      </c>
      <c r="D1327" s="3">
        <v>6039.31</v>
      </c>
      <c r="E1327" s="3">
        <f t="shared" si="83"/>
        <v>6039.31</v>
      </c>
      <c r="F1327" s="3">
        <f>MAX($E$2:E1327)</f>
        <v>6118.71</v>
      </c>
      <c r="G1327" s="3">
        <f t="shared" si="80"/>
        <v>-1.2976591471077996</v>
      </c>
      <c r="I1327" s="2">
        <v>45156</v>
      </c>
      <c r="J1327" s="3">
        <f>IFERROR(VLOOKUP(I1327,$A$1:$G$1610,3,FALSE),J1326)</f>
        <v>17.3</v>
      </c>
      <c r="K1327" s="3">
        <f>IFERROR(VLOOKUP(I1327,$A$1:$G$1610,7,FALSE),K1326)</f>
        <v>-8.8990860116416837</v>
      </c>
      <c r="L1327" s="5">
        <f t="shared" si="81"/>
        <v>0</v>
      </c>
    </row>
    <row r="1328" spans="1:12" x14ac:dyDescent="0.25">
      <c r="A1328" s="2">
        <v>45687</v>
      </c>
      <c r="B1328" s="3">
        <v>15.84</v>
      </c>
      <c r="C1328" s="3">
        <f t="shared" si="82"/>
        <v>15.84</v>
      </c>
      <c r="D1328" s="3">
        <v>6071.17</v>
      </c>
      <c r="E1328" s="3">
        <f t="shared" si="83"/>
        <v>6071.17</v>
      </c>
      <c r="F1328" s="3">
        <f>MAX($E$2:E1328)</f>
        <v>6118.71</v>
      </c>
      <c r="G1328" s="3">
        <f t="shared" si="80"/>
        <v>-0.77696115684515143</v>
      </c>
      <c r="I1328" s="2">
        <v>45157</v>
      </c>
      <c r="J1328" s="3">
        <f>IFERROR(VLOOKUP(I1328,$A$1:$G$1610,3,FALSE),J1327)</f>
        <v>17.3</v>
      </c>
      <c r="K1328" s="3">
        <f>IFERROR(VLOOKUP(I1328,$A$1:$G$1610,7,FALSE),K1327)</f>
        <v>-8.8990860116416837</v>
      </c>
      <c r="L1328" s="5">
        <f t="shared" si="81"/>
        <v>0</v>
      </c>
    </row>
    <row r="1329" spans="1:12" x14ac:dyDescent="0.25">
      <c r="A1329" s="2">
        <v>45688</v>
      </c>
      <c r="B1329" s="3">
        <v>16.43</v>
      </c>
      <c r="C1329" s="3">
        <f t="shared" si="82"/>
        <v>16.43</v>
      </c>
      <c r="D1329" s="3">
        <v>6040.53</v>
      </c>
      <c r="E1329" s="3">
        <f t="shared" si="83"/>
        <v>6040.53</v>
      </c>
      <c r="F1329" s="3">
        <f>MAX($E$2:E1329)</f>
        <v>6118.71</v>
      </c>
      <c r="G1329" s="3">
        <f t="shared" si="80"/>
        <v>-1.2777203037895291</v>
      </c>
      <c r="I1329" s="2">
        <v>45158</v>
      </c>
      <c r="J1329" s="3">
        <f>IFERROR(VLOOKUP(I1329,$A$1:$G$1610,3,FALSE),J1328)</f>
        <v>17.3</v>
      </c>
      <c r="K1329" s="3">
        <f>IFERROR(VLOOKUP(I1329,$A$1:$G$1610,7,FALSE),K1328)</f>
        <v>-8.8990860116416837</v>
      </c>
      <c r="L1329" s="5">
        <f t="shared" si="81"/>
        <v>0</v>
      </c>
    </row>
    <row r="1330" spans="1:12" x14ac:dyDescent="0.25">
      <c r="A1330" s="2">
        <v>45691</v>
      </c>
      <c r="B1330" s="3">
        <v>18.62</v>
      </c>
      <c r="C1330" s="3">
        <f t="shared" si="82"/>
        <v>18.62</v>
      </c>
      <c r="D1330" s="3">
        <v>5994.57</v>
      </c>
      <c r="E1330" s="3">
        <f t="shared" si="83"/>
        <v>5994.57</v>
      </c>
      <c r="F1330" s="3">
        <f>MAX($E$2:E1330)</f>
        <v>6118.71</v>
      </c>
      <c r="G1330" s="3">
        <f t="shared" si="80"/>
        <v>-2.028859024206088</v>
      </c>
      <c r="I1330" s="2">
        <v>45159</v>
      </c>
      <c r="J1330" s="3">
        <f>IFERROR(VLOOKUP(I1330,$A$1:$G$1610,3,FALSE),J1329)</f>
        <v>17.13</v>
      </c>
      <c r="K1330" s="3">
        <f>IFERROR(VLOOKUP(I1330,$A$1:$G$1610,7,FALSE),K1329)</f>
        <v>-8.2723868772620364</v>
      </c>
      <c r="L1330" s="5">
        <f t="shared" si="81"/>
        <v>0</v>
      </c>
    </row>
    <row r="1331" spans="1:12" x14ac:dyDescent="0.25">
      <c r="A1331" s="2">
        <v>45692</v>
      </c>
      <c r="B1331" s="3">
        <v>17.21</v>
      </c>
      <c r="C1331" s="3">
        <f t="shared" si="82"/>
        <v>17.21</v>
      </c>
      <c r="D1331" s="3">
        <v>6037.88</v>
      </c>
      <c r="E1331" s="3">
        <f t="shared" si="83"/>
        <v>6037.88</v>
      </c>
      <c r="F1331" s="3">
        <f>MAX($E$2:E1331)</f>
        <v>6118.71</v>
      </c>
      <c r="G1331" s="3">
        <f t="shared" si="80"/>
        <v>-1.321030086407101</v>
      </c>
      <c r="I1331" s="2">
        <v>45160</v>
      </c>
      <c r="J1331" s="3">
        <f>IFERROR(VLOOKUP(I1331,$A$1:$G$1610,3,FALSE),J1330)</f>
        <v>16.97</v>
      </c>
      <c r="K1331" s="3">
        <f>IFERROR(VLOOKUP(I1331,$A$1:$G$1610,7,FALSE),K1330)</f>
        <v>-8.5271527928348689</v>
      </c>
      <c r="L1331" s="5">
        <f t="shared" si="81"/>
        <v>0</v>
      </c>
    </row>
    <row r="1332" spans="1:12" x14ac:dyDescent="0.25">
      <c r="A1332" s="2">
        <v>45693</v>
      </c>
      <c r="B1332" s="3">
        <v>15.77</v>
      </c>
      <c r="C1332" s="3">
        <f t="shared" si="82"/>
        <v>15.77</v>
      </c>
      <c r="D1332" s="3">
        <v>6061.48</v>
      </c>
      <c r="E1332" s="3">
        <f t="shared" si="83"/>
        <v>6061.48</v>
      </c>
      <c r="F1332" s="3">
        <f>MAX($E$2:E1332)</f>
        <v>6118.71</v>
      </c>
      <c r="G1332" s="3">
        <f t="shared" si="80"/>
        <v>-0.93532787139773699</v>
      </c>
      <c r="I1332" s="2">
        <v>45161</v>
      </c>
      <c r="J1332" s="3">
        <f>IFERROR(VLOOKUP(I1332,$A$1:$G$1610,3,FALSE),J1331)</f>
        <v>15.98</v>
      </c>
      <c r="K1332" s="3">
        <f>IFERROR(VLOOKUP(I1332,$A$1:$G$1610,7,FALSE),K1331)</f>
        <v>-7.5168454058742133</v>
      </c>
      <c r="L1332" s="5">
        <f t="shared" si="81"/>
        <v>0</v>
      </c>
    </row>
    <row r="1333" spans="1:12" x14ac:dyDescent="0.25">
      <c r="A1333" s="2">
        <v>45694</v>
      </c>
      <c r="B1333" s="3">
        <v>15.5</v>
      </c>
      <c r="C1333" s="3">
        <f t="shared" si="82"/>
        <v>15.5</v>
      </c>
      <c r="D1333" s="3">
        <v>6083.57</v>
      </c>
      <c r="E1333" s="3">
        <f t="shared" si="83"/>
        <v>6083.57</v>
      </c>
      <c r="F1333" s="3">
        <f>MAX($E$2:E1333)</f>
        <v>6118.71</v>
      </c>
      <c r="G1333" s="3">
        <f t="shared" si="80"/>
        <v>-0.57430406082328345</v>
      </c>
      <c r="I1333" s="2">
        <v>45162</v>
      </c>
      <c r="J1333" s="3">
        <f>IFERROR(VLOOKUP(I1333,$A$1:$G$1610,3,FALSE),J1332)</f>
        <v>17.2</v>
      </c>
      <c r="K1333" s="3">
        <f>IFERROR(VLOOKUP(I1333,$A$1:$G$1610,7,FALSE),K1332)</f>
        <v>-8.7614873993028333</v>
      </c>
      <c r="L1333" s="5">
        <f t="shared" si="81"/>
        <v>0</v>
      </c>
    </row>
    <row r="1334" spans="1:12" x14ac:dyDescent="0.25">
      <c r="A1334" s="2">
        <v>45695</v>
      </c>
      <c r="B1334" s="3">
        <v>16.54</v>
      </c>
      <c r="C1334" s="3">
        <f t="shared" si="82"/>
        <v>16.54</v>
      </c>
      <c r="D1334" s="3">
        <v>6025.99</v>
      </c>
      <c r="E1334" s="3">
        <f t="shared" si="83"/>
        <v>6025.99</v>
      </c>
      <c r="F1334" s="3">
        <f>MAX($E$2:E1334)</f>
        <v>6118.71</v>
      </c>
      <c r="G1334" s="3">
        <f t="shared" si="80"/>
        <v>-1.5153520921893708</v>
      </c>
      <c r="I1334" s="2">
        <v>45163</v>
      </c>
      <c r="J1334" s="3">
        <f>IFERROR(VLOOKUP(I1334,$A$1:$G$1610,3,FALSE),J1333)</f>
        <v>15.68</v>
      </c>
      <c r="K1334" s="3">
        <f>IFERROR(VLOOKUP(I1334,$A$1:$G$1610,7,FALSE),K1333)</f>
        <v>-8.1485481261570865</v>
      </c>
      <c r="L1334" s="5">
        <f t="shared" si="81"/>
        <v>0</v>
      </c>
    </row>
    <row r="1335" spans="1:12" x14ac:dyDescent="0.25">
      <c r="A1335" s="2">
        <v>45698</v>
      </c>
      <c r="B1335" s="3">
        <v>15.81</v>
      </c>
      <c r="C1335" s="3">
        <f t="shared" si="82"/>
        <v>15.81</v>
      </c>
      <c r="D1335" s="3">
        <v>6066.44</v>
      </c>
      <c r="E1335" s="3">
        <f t="shared" si="83"/>
        <v>6066.44</v>
      </c>
      <c r="F1335" s="3">
        <f>MAX($E$2:E1335)</f>
        <v>6118.71</v>
      </c>
      <c r="G1335" s="3">
        <f t="shared" si="80"/>
        <v>-0.85426503298898682</v>
      </c>
      <c r="I1335" s="2">
        <v>45164</v>
      </c>
      <c r="J1335" s="3">
        <f>IFERROR(VLOOKUP(I1335,$A$1:$G$1610,3,FALSE),J1334)</f>
        <v>15.68</v>
      </c>
      <c r="K1335" s="3">
        <f>IFERROR(VLOOKUP(I1335,$A$1:$G$1610,7,FALSE),K1334)</f>
        <v>-8.1485481261570865</v>
      </c>
      <c r="L1335" s="5">
        <f t="shared" si="81"/>
        <v>0</v>
      </c>
    </row>
    <row r="1336" spans="1:12" x14ac:dyDescent="0.25">
      <c r="A1336" s="2">
        <v>45699</v>
      </c>
      <c r="B1336" s="3">
        <v>16.02</v>
      </c>
      <c r="C1336" s="3">
        <f t="shared" si="82"/>
        <v>16.02</v>
      </c>
      <c r="D1336" s="3">
        <v>6068.5</v>
      </c>
      <c r="E1336" s="3">
        <f t="shared" si="83"/>
        <v>6068.5</v>
      </c>
      <c r="F1336" s="3">
        <f>MAX($E$2:E1336)</f>
        <v>6118.71</v>
      </c>
      <c r="G1336" s="3">
        <f t="shared" si="80"/>
        <v>-0.82059780574663677</v>
      </c>
      <c r="I1336" s="2">
        <v>45165</v>
      </c>
      <c r="J1336" s="3">
        <f>IFERROR(VLOOKUP(I1336,$A$1:$G$1610,3,FALSE),J1335)</f>
        <v>15.68</v>
      </c>
      <c r="K1336" s="3">
        <f>IFERROR(VLOOKUP(I1336,$A$1:$G$1610,7,FALSE),K1335)</f>
        <v>-8.1485481261570865</v>
      </c>
      <c r="L1336" s="5">
        <f t="shared" si="81"/>
        <v>0</v>
      </c>
    </row>
    <row r="1337" spans="1:12" x14ac:dyDescent="0.25">
      <c r="A1337" s="2">
        <v>45700</v>
      </c>
      <c r="B1337" s="3">
        <v>15.89</v>
      </c>
      <c r="C1337" s="3">
        <f t="shared" si="82"/>
        <v>15.89</v>
      </c>
      <c r="D1337" s="3">
        <v>6051.97</v>
      </c>
      <c r="E1337" s="3">
        <f t="shared" si="83"/>
        <v>6051.97</v>
      </c>
      <c r="F1337" s="3">
        <f>MAX($E$2:E1337)</f>
        <v>6118.71</v>
      </c>
      <c r="G1337" s="3">
        <f t="shared" si="80"/>
        <v>-1.0907527893951467</v>
      </c>
      <c r="I1337" s="2">
        <v>45166</v>
      </c>
      <c r="J1337" s="3">
        <f>IFERROR(VLOOKUP(I1337,$A$1:$G$1610,3,FALSE),J1336)</f>
        <v>15.08</v>
      </c>
      <c r="K1337" s="3">
        <f>IFERROR(VLOOKUP(I1337,$A$1:$G$1610,7,FALSE),K1336)</f>
        <v>-7.5731357472855549</v>
      </c>
      <c r="L1337" s="5">
        <f t="shared" si="81"/>
        <v>0</v>
      </c>
    </row>
    <row r="1338" spans="1:12" x14ac:dyDescent="0.25">
      <c r="A1338" s="2">
        <v>45701</v>
      </c>
      <c r="B1338" s="3">
        <v>15.1</v>
      </c>
      <c r="C1338" s="3">
        <f t="shared" si="82"/>
        <v>15.1</v>
      </c>
      <c r="D1338" s="3">
        <v>6115.07</v>
      </c>
      <c r="E1338" s="3">
        <f t="shared" si="83"/>
        <v>6115.07</v>
      </c>
      <c r="F1338" s="3">
        <f>MAX($E$2:E1338)</f>
        <v>6118.71</v>
      </c>
      <c r="G1338" s="3">
        <f t="shared" si="80"/>
        <v>-5.9489663670942522E-2</v>
      </c>
      <c r="I1338" s="2">
        <v>45167</v>
      </c>
      <c r="J1338" s="3">
        <f>IFERROR(VLOOKUP(I1338,$A$1:$G$1610,3,FALSE),J1337)</f>
        <v>14.45</v>
      </c>
      <c r="K1338" s="3">
        <f>IFERROR(VLOOKUP(I1338,$A$1:$G$1610,7,FALSE),K1337)</f>
        <v>-6.2321747252197461</v>
      </c>
      <c r="L1338" s="5">
        <f t="shared" si="81"/>
        <v>0</v>
      </c>
    </row>
    <row r="1339" spans="1:12" x14ac:dyDescent="0.25">
      <c r="A1339" s="2">
        <v>45702</v>
      </c>
      <c r="B1339" s="3">
        <v>14.77</v>
      </c>
      <c r="C1339" s="3">
        <f t="shared" si="82"/>
        <v>14.77</v>
      </c>
      <c r="D1339" s="3">
        <v>6114.63</v>
      </c>
      <c r="E1339" s="3">
        <f t="shared" si="83"/>
        <v>6114.63</v>
      </c>
      <c r="F1339" s="3">
        <f>MAX($E$2:E1339)</f>
        <v>6118.71</v>
      </c>
      <c r="G1339" s="3">
        <f t="shared" si="80"/>
        <v>-6.6680721916873437E-2</v>
      </c>
      <c r="I1339" s="2">
        <v>45168</v>
      </c>
      <c r="J1339" s="3">
        <f>IFERROR(VLOOKUP(I1339,$A$1:$G$1610,3,FALSE),J1338)</f>
        <v>13.88</v>
      </c>
      <c r="K1339" s="3">
        <f>IFERROR(VLOOKUP(I1339,$A$1:$G$1610,7,FALSE),K1338)</f>
        <v>-5.8727504711710159</v>
      </c>
      <c r="L1339" s="5">
        <f t="shared" si="81"/>
        <v>0</v>
      </c>
    </row>
    <row r="1340" spans="1:12" x14ac:dyDescent="0.25">
      <c r="A1340" s="2">
        <v>45705</v>
      </c>
      <c r="B1340" s="3">
        <v>15.37</v>
      </c>
      <c r="C1340" s="3">
        <f t="shared" si="82"/>
        <v>15.37</v>
      </c>
      <c r="E1340" s="3">
        <f t="shared" si="83"/>
        <v>6114.63</v>
      </c>
      <c r="F1340" s="3">
        <f>MAX($E$2:E1340)</f>
        <v>6118.71</v>
      </c>
      <c r="G1340" s="3">
        <f t="shared" si="80"/>
        <v>-6.6680721916873437E-2</v>
      </c>
      <c r="I1340" s="2">
        <v>45169</v>
      </c>
      <c r="J1340" s="3">
        <f>IFERROR(VLOOKUP(I1340,$A$1:$G$1610,3,FALSE),J1339)</f>
        <v>13.57</v>
      </c>
      <c r="K1340" s="3">
        <f>IFERROR(VLOOKUP(I1340,$A$1:$G$1610,7,FALSE),K1339)</f>
        <v>-6.023066531013904</v>
      </c>
      <c r="L1340" s="5">
        <f t="shared" si="81"/>
        <v>0</v>
      </c>
    </row>
    <row r="1341" spans="1:12" x14ac:dyDescent="0.25">
      <c r="A1341" s="2">
        <v>45706</v>
      </c>
      <c r="B1341" s="3">
        <v>15.35</v>
      </c>
      <c r="C1341" s="3">
        <f t="shared" si="82"/>
        <v>15.35</v>
      </c>
      <c r="D1341" s="3">
        <v>6129.58</v>
      </c>
      <c r="E1341" s="3">
        <f t="shared" si="83"/>
        <v>6129.58</v>
      </c>
      <c r="F1341" s="3">
        <f>MAX($E$2:E1341)</f>
        <v>6129.58</v>
      </c>
      <c r="G1341" s="3">
        <f t="shared" si="80"/>
        <v>0</v>
      </c>
      <c r="I1341" s="2">
        <v>45170</v>
      </c>
      <c r="J1341" s="3">
        <f>IFERROR(VLOOKUP(I1341,$A$1:$G$1610,3,FALSE),J1340)</f>
        <v>13.09</v>
      </c>
      <c r="K1341" s="3">
        <f>IFERROR(VLOOKUP(I1341,$A$1:$G$1610,7,FALSE),K1340)</f>
        <v>-5.8539870240338896</v>
      </c>
      <c r="L1341" s="5">
        <f t="shared" si="81"/>
        <v>0</v>
      </c>
    </row>
    <row r="1342" spans="1:12" x14ac:dyDescent="0.25">
      <c r="A1342" s="2">
        <v>45707</v>
      </c>
      <c r="B1342" s="3">
        <v>15.27</v>
      </c>
      <c r="C1342" s="3">
        <f t="shared" si="82"/>
        <v>15.27</v>
      </c>
      <c r="D1342" s="3">
        <v>6144.15</v>
      </c>
      <c r="E1342" s="3">
        <f t="shared" si="83"/>
        <v>6144.15</v>
      </c>
      <c r="F1342" s="3">
        <f>MAX($E$2:E1342)</f>
        <v>6144.15</v>
      </c>
      <c r="G1342" s="3">
        <f t="shared" si="80"/>
        <v>0</v>
      </c>
      <c r="I1342" s="2">
        <v>45171</v>
      </c>
      <c r="J1342" s="3">
        <f>IFERROR(VLOOKUP(I1342,$A$1:$G$1610,3,FALSE),J1341)</f>
        <v>13.09</v>
      </c>
      <c r="K1342" s="3">
        <f>IFERROR(VLOOKUP(I1342,$A$1:$G$1610,7,FALSE),K1341)</f>
        <v>-5.8539870240338896</v>
      </c>
      <c r="L1342" s="5">
        <f t="shared" si="81"/>
        <v>0</v>
      </c>
    </row>
    <row r="1343" spans="1:12" x14ac:dyDescent="0.25">
      <c r="A1343" s="2">
        <v>45708</v>
      </c>
      <c r="B1343" s="3">
        <v>15.66</v>
      </c>
      <c r="C1343" s="3">
        <f t="shared" si="82"/>
        <v>15.66</v>
      </c>
      <c r="D1343" s="3">
        <v>6117.52</v>
      </c>
      <c r="E1343" s="3">
        <f t="shared" si="83"/>
        <v>6117.52</v>
      </c>
      <c r="F1343" s="3">
        <f>MAX($E$2:E1343)</f>
        <v>6144.15</v>
      </c>
      <c r="G1343" s="3">
        <f t="shared" si="80"/>
        <v>-0.43342040803038995</v>
      </c>
      <c r="I1343" s="2">
        <v>45172</v>
      </c>
      <c r="J1343" s="3">
        <f>IFERROR(VLOOKUP(I1343,$A$1:$G$1610,3,FALSE),J1342)</f>
        <v>13.09</v>
      </c>
      <c r="K1343" s="3">
        <f>IFERROR(VLOOKUP(I1343,$A$1:$G$1610,7,FALSE),K1342)</f>
        <v>-5.8539870240338896</v>
      </c>
      <c r="L1343" s="5">
        <f t="shared" si="81"/>
        <v>0</v>
      </c>
    </row>
    <row r="1344" spans="1:12" x14ac:dyDescent="0.25">
      <c r="A1344" s="2">
        <v>45709</v>
      </c>
      <c r="B1344" s="3">
        <v>18.21</v>
      </c>
      <c r="C1344" s="3">
        <f t="shared" si="82"/>
        <v>18.21</v>
      </c>
      <c r="D1344" s="3">
        <v>6013.13</v>
      </c>
      <c r="E1344" s="3">
        <f t="shared" si="83"/>
        <v>6013.13</v>
      </c>
      <c r="F1344" s="3">
        <f>MAX($E$2:E1344)</f>
        <v>6144.15</v>
      </c>
      <c r="G1344" s="3">
        <f t="shared" si="80"/>
        <v>-2.1324349177672994</v>
      </c>
      <c r="I1344" s="2">
        <v>45173</v>
      </c>
      <c r="J1344" s="3">
        <f>IFERROR(VLOOKUP(I1344,$A$1:$G$1610,3,FALSE),J1343)</f>
        <v>13.82</v>
      </c>
      <c r="K1344" s="3">
        <f>IFERROR(VLOOKUP(I1344,$A$1:$G$1610,7,FALSE),K1343)</f>
        <v>-5.8539870240338896</v>
      </c>
      <c r="L1344" s="5">
        <f t="shared" si="81"/>
        <v>0</v>
      </c>
    </row>
    <row r="1345" spans="1:12" x14ac:dyDescent="0.25">
      <c r="A1345" s="2">
        <v>45712</v>
      </c>
      <c r="B1345" s="3">
        <v>18.98</v>
      </c>
      <c r="C1345" s="3">
        <f t="shared" si="82"/>
        <v>18.98</v>
      </c>
      <c r="D1345" s="3">
        <v>5983.25</v>
      </c>
      <c r="E1345" s="3">
        <f t="shared" si="83"/>
        <v>5983.25</v>
      </c>
      <c r="F1345" s="3">
        <f>MAX($E$2:E1345)</f>
        <v>6144.15</v>
      </c>
      <c r="G1345" s="3">
        <f t="shared" si="80"/>
        <v>-2.618751169811929</v>
      </c>
      <c r="I1345" s="2">
        <v>45174</v>
      </c>
      <c r="J1345" s="3">
        <f>IFERROR(VLOOKUP(I1345,$A$1:$G$1610,3,FALSE),J1344)</f>
        <v>14.01</v>
      </c>
      <c r="K1345" s="3">
        <f>IFERROR(VLOOKUP(I1345,$A$1:$G$1610,7,FALSE),K1344)</f>
        <v>-6.2488533448971859</v>
      </c>
      <c r="L1345" s="5">
        <f t="shared" si="81"/>
        <v>0</v>
      </c>
    </row>
    <row r="1346" spans="1:12" x14ac:dyDescent="0.25">
      <c r="A1346" s="2">
        <v>45713</v>
      </c>
      <c r="B1346" s="3">
        <v>19.43</v>
      </c>
      <c r="C1346" s="3">
        <f t="shared" si="82"/>
        <v>19.43</v>
      </c>
      <c r="D1346" s="3">
        <v>5955.25</v>
      </c>
      <c r="E1346" s="3">
        <f t="shared" si="83"/>
        <v>5955.25</v>
      </c>
      <c r="F1346" s="3">
        <f>MAX($E$2:E1346)</f>
        <v>6144.15</v>
      </c>
      <c r="G1346" s="3">
        <f t="shared" ref="G1346:G1409" si="84">(E1346-F1346)/F1346*100</f>
        <v>-3.074469210549867</v>
      </c>
      <c r="I1346" s="2">
        <v>45175</v>
      </c>
      <c r="J1346" s="3">
        <f>IFERROR(VLOOKUP(I1346,$A$1:$G$1610,3,FALSE),J1345)</f>
        <v>14.45</v>
      </c>
      <c r="K1346" s="3">
        <f>IFERROR(VLOOKUP(I1346,$A$1:$G$1610,7,FALSE),K1345)</f>
        <v>-6.9024467535066965</v>
      </c>
      <c r="L1346" s="5">
        <f t="shared" ref="L1346:L1409" si="85">IF(OR(J1346&gt;=30,K1346&lt;-10),1,0)</f>
        <v>0</v>
      </c>
    </row>
    <row r="1347" spans="1:12" x14ac:dyDescent="0.25">
      <c r="A1347" s="2">
        <v>45714</v>
      </c>
      <c r="B1347" s="3">
        <v>19.100000000000001</v>
      </c>
      <c r="C1347" s="3">
        <f t="shared" ref="C1347:C1410" si="86">IF(B1347="",B1346,B1347)</f>
        <v>19.100000000000001</v>
      </c>
      <c r="D1347" s="3">
        <v>5956.06</v>
      </c>
      <c r="E1347" s="3">
        <f t="shared" si="83"/>
        <v>5956.06</v>
      </c>
      <c r="F1347" s="3">
        <f>MAX($E$2:E1347)</f>
        <v>6144.15</v>
      </c>
      <c r="G1347" s="3">
        <f t="shared" si="84"/>
        <v>-3.0612859386570843</v>
      </c>
      <c r="I1347" s="2">
        <v>45176</v>
      </c>
      <c r="J1347" s="3">
        <f>IFERROR(VLOOKUP(I1347,$A$1:$G$1610,3,FALSE),J1346)</f>
        <v>14.4</v>
      </c>
      <c r="K1347" s="3">
        <f>IFERROR(VLOOKUP(I1347,$A$1:$G$1610,7,FALSE),K1346)</f>
        <v>-7.2014110112247121</v>
      </c>
      <c r="L1347" s="5">
        <f t="shared" si="85"/>
        <v>0</v>
      </c>
    </row>
    <row r="1348" spans="1:12" x14ac:dyDescent="0.25">
      <c r="A1348" s="2">
        <v>45715</v>
      </c>
      <c r="B1348" s="3">
        <v>21.13</v>
      </c>
      <c r="C1348" s="3">
        <f t="shared" si="86"/>
        <v>21.13</v>
      </c>
      <c r="D1348" s="3">
        <v>5861.57</v>
      </c>
      <c r="E1348" s="3">
        <f t="shared" si="83"/>
        <v>5861.57</v>
      </c>
      <c r="F1348" s="3">
        <f>MAX($E$2:E1348)</f>
        <v>6144.15</v>
      </c>
      <c r="G1348" s="3">
        <f t="shared" si="84"/>
        <v>-4.5991715697045148</v>
      </c>
      <c r="I1348" s="2">
        <v>45177</v>
      </c>
      <c r="J1348" s="3">
        <f>IFERROR(VLOOKUP(I1348,$A$1:$G$1610,3,FALSE),J1347)</f>
        <v>13.84</v>
      </c>
      <c r="K1348" s="3">
        <f>IFERROR(VLOOKUP(I1348,$A$1:$G$1610,7,FALSE),K1347)</f>
        <v>-7.0690244675350788</v>
      </c>
      <c r="L1348" s="5">
        <f t="shared" si="85"/>
        <v>0</v>
      </c>
    </row>
    <row r="1349" spans="1:12" x14ac:dyDescent="0.25">
      <c r="A1349" s="2">
        <v>45716</v>
      </c>
      <c r="B1349" s="3">
        <v>19.63</v>
      </c>
      <c r="C1349" s="3">
        <f t="shared" si="86"/>
        <v>19.63</v>
      </c>
      <c r="D1349" s="3">
        <v>5954.5</v>
      </c>
      <c r="E1349" s="3">
        <f t="shared" ref="E1349:E1412" si="87">IF(D1349="",D1348,D1349)</f>
        <v>5954.5</v>
      </c>
      <c r="F1349" s="3">
        <f>MAX($E$2:E1349)</f>
        <v>6144.15</v>
      </c>
      <c r="G1349" s="3">
        <f t="shared" si="84"/>
        <v>-3.0866759437839191</v>
      </c>
      <c r="I1349" s="2">
        <v>45178</v>
      </c>
      <c r="J1349" s="3">
        <f>IFERROR(VLOOKUP(I1349,$A$1:$G$1610,3,FALSE),J1348)</f>
        <v>13.84</v>
      </c>
      <c r="K1349" s="3">
        <f>IFERROR(VLOOKUP(I1349,$A$1:$G$1610,7,FALSE),K1348)</f>
        <v>-7.0690244675350788</v>
      </c>
      <c r="L1349" s="5">
        <f t="shared" si="85"/>
        <v>0</v>
      </c>
    </row>
    <row r="1350" spans="1:12" x14ac:dyDescent="0.25">
      <c r="A1350" s="2">
        <v>45719</v>
      </c>
      <c r="B1350" s="3">
        <v>22.78</v>
      </c>
      <c r="C1350" s="3">
        <f t="shared" si="86"/>
        <v>22.78</v>
      </c>
      <c r="D1350" s="3">
        <v>5849.72</v>
      </c>
      <c r="E1350" s="3">
        <f t="shared" si="87"/>
        <v>5849.72</v>
      </c>
      <c r="F1350" s="3">
        <f>MAX($E$2:E1350)</f>
        <v>6144.15</v>
      </c>
      <c r="G1350" s="3">
        <f t="shared" si="84"/>
        <v>-4.7920379548025256</v>
      </c>
      <c r="I1350" s="2">
        <v>45179</v>
      </c>
      <c r="J1350" s="3">
        <f>IFERROR(VLOOKUP(I1350,$A$1:$G$1610,3,FALSE),J1349)</f>
        <v>13.84</v>
      </c>
      <c r="K1350" s="3">
        <f>IFERROR(VLOOKUP(I1350,$A$1:$G$1610,7,FALSE),K1349)</f>
        <v>-7.0690244675350788</v>
      </c>
      <c r="L1350" s="5">
        <f t="shared" si="85"/>
        <v>0</v>
      </c>
    </row>
    <row r="1351" spans="1:12" x14ac:dyDescent="0.25">
      <c r="A1351" s="2">
        <v>45720</v>
      </c>
      <c r="B1351" s="3">
        <v>23.51</v>
      </c>
      <c r="C1351" s="3">
        <f t="shared" si="86"/>
        <v>23.51</v>
      </c>
      <c r="D1351" s="3">
        <v>5778.15</v>
      </c>
      <c r="E1351" s="3">
        <f t="shared" si="87"/>
        <v>5778.15</v>
      </c>
      <c r="F1351" s="3">
        <f>MAX($E$2:E1351)</f>
        <v>6144.15</v>
      </c>
      <c r="G1351" s="3">
        <f t="shared" si="84"/>
        <v>-5.9568858182173292</v>
      </c>
      <c r="I1351" s="2">
        <v>45180</v>
      </c>
      <c r="J1351" s="3">
        <f>IFERROR(VLOOKUP(I1351,$A$1:$G$1610,3,FALSE),J1350)</f>
        <v>13.8</v>
      </c>
      <c r="K1351" s="3">
        <f>IFERROR(VLOOKUP(I1351,$A$1:$G$1610,7,FALSE),K1350)</f>
        <v>-6.4442016778691462</v>
      </c>
      <c r="L1351" s="5">
        <f t="shared" si="85"/>
        <v>0</v>
      </c>
    </row>
    <row r="1352" spans="1:12" x14ac:dyDescent="0.25">
      <c r="A1352" s="2">
        <v>45721</v>
      </c>
      <c r="B1352" s="3">
        <v>21.93</v>
      </c>
      <c r="C1352" s="3">
        <f t="shared" si="86"/>
        <v>21.93</v>
      </c>
      <c r="D1352" s="3">
        <v>5842.63</v>
      </c>
      <c r="E1352" s="3">
        <f t="shared" si="87"/>
        <v>5842.63</v>
      </c>
      <c r="F1352" s="3">
        <f>MAX($E$2:E1352)</f>
        <v>6144.15</v>
      </c>
      <c r="G1352" s="3">
        <f t="shared" si="84"/>
        <v>-4.9074322729750994</v>
      </c>
      <c r="I1352" s="2">
        <v>45181</v>
      </c>
      <c r="J1352" s="3">
        <f>IFERROR(VLOOKUP(I1352,$A$1:$G$1610,3,FALSE),J1351)</f>
        <v>14.23</v>
      </c>
      <c r="K1352" s="3">
        <f>IFERROR(VLOOKUP(I1352,$A$1:$G$1610,7,FALSE),K1351)</f>
        <v>-6.9770835765632189</v>
      </c>
      <c r="L1352" s="5">
        <f t="shared" si="85"/>
        <v>0</v>
      </c>
    </row>
    <row r="1353" spans="1:12" x14ac:dyDescent="0.25">
      <c r="A1353" s="2">
        <v>45722</v>
      </c>
      <c r="B1353" s="3">
        <v>24.87</v>
      </c>
      <c r="C1353" s="3">
        <f t="shared" si="86"/>
        <v>24.87</v>
      </c>
      <c r="D1353" s="3">
        <v>5738.52</v>
      </c>
      <c r="E1353" s="3">
        <f t="shared" si="87"/>
        <v>5738.52</v>
      </c>
      <c r="F1353" s="3">
        <f>MAX($E$2:E1353)</f>
        <v>6144.15</v>
      </c>
      <c r="G1353" s="3">
        <f t="shared" si="84"/>
        <v>-6.6018896023046185</v>
      </c>
      <c r="I1353" s="2">
        <v>45182</v>
      </c>
      <c r="J1353" s="3">
        <f>IFERROR(VLOOKUP(I1353,$A$1:$G$1610,3,FALSE),J1352)</f>
        <v>13.48</v>
      </c>
      <c r="K1353" s="3">
        <f>IFERROR(VLOOKUP(I1353,$A$1:$G$1610,7,FALSE),K1352)</f>
        <v>-6.8615841352969786</v>
      </c>
      <c r="L1353" s="5">
        <f t="shared" si="85"/>
        <v>0</v>
      </c>
    </row>
    <row r="1354" spans="1:12" x14ac:dyDescent="0.25">
      <c r="A1354" s="2">
        <v>45723</v>
      </c>
      <c r="B1354" s="3">
        <v>23.37</v>
      </c>
      <c r="C1354" s="3">
        <f t="shared" si="86"/>
        <v>23.37</v>
      </c>
      <c r="D1354" s="3">
        <v>5770.2</v>
      </c>
      <c r="E1354" s="3">
        <f t="shared" si="87"/>
        <v>5770.2</v>
      </c>
      <c r="F1354" s="3">
        <f>MAX($E$2:E1354)</f>
        <v>6144.15</v>
      </c>
      <c r="G1354" s="3">
        <f t="shared" si="84"/>
        <v>-6.0862771904982766</v>
      </c>
      <c r="I1354" s="2">
        <v>45183</v>
      </c>
      <c r="J1354" s="3">
        <f>IFERROR(VLOOKUP(I1354,$A$1:$G$1610,3,FALSE),J1353)</f>
        <v>12.82</v>
      </c>
      <c r="K1354" s="3">
        <f>IFERROR(VLOOKUP(I1354,$A$1:$G$1610,7,FALSE),K1353)</f>
        <v>-6.0764381139816876</v>
      </c>
      <c r="L1354" s="5">
        <f t="shared" si="85"/>
        <v>0</v>
      </c>
    </row>
    <row r="1355" spans="1:12" x14ac:dyDescent="0.25">
      <c r="A1355" s="2">
        <v>45726</v>
      </c>
      <c r="B1355" s="3">
        <v>27.86</v>
      </c>
      <c r="C1355" s="3">
        <f t="shared" si="86"/>
        <v>27.86</v>
      </c>
      <c r="D1355" s="3">
        <v>5614.56</v>
      </c>
      <c r="E1355" s="3">
        <f t="shared" si="87"/>
        <v>5614.56</v>
      </c>
      <c r="F1355" s="3">
        <f>MAX($E$2:E1355)</f>
        <v>6144.15</v>
      </c>
      <c r="G1355" s="3">
        <f t="shared" si="84"/>
        <v>-8.6194184712287178</v>
      </c>
      <c r="I1355" s="2">
        <v>45184</v>
      </c>
      <c r="J1355" s="3">
        <f>IFERROR(VLOOKUP(I1355,$A$1:$G$1610,3,FALSE),J1354)</f>
        <v>13.79</v>
      </c>
      <c r="K1355" s="3">
        <f>IFERROR(VLOOKUP(I1355,$A$1:$G$1610,7,FALSE),K1354)</f>
        <v>-7.2185065963940964</v>
      </c>
      <c r="L1355" s="5">
        <f t="shared" si="85"/>
        <v>0</v>
      </c>
    </row>
    <row r="1356" spans="1:12" x14ac:dyDescent="0.25">
      <c r="A1356" s="2">
        <v>45727</v>
      </c>
      <c r="B1356" s="3">
        <v>26.92</v>
      </c>
      <c r="C1356" s="3">
        <f t="shared" si="86"/>
        <v>26.92</v>
      </c>
      <c r="D1356" s="3">
        <v>5572.07</v>
      </c>
      <c r="E1356" s="3">
        <f t="shared" si="87"/>
        <v>5572.07</v>
      </c>
      <c r="F1356" s="3">
        <f>MAX($E$2:E1356)</f>
        <v>6144.15</v>
      </c>
      <c r="G1356" s="3">
        <f t="shared" si="84"/>
        <v>-9.3109705980485504</v>
      </c>
      <c r="I1356" s="2">
        <v>45185</v>
      </c>
      <c r="J1356" s="3">
        <f>IFERROR(VLOOKUP(I1356,$A$1:$G$1610,3,FALSE),J1355)</f>
        <v>13.79</v>
      </c>
      <c r="K1356" s="3">
        <f>IFERROR(VLOOKUP(I1356,$A$1:$G$1610,7,FALSE),K1355)</f>
        <v>-7.2185065963940964</v>
      </c>
      <c r="L1356" s="5">
        <f t="shared" si="85"/>
        <v>0</v>
      </c>
    </row>
    <row r="1357" spans="1:12" x14ac:dyDescent="0.25">
      <c r="A1357" s="2">
        <v>45728</v>
      </c>
      <c r="B1357" s="3">
        <v>24.23</v>
      </c>
      <c r="C1357" s="3">
        <f t="shared" si="86"/>
        <v>24.23</v>
      </c>
      <c r="D1357" s="3">
        <v>5599.3</v>
      </c>
      <c r="E1357" s="3">
        <f t="shared" si="87"/>
        <v>5599.3</v>
      </c>
      <c r="F1357" s="3">
        <f>MAX($E$2:E1357)</f>
        <v>6144.15</v>
      </c>
      <c r="G1357" s="3">
        <f t="shared" si="84"/>
        <v>-8.8677848034308973</v>
      </c>
      <c r="I1357" s="2">
        <v>45186</v>
      </c>
      <c r="J1357" s="3">
        <f>IFERROR(VLOOKUP(I1357,$A$1:$G$1610,3,FALSE),J1356)</f>
        <v>13.79</v>
      </c>
      <c r="K1357" s="3">
        <f>IFERROR(VLOOKUP(I1357,$A$1:$G$1610,7,FALSE),K1356)</f>
        <v>-7.2185065963940964</v>
      </c>
      <c r="L1357" s="5">
        <f t="shared" si="85"/>
        <v>0</v>
      </c>
    </row>
    <row r="1358" spans="1:12" x14ac:dyDescent="0.25">
      <c r="A1358" s="2">
        <v>45729</v>
      </c>
      <c r="B1358" s="3">
        <v>24.66</v>
      </c>
      <c r="C1358" s="3">
        <f t="shared" si="86"/>
        <v>24.66</v>
      </c>
      <c r="D1358" s="3">
        <v>5521.52</v>
      </c>
      <c r="E1358" s="3">
        <f t="shared" si="87"/>
        <v>5521.52</v>
      </c>
      <c r="F1358" s="3">
        <f>MAX($E$2:E1358)</f>
        <v>6144.15</v>
      </c>
      <c r="G1358" s="3">
        <f t="shared" si="84"/>
        <v>-10.133704418023635</v>
      </c>
      <c r="I1358" s="2">
        <v>45187</v>
      </c>
      <c r="J1358" s="3">
        <f>IFERROR(VLOOKUP(I1358,$A$1:$G$1610,3,FALSE),J1357)</f>
        <v>14</v>
      </c>
      <c r="K1358" s="3">
        <f>IFERROR(VLOOKUP(I1358,$A$1:$G$1610,7,FALSE),K1357)</f>
        <v>-7.151583634938385</v>
      </c>
      <c r="L1358" s="5">
        <f t="shared" si="85"/>
        <v>0</v>
      </c>
    </row>
    <row r="1359" spans="1:12" x14ac:dyDescent="0.25">
      <c r="A1359" s="2">
        <v>45730</v>
      </c>
      <c r="B1359" s="3">
        <v>21.77</v>
      </c>
      <c r="C1359" s="3">
        <f t="shared" si="86"/>
        <v>21.77</v>
      </c>
      <c r="D1359" s="3">
        <v>5638.94</v>
      </c>
      <c r="E1359" s="3">
        <f t="shared" si="87"/>
        <v>5638.94</v>
      </c>
      <c r="F1359" s="3">
        <f>MAX($E$2:E1359)</f>
        <v>6144.15</v>
      </c>
      <c r="G1359" s="3">
        <f t="shared" si="84"/>
        <v>-8.2226182629004843</v>
      </c>
      <c r="I1359" s="2">
        <v>45188</v>
      </c>
      <c r="J1359" s="3">
        <f>IFERROR(VLOOKUP(I1359,$A$1:$G$1610,3,FALSE),J1358)</f>
        <v>14.11</v>
      </c>
      <c r="K1359" s="3">
        <f>IFERROR(VLOOKUP(I1359,$A$1:$G$1610,7,FALSE),K1358)</f>
        <v>-7.3513101055756742</v>
      </c>
      <c r="L1359" s="5">
        <f t="shared" si="85"/>
        <v>0</v>
      </c>
    </row>
    <row r="1360" spans="1:12" x14ac:dyDescent="0.25">
      <c r="A1360" s="2">
        <v>45733</v>
      </c>
      <c r="B1360" s="3">
        <v>20.51</v>
      </c>
      <c r="C1360" s="3">
        <f t="shared" si="86"/>
        <v>20.51</v>
      </c>
      <c r="D1360" s="3">
        <v>5675.12</v>
      </c>
      <c r="E1360" s="3">
        <f t="shared" si="87"/>
        <v>5675.12</v>
      </c>
      <c r="F1360" s="3">
        <f>MAX($E$2:E1360)</f>
        <v>6144.15</v>
      </c>
      <c r="G1360" s="3">
        <f t="shared" si="84"/>
        <v>-7.6337654516898157</v>
      </c>
      <c r="I1360" s="2">
        <v>45189</v>
      </c>
      <c r="J1360" s="3">
        <f>IFERROR(VLOOKUP(I1360,$A$1:$G$1610,3,FALSE),J1359)</f>
        <v>15.14</v>
      </c>
      <c r="K1360" s="3">
        <f>IFERROR(VLOOKUP(I1360,$A$1:$G$1610,7,FALSE),K1359)</f>
        <v>-8.2217255699918397</v>
      </c>
      <c r="L1360" s="5">
        <f t="shared" si="85"/>
        <v>0</v>
      </c>
    </row>
    <row r="1361" spans="1:12" x14ac:dyDescent="0.25">
      <c r="A1361" s="2">
        <v>45734</v>
      </c>
      <c r="B1361" s="3">
        <v>21.7</v>
      </c>
      <c r="C1361" s="3">
        <f t="shared" si="86"/>
        <v>21.7</v>
      </c>
      <c r="D1361" s="3">
        <v>5614.66</v>
      </c>
      <c r="E1361" s="3">
        <f t="shared" si="87"/>
        <v>5614.66</v>
      </c>
      <c r="F1361" s="3">
        <f>MAX($E$2:E1361)</f>
        <v>6144.15</v>
      </c>
      <c r="G1361" s="3">
        <f t="shared" si="84"/>
        <v>-8.61779090679752</v>
      </c>
      <c r="I1361" s="2">
        <v>45190</v>
      </c>
      <c r="J1361" s="3">
        <f>IFERROR(VLOOKUP(I1361,$A$1:$G$1610,3,FALSE),J1360)</f>
        <v>17.54</v>
      </c>
      <c r="K1361" s="3">
        <f>IFERROR(VLOOKUP(I1361,$A$1:$G$1610,7,FALSE),K1360)</f>
        <v>-9.7269709958803876</v>
      </c>
      <c r="L1361" s="5">
        <f t="shared" si="85"/>
        <v>0</v>
      </c>
    </row>
    <row r="1362" spans="1:12" x14ac:dyDescent="0.25">
      <c r="A1362" s="2">
        <v>45735</v>
      </c>
      <c r="B1362" s="3">
        <v>19.899999999999999</v>
      </c>
      <c r="C1362" s="3">
        <f t="shared" si="86"/>
        <v>19.899999999999999</v>
      </c>
      <c r="D1362" s="3">
        <v>5675.29</v>
      </c>
      <c r="E1362" s="3">
        <f t="shared" si="87"/>
        <v>5675.29</v>
      </c>
      <c r="F1362" s="3">
        <f>MAX($E$2:E1362)</f>
        <v>6144.15</v>
      </c>
      <c r="G1362" s="3">
        <f t="shared" si="84"/>
        <v>-7.6309985921567627</v>
      </c>
      <c r="I1362" s="2">
        <v>45191</v>
      </c>
      <c r="J1362" s="3">
        <f>IFERROR(VLOOKUP(I1362,$A$1:$G$1610,3,FALSE),J1361)</f>
        <v>17.2</v>
      </c>
      <c r="K1362" s="3">
        <f>IFERROR(VLOOKUP(I1362,$A$1:$G$1610,7,FALSE),K1361)</f>
        <v>-9.934202845372516</v>
      </c>
      <c r="L1362" s="5">
        <f t="shared" si="85"/>
        <v>0</v>
      </c>
    </row>
    <row r="1363" spans="1:12" x14ac:dyDescent="0.25">
      <c r="A1363" s="2">
        <v>45736</v>
      </c>
      <c r="B1363" s="3">
        <v>19.8</v>
      </c>
      <c r="C1363" s="3">
        <f t="shared" si="86"/>
        <v>19.8</v>
      </c>
      <c r="D1363" s="3">
        <v>5662.89</v>
      </c>
      <c r="E1363" s="3">
        <f t="shared" si="87"/>
        <v>5662.89</v>
      </c>
      <c r="F1363" s="3">
        <f>MAX($E$2:E1363)</f>
        <v>6144.15</v>
      </c>
      <c r="G1363" s="3">
        <f t="shared" si="84"/>
        <v>-7.8328165816264148</v>
      </c>
      <c r="I1363" s="2">
        <v>45192</v>
      </c>
      <c r="J1363" s="3">
        <f>IFERROR(VLOOKUP(I1363,$A$1:$G$1610,3,FALSE),J1362)</f>
        <v>17.2</v>
      </c>
      <c r="K1363" s="3">
        <f>IFERROR(VLOOKUP(I1363,$A$1:$G$1610,7,FALSE),K1362)</f>
        <v>-9.934202845372516</v>
      </c>
      <c r="L1363" s="5">
        <f t="shared" si="85"/>
        <v>0</v>
      </c>
    </row>
    <row r="1364" spans="1:12" x14ac:dyDescent="0.25">
      <c r="A1364" s="2">
        <v>45737</v>
      </c>
      <c r="B1364" s="3">
        <v>19.28</v>
      </c>
      <c r="C1364" s="3">
        <f t="shared" si="86"/>
        <v>19.28</v>
      </c>
      <c r="D1364" s="3">
        <v>5667.56</v>
      </c>
      <c r="E1364" s="3">
        <f t="shared" si="87"/>
        <v>5667.56</v>
      </c>
      <c r="F1364" s="3">
        <f>MAX($E$2:E1364)</f>
        <v>6144.15</v>
      </c>
      <c r="G1364" s="3">
        <f t="shared" si="84"/>
        <v>-7.7568093226890493</v>
      </c>
      <c r="I1364" s="2">
        <v>45193</v>
      </c>
      <c r="J1364" s="3">
        <f>IFERROR(VLOOKUP(I1364,$A$1:$G$1610,3,FALSE),J1363)</f>
        <v>17.2</v>
      </c>
      <c r="K1364" s="3">
        <f>IFERROR(VLOOKUP(I1364,$A$1:$G$1610,7,FALSE),K1363)</f>
        <v>-9.934202845372516</v>
      </c>
      <c r="L1364" s="5">
        <f t="shared" si="85"/>
        <v>0</v>
      </c>
    </row>
    <row r="1365" spans="1:12" x14ac:dyDescent="0.25">
      <c r="A1365" s="2">
        <v>45740</v>
      </c>
      <c r="B1365" s="3">
        <v>17.48</v>
      </c>
      <c r="C1365" s="3">
        <f t="shared" si="86"/>
        <v>17.48</v>
      </c>
      <c r="D1365" s="3">
        <v>5767.57</v>
      </c>
      <c r="E1365" s="3">
        <f t="shared" si="87"/>
        <v>5767.57</v>
      </c>
      <c r="F1365" s="3">
        <f>MAX($E$2:E1365)</f>
        <v>6144.15</v>
      </c>
      <c r="G1365" s="3">
        <f t="shared" si="84"/>
        <v>-6.1290821350390194</v>
      </c>
      <c r="I1365" s="2">
        <v>45194</v>
      </c>
      <c r="J1365" s="3">
        <f>IFERROR(VLOOKUP(I1365,$A$1:$G$1610,3,FALSE),J1364)</f>
        <v>16.899999999999999</v>
      </c>
      <c r="K1365" s="3">
        <f>IFERROR(VLOOKUP(I1365,$A$1:$G$1610,7,FALSE),K1364)</f>
        <v>-9.5718598328802464</v>
      </c>
      <c r="L1365" s="5">
        <f t="shared" si="85"/>
        <v>0</v>
      </c>
    </row>
    <row r="1366" spans="1:12" x14ac:dyDescent="0.25">
      <c r="A1366" s="2">
        <v>45741</v>
      </c>
      <c r="B1366" s="3">
        <v>17.149999999999999</v>
      </c>
      <c r="C1366" s="3">
        <f t="shared" si="86"/>
        <v>17.149999999999999</v>
      </c>
      <c r="D1366" s="3">
        <v>5776.65</v>
      </c>
      <c r="E1366" s="3">
        <f t="shared" si="87"/>
        <v>5776.65</v>
      </c>
      <c r="F1366" s="3">
        <f>MAX($E$2:E1366)</f>
        <v>6144.15</v>
      </c>
      <c r="G1366" s="3">
        <f t="shared" si="84"/>
        <v>-5.9812992846854325</v>
      </c>
      <c r="I1366" s="2">
        <v>45195</v>
      </c>
      <c r="J1366" s="3">
        <f>IFERROR(VLOOKUP(I1366,$A$1:$G$1610,3,FALSE),J1365)</f>
        <v>18.940000000000001</v>
      </c>
      <c r="K1366" s="3">
        <f>IFERROR(VLOOKUP(I1366,$A$1:$G$1610,7,FALSE),K1365)</f>
        <v>-10.904273062361373</v>
      </c>
      <c r="L1366" s="5">
        <f t="shared" si="85"/>
        <v>1</v>
      </c>
    </row>
    <row r="1367" spans="1:12" x14ac:dyDescent="0.25">
      <c r="A1367" s="2">
        <v>45742</v>
      </c>
      <c r="B1367" s="3">
        <v>18.329999999999998</v>
      </c>
      <c r="C1367" s="3">
        <f t="shared" si="86"/>
        <v>18.329999999999998</v>
      </c>
      <c r="D1367" s="3">
        <v>5712.2</v>
      </c>
      <c r="E1367" s="3">
        <f t="shared" si="87"/>
        <v>5712.2</v>
      </c>
      <c r="F1367" s="3">
        <f>MAX($E$2:E1367)</f>
        <v>6144.15</v>
      </c>
      <c r="G1367" s="3">
        <f t="shared" si="84"/>
        <v>-7.0302645605982903</v>
      </c>
      <c r="I1367" s="2">
        <v>45196</v>
      </c>
      <c r="J1367" s="3">
        <f>IFERROR(VLOOKUP(I1367,$A$1:$G$1610,3,FALSE),J1366)</f>
        <v>18.22</v>
      </c>
      <c r="K1367" s="3">
        <f>IFERROR(VLOOKUP(I1367,$A$1:$G$1610,7,FALSE),K1366)</f>
        <v>-10.883841753256505</v>
      </c>
      <c r="L1367" s="5">
        <f t="shared" si="85"/>
        <v>1</v>
      </c>
    </row>
    <row r="1368" spans="1:12" x14ac:dyDescent="0.25">
      <c r="A1368" s="2">
        <v>45743</v>
      </c>
      <c r="B1368" s="3">
        <v>18.690000000000001</v>
      </c>
      <c r="C1368" s="3">
        <f t="shared" si="86"/>
        <v>18.690000000000001</v>
      </c>
      <c r="D1368" s="3">
        <v>5693.31</v>
      </c>
      <c r="E1368" s="3">
        <f t="shared" si="87"/>
        <v>5693.31</v>
      </c>
      <c r="F1368" s="3">
        <f>MAX($E$2:E1368)</f>
        <v>6144.15</v>
      </c>
      <c r="G1368" s="3">
        <f t="shared" si="84"/>
        <v>-7.337711481653268</v>
      </c>
      <c r="I1368" s="2">
        <v>45197</v>
      </c>
      <c r="J1368" s="3">
        <f>IFERROR(VLOOKUP(I1368,$A$1:$G$1610,3,FALSE),J1367)</f>
        <v>17.34</v>
      </c>
      <c r="K1368" s="3">
        <f>IFERROR(VLOOKUP(I1368,$A$1:$G$1610,7,FALSE),K1367)</f>
        <v>-10.358673716163262</v>
      </c>
      <c r="L1368" s="5">
        <f t="shared" si="85"/>
        <v>1</v>
      </c>
    </row>
    <row r="1369" spans="1:12" x14ac:dyDescent="0.25">
      <c r="A1369" s="2">
        <v>45744</v>
      </c>
      <c r="B1369" s="3">
        <v>21.65</v>
      </c>
      <c r="C1369" s="3">
        <f t="shared" si="86"/>
        <v>21.65</v>
      </c>
      <c r="D1369" s="3">
        <v>5580.94</v>
      </c>
      <c r="E1369" s="3">
        <f t="shared" si="87"/>
        <v>5580.94</v>
      </c>
      <c r="F1369" s="3">
        <f>MAX($E$2:E1369)</f>
        <v>6144.15</v>
      </c>
      <c r="G1369" s="3">
        <f t="shared" si="84"/>
        <v>-9.166605633000497</v>
      </c>
      <c r="I1369" s="2">
        <v>45198</v>
      </c>
      <c r="J1369" s="3">
        <f>IFERROR(VLOOKUP(I1369,$A$1:$G$1610,3,FALSE),J1368)</f>
        <v>17.52</v>
      </c>
      <c r="K1369" s="3">
        <f>IFERROR(VLOOKUP(I1369,$A$1:$G$1610,7,FALSE),K1368)</f>
        <v>-10.601556115215908</v>
      </c>
      <c r="L1369" s="5">
        <f t="shared" si="85"/>
        <v>1</v>
      </c>
    </row>
    <row r="1370" spans="1:12" x14ac:dyDescent="0.25">
      <c r="A1370" s="2">
        <v>45747</v>
      </c>
      <c r="B1370" s="3">
        <v>22.28</v>
      </c>
      <c r="C1370" s="3">
        <f t="shared" si="86"/>
        <v>22.28</v>
      </c>
      <c r="D1370" s="3">
        <v>5611.85</v>
      </c>
      <c r="E1370" s="3">
        <f t="shared" si="87"/>
        <v>5611.85</v>
      </c>
      <c r="F1370" s="3">
        <f>MAX($E$2:E1370)</f>
        <v>6144.15</v>
      </c>
      <c r="G1370" s="3">
        <f t="shared" si="84"/>
        <v>-8.6635254673144253</v>
      </c>
      <c r="I1370" s="2">
        <v>45199</v>
      </c>
      <c r="J1370" s="3">
        <f>IFERROR(VLOOKUP(I1370,$A$1:$G$1610,3,FALSE),J1369)</f>
        <v>17.52</v>
      </c>
      <c r="K1370" s="3">
        <f>IFERROR(VLOOKUP(I1370,$A$1:$G$1610,7,FALSE),K1369)</f>
        <v>-10.601556115215908</v>
      </c>
      <c r="L1370" s="5">
        <f t="shared" si="85"/>
        <v>1</v>
      </c>
    </row>
    <row r="1371" spans="1:12" x14ac:dyDescent="0.25">
      <c r="A1371" s="2">
        <v>45748</v>
      </c>
      <c r="B1371" s="3">
        <v>21.77</v>
      </c>
      <c r="C1371" s="3">
        <f t="shared" si="86"/>
        <v>21.77</v>
      </c>
      <c r="D1371" s="3">
        <v>5633.07</v>
      </c>
      <c r="E1371" s="3">
        <f t="shared" si="87"/>
        <v>5633.07</v>
      </c>
      <c r="F1371" s="3">
        <f>MAX($E$2:E1371)</f>
        <v>6144.15</v>
      </c>
      <c r="G1371" s="3">
        <f t="shared" si="84"/>
        <v>-8.3181562950123293</v>
      </c>
      <c r="I1371" s="2">
        <v>45200</v>
      </c>
      <c r="J1371" s="3">
        <f>IFERROR(VLOOKUP(I1371,$A$1:$G$1610,3,FALSE),J1370)</f>
        <v>17.52</v>
      </c>
      <c r="K1371" s="3">
        <f>IFERROR(VLOOKUP(I1371,$A$1:$G$1610,7,FALSE),K1370)</f>
        <v>-10.601556115215908</v>
      </c>
      <c r="L1371" s="5">
        <f t="shared" si="85"/>
        <v>1</v>
      </c>
    </row>
    <row r="1372" spans="1:12" x14ac:dyDescent="0.25">
      <c r="A1372" s="2">
        <v>45749</v>
      </c>
      <c r="B1372" s="3">
        <v>21.51</v>
      </c>
      <c r="C1372" s="3">
        <f t="shared" si="86"/>
        <v>21.51</v>
      </c>
      <c r="D1372" s="3">
        <v>5670.97</v>
      </c>
      <c r="E1372" s="3">
        <f t="shared" si="87"/>
        <v>5670.97</v>
      </c>
      <c r="F1372" s="3">
        <f>MAX($E$2:E1372)</f>
        <v>6144.15</v>
      </c>
      <c r="G1372" s="3">
        <f t="shared" si="84"/>
        <v>-7.7013093755848958</v>
      </c>
      <c r="I1372" s="2">
        <v>45201</v>
      </c>
      <c r="J1372" s="3">
        <f>IFERROR(VLOOKUP(I1372,$A$1:$G$1610,3,FALSE),J1371)</f>
        <v>17.61</v>
      </c>
      <c r="K1372" s="3">
        <f>IFERROR(VLOOKUP(I1372,$A$1:$G$1610,7,FALSE),K1371)</f>
        <v>-10.594467701852995</v>
      </c>
      <c r="L1372" s="5">
        <f t="shared" si="85"/>
        <v>1</v>
      </c>
    </row>
    <row r="1373" spans="1:12" x14ac:dyDescent="0.25">
      <c r="A1373" s="2">
        <v>45750</v>
      </c>
      <c r="B1373" s="3">
        <v>30.02</v>
      </c>
      <c r="C1373" s="3">
        <f t="shared" si="86"/>
        <v>30.02</v>
      </c>
      <c r="D1373" s="3">
        <v>5396.52</v>
      </c>
      <c r="E1373" s="3">
        <f t="shared" si="87"/>
        <v>5396.52</v>
      </c>
      <c r="F1373" s="3">
        <f>MAX($E$2:E1373)</f>
        <v>6144.15</v>
      </c>
      <c r="G1373" s="3">
        <f t="shared" si="84"/>
        <v>-12.168159957032287</v>
      </c>
      <c r="I1373" s="2">
        <v>45202</v>
      </c>
      <c r="J1373" s="3">
        <f>IFERROR(VLOOKUP(I1373,$A$1:$G$1610,3,FALSE),J1372)</f>
        <v>19.78</v>
      </c>
      <c r="K1373" s="3">
        <f>IFERROR(VLOOKUP(I1373,$A$1:$G$1610,7,FALSE),K1372)</f>
        <v>-11.823265006588066</v>
      </c>
      <c r="L1373" s="5">
        <f t="shared" si="85"/>
        <v>1</v>
      </c>
    </row>
    <row r="1374" spans="1:12" x14ac:dyDescent="0.25">
      <c r="A1374" s="2">
        <v>45751</v>
      </c>
      <c r="B1374" s="3">
        <v>45.31</v>
      </c>
      <c r="C1374" s="3">
        <f t="shared" si="86"/>
        <v>45.31</v>
      </c>
      <c r="D1374" s="3">
        <v>5074.08</v>
      </c>
      <c r="E1374" s="3">
        <f t="shared" si="87"/>
        <v>5074.08</v>
      </c>
      <c r="F1374" s="3">
        <f>MAX($E$2:E1374)</f>
        <v>6144.15</v>
      </c>
      <c r="G1374" s="3">
        <f t="shared" si="84"/>
        <v>-17.416078709015888</v>
      </c>
      <c r="I1374" s="2">
        <v>45203</v>
      </c>
      <c r="J1374" s="3">
        <f>IFERROR(VLOOKUP(I1374,$A$1:$G$1610,3,FALSE),J1373)</f>
        <v>18.579999999999998</v>
      </c>
      <c r="K1374" s="3">
        <f>IFERROR(VLOOKUP(I1374,$A$1:$G$1610,7,FALSE),K1373)</f>
        <v>-11.108169187918016</v>
      </c>
      <c r="L1374" s="5">
        <f t="shared" si="85"/>
        <v>1</v>
      </c>
    </row>
    <row r="1375" spans="1:12" x14ac:dyDescent="0.25">
      <c r="A1375" s="2">
        <v>45754</v>
      </c>
      <c r="B1375" s="3">
        <v>46.98</v>
      </c>
      <c r="C1375" s="3">
        <f t="shared" si="86"/>
        <v>46.98</v>
      </c>
      <c r="D1375" s="3">
        <v>5062.25</v>
      </c>
      <c r="E1375" s="3">
        <f t="shared" si="87"/>
        <v>5062.25</v>
      </c>
      <c r="F1375" s="3">
        <f>MAX($E$2:E1375)</f>
        <v>6144.15</v>
      </c>
      <c r="G1375" s="3">
        <f t="shared" si="84"/>
        <v>-17.608619581227668</v>
      </c>
      <c r="I1375" s="2">
        <v>45204</v>
      </c>
      <c r="J1375" s="3">
        <f>IFERROR(VLOOKUP(I1375,$A$1:$G$1610,3,FALSE),J1374)</f>
        <v>18.489999999999998</v>
      </c>
      <c r="K1375" s="3">
        <f>IFERROR(VLOOKUP(I1375,$A$1:$G$1610,7,FALSE),K1374)</f>
        <v>-11.2240855946762</v>
      </c>
      <c r="L1375" s="5">
        <f t="shared" si="85"/>
        <v>1</v>
      </c>
    </row>
    <row r="1376" spans="1:12" x14ac:dyDescent="0.25">
      <c r="A1376" s="2">
        <v>45755</v>
      </c>
      <c r="B1376" s="3">
        <v>52.33</v>
      </c>
      <c r="C1376" s="3">
        <f t="shared" si="86"/>
        <v>52.33</v>
      </c>
      <c r="D1376" s="3">
        <v>4982.7700000000004</v>
      </c>
      <c r="E1376" s="3">
        <f t="shared" si="87"/>
        <v>4982.7700000000004</v>
      </c>
      <c r="F1376" s="3">
        <f>MAX($E$2:E1376)</f>
        <v>6144.15</v>
      </c>
      <c r="G1376" s="3">
        <f t="shared" si="84"/>
        <v>-18.902207791150921</v>
      </c>
      <c r="I1376" s="2">
        <v>45205</v>
      </c>
      <c r="J1376" s="3">
        <f>IFERROR(VLOOKUP(I1376,$A$1:$G$1610,3,FALSE),J1375)</f>
        <v>17.45</v>
      </c>
      <c r="K1376" s="3">
        <f>IFERROR(VLOOKUP(I1376,$A$1:$G$1610,7,FALSE),K1375)</f>
        <v>-10.175208899711468</v>
      </c>
      <c r="L1376" s="5">
        <f t="shared" si="85"/>
        <v>1</v>
      </c>
    </row>
    <row r="1377" spans="1:12" x14ac:dyDescent="0.25">
      <c r="A1377" s="2">
        <v>45756</v>
      </c>
      <c r="B1377" s="3">
        <v>33.619999999999997</v>
      </c>
      <c r="C1377" s="3">
        <f t="shared" si="86"/>
        <v>33.619999999999997</v>
      </c>
      <c r="D1377" s="3">
        <v>5456.9</v>
      </c>
      <c r="E1377" s="3">
        <f t="shared" si="87"/>
        <v>5456.9</v>
      </c>
      <c r="F1377" s="3">
        <f>MAX($E$2:E1377)</f>
        <v>6144.15</v>
      </c>
      <c r="G1377" s="3">
        <f t="shared" si="84"/>
        <v>-11.185436553469561</v>
      </c>
      <c r="I1377" s="2">
        <v>45206</v>
      </c>
      <c r="J1377" s="3">
        <f>IFERROR(VLOOKUP(I1377,$A$1:$G$1610,3,FALSE),J1376)</f>
        <v>17.45</v>
      </c>
      <c r="K1377" s="3">
        <f>IFERROR(VLOOKUP(I1377,$A$1:$G$1610,7,FALSE),K1376)</f>
        <v>-10.175208899711468</v>
      </c>
      <c r="L1377" s="5">
        <f t="shared" si="85"/>
        <v>1</v>
      </c>
    </row>
    <row r="1378" spans="1:12" x14ac:dyDescent="0.25">
      <c r="A1378" s="2">
        <v>45757</v>
      </c>
      <c r="B1378" s="3">
        <v>40.72</v>
      </c>
      <c r="C1378" s="3">
        <f t="shared" si="86"/>
        <v>40.72</v>
      </c>
      <c r="D1378" s="3">
        <v>5268.05</v>
      </c>
      <c r="E1378" s="3">
        <f t="shared" si="87"/>
        <v>5268.05</v>
      </c>
      <c r="F1378" s="3">
        <f>MAX($E$2:E1378)</f>
        <v>6144.15</v>
      </c>
      <c r="G1378" s="3">
        <f t="shared" si="84"/>
        <v>-14.25909198180382</v>
      </c>
      <c r="I1378" s="2">
        <v>45207</v>
      </c>
      <c r="J1378" s="3">
        <f>IFERROR(VLOOKUP(I1378,$A$1:$G$1610,3,FALSE),J1377)</f>
        <v>17.45</v>
      </c>
      <c r="K1378" s="3">
        <f>IFERROR(VLOOKUP(I1378,$A$1:$G$1610,7,FALSE),K1377)</f>
        <v>-10.175208899711468</v>
      </c>
      <c r="L1378" s="5">
        <f t="shared" si="85"/>
        <v>1</v>
      </c>
    </row>
    <row r="1379" spans="1:12" x14ac:dyDescent="0.25">
      <c r="A1379" s="2">
        <v>45758</v>
      </c>
      <c r="B1379" s="3">
        <v>37.56</v>
      </c>
      <c r="C1379" s="3">
        <f t="shared" si="86"/>
        <v>37.56</v>
      </c>
      <c r="D1379" s="3">
        <v>5363.36</v>
      </c>
      <c r="E1379" s="3">
        <f t="shared" si="87"/>
        <v>5363.36</v>
      </c>
      <c r="F1379" s="3">
        <f>MAX($E$2:E1379)</f>
        <v>6144.15</v>
      </c>
      <c r="G1379" s="3">
        <f t="shared" si="84"/>
        <v>-12.707860322420514</v>
      </c>
      <c r="I1379" s="2">
        <v>45208</v>
      </c>
      <c r="J1379" s="3">
        <f>IFERROR(VLOOKUP(I1379,$A$1:$G$1610,3,FALSE),J1378)</f>
        <v>17.7</v>
      </c>
      <c r="K1379" s="3">
        <f>IFERROR(VLOOKUP(I1379,$A$1:$G$1610,7,FALSE),K1378)</f>
        <v>-9.6089697616625358</v>
      </c>
      <c r="L1379" s="5">
        <f t="shared" si="85"/>
        <v>0</v>
      </c>
    </row>
    <row r="1380" spans="1:12" x14ac:dyDescent="0.25">
      <c r="A1380" s="2">
        <v>45761</v>
      </c>
      <c r="B1380" s="3">
        <v>30.89</v>
      </c>
      <c r="C1380" s="3">
        <f t="shared" si="86"/>
        <v>30.89</v>
      </c>
      <c r="D1380" s="3">
        <v>5405.97</v>
      </c>
      <c r="E1380" s="3">
        <f t="shared" si="87"/>
        <v>5405.97</v>
      </c>
      <c r="F1380" s="3">
        <f>MAX($E$2:E1380)</f>
        <v>6144.15</v>
      </c>
      <c r="G1380" s="3">
        <f t="shared" si="84"/>
        <v>-12.014355118283236</v>
      </c>
      <c r="I1380" s="2">
        <v>45209</v>
      </c>
      <c r="J1380" s="3">
        <f>IFERROR(VLOOKUP(I1380,$A$1:$G$1610,3,FALSE),J1379)</f>
        <v>17.03</v>
      </c>
      <c r="K1380" s="3">
        <f>IFERROR(VLOOKUP(I1380,$A$1:$G$1610,7,FALSE),K1379)</f>
        <v>-9.1382157212669206</v>
      </c>
      <c r="L1380" s="5">
        <f t="shared" si="85"/>
        <v>0</v>
      </c>
    </row>
    <row r="1381" spans="1:12" x14ac:dyDescent="0.25">
      <c r="A1381" s="2">
        <v>45762</v>
      </c>
      <c r="B1381" s="3">
        <v>30.12</v>
      </c>
      <c r="C1381" s="3">
        <f t="shared" si="86"/>
        <v>30.12</v>
      </c>
      <c r="D1381" s="3">
        <v>5396.63</v>
      </c>
      <c r="E1381" s="3">
        <f t="shared" si="87"/>
        <v>5396.63</v>
      </c>
      <c r="F1381" s="3">
        <f>MAX($E$2:E1381)</f>
        <v>6144.15</v>
      </c>
      <c r="G1381" s="3">
        <f t="shared" si="84"/>
        <v>-12.166369636157965</v>
      </c>
      <c r="I1381" s="2">
        <v>45210</v>
      </c>
      <c r="J1381" s="3">
        <f>IFERROR(VLOOKUP(I1381,$A$1:$G$1610,3,FALSE),J1380)</f>
        <v>16.09</v>
      </c>
      <c r="K1381" s="3">
        <f>IFERROR(VLOOKUP(I1381,$A$1:$G$1610,7,FALSE),K1380)</f>
        <v>-8.748144503560896</v>
      </c>
      <c r="L1381" s="5">
        <f t="shared" si="85"/>
        <v>0</v>
      </c>
    </row>
    <row r="1382" spans="1:12" x14ac:dyDescent="0.25">
      <c r="A1382" s="2">
        <v>45763</v>
      </c>
      <c r="B1382" s="3">
        <v>32.64</v>
      </c>
      <c r="C1382" s="3">
        <f t="shared" si="86"/>
        <v>32.64</v>
      </c>
      <c r="D1382" s="3">
        <v>5275.7</v>
      </c>
      <c r="E1382" s="3">
        <f t="shared" si="87"/>
        <v>5275.7</v>
      </c>
      <c r="F1382" s="3">
        <f>MAX($E$2:E1382)</f>
        <v>6144.15</v>
      </c>
      <c r="G1382" s="3">
        <f t="shared" si="84"/>
        <v>-14.134583302816498</v>
      </c>
      <c r="I1382" s="2">
        <v>45211</v>
      </c>
      <c r="J1382" s="3">
        <f>IFERROR(VLOOKUP(I1382,$A$1:$G$1610,3,FALSE),J1381)</f>
        <v>16.690000000000001</v>
      </c>
      <c r="K1382" s="3">
        <f>IFERROR(VLOOKUP(I1382,$A$1:$G$1610,7,FALSE),K1381)</f>
        <v>-9.3181363310372571</v>
      </c>
      <c r="L1382" s="5">
        <f t="shared" si="85"/>
        <v>0</v>
      </c>
    </row>
    <row r="1383" spans="1:12" x14ac:dyDescent="0.25">
      <c r="A1383" s="2">
        <v>45764</v>
      </c>
      <c r="B1383" s="3">
        <v>29.65</v>
      </c>
      <c r="C1383" s="3">
        <f t="shared" si="86"/>
        <v>29.65</v>
      </c>
      <c r="D1383" s="3">
        <v>5282.7</v>
      </c>
      <c r="E1383" s="3">
        <f t="shared" si="87"/>
        <v>5282.7</v>
      </c>
      <c r="F1383" s="3">
        <f>MAX($E$2:E1383)</f>
        <v>6144.15</v>
      </c>
      <c r="G1383" s="3">
        <f t="shared" si="84"/>
        <v>-14.020653792632013</v>
      </c>
      <c r="I1383" s="2">
        <v>45212</v>
      </c>
      <c r="J1383" s="3">
        <f>IFERROR(VLOOKUP(I1383,$A$1:$G$1610,3,FALSE),J1382)</f>
        <v>19.32</v>
      </c>
      <c r="K1383" s="3">
        <f>IFERROR(VLOOKUP(I1383,$A$1:$G$1610,7,FALSE),K1382)</f>
        <v>-9.7732541654852767</v>
      </c>
      <c r="L1383" s="5">
        <f t="shared" si="85"/>
        <v>0</v>
      </c>
    </row>
    <row r="1384" spans="1:12" x14ac:dyDescent="0.25">
      <c r="A1384" s="2">
        <v>45765</v>
      </c>
      <c r="C1384" s="3">
        <f t="shared" si="86"/>
        <v>29.65</v>
      </c>
      <c r="E1384" s="3">
        <f t="shared" si="87"/>
        <v>5282.7</v>
      </c>
      <c r="F1384" s="3">
        <f>MAX($E$2:E1384)</f>
        <v>6144.15</v>
      </c>
      <c r="G1384" s="3">
        <f t="shared" si="84"/>
        <v>-14.020653792632013</v>
      </c>
      <c r="I1384" s="2">
        <v>45213</v>
      </c>
      <c r="J1384" s="3">
        <f>IFERROR(VLOOKUP(I1384,$A$1:$G$1610,3,FALSE),J1383)</f>
        <v>19.32</v>
      </c>
      <c r="K1384" s="3">
        <f>IFERROR(VLOOKUP(I1384,$A$1:$G$1610,7,FALSE),K1383)</f>
        <v>-9.7732541654852767</v>
      </c>
      <c r="L1384" s="5">
        <f t="shared" si="85"/>
        <v>0</v>
      </c>
    </row>
    <row r="1385" spans="1:12" x14ac:dyDescent="0.25">
      <c r="A1385" s="2">
        <v>45768</v>
      </c>
      <c r="B1385" s="3">
        <v>33.82</v>
      </c>
      <c r="C1385" s="3">
        <f t="shared" si="86"/>
        <v>33.82</v>
      </c>
      <c r="D1385" s="3">
        <v>5158.2</v>
      </c>
      <c r="E1385" s="3">
        <f t="shared" si="87"/>
        <v>5158.2</v>
      </c>
      <c r="F1385" s="3">
        <f>MAX($E$2:E1385)</f>
        <v>6144.15</v>
      </c>
      <c r="G1385" s="3">
        <f t="shared" si="84"/>
        <v>-16.046971509484631</v>
      </c>
      <c r="I1385" s="2">
        <v>45214</v>
      </c>
      <c r="J1385" s="3">
        <f>IFERROR(VLOOKUP(I1385,$A$1:$G$1610,3,FALSE),J1384)</f>
        <v>19.32</v>
      </c>
      <c r="K1385" s="3">
        <f>IFERROR(VLOOKUP(I1385,$A$1:$G$1610,7,FALSE),K1384)</f>
        <v>-9.7732541654852767</v>
      </c>
      <c r="L1385" s="5">
        <f t="shared" si="85"/>
        <v>0</v>
      </c>
    </row>
    <row r="1386" spans="1:12" x14ac:dyDescent="0.25">
      <c r="A1386" s="2">
        <v>45769</v>
      </c>
      <c r="B1386" s="3">
        <v>30.57</v>
      </c>
      <c r="C1386" s="3">
        <f t="shared" si="86"/>
        <v>30.57</v>
      </c>
      <c r="D1386" s="3">
        <v>5287.76</v>
      </c>
      <c r="E1386" s="3">
        <f t="shared" si="87"/>
        <v>5287.76</v>
      </c>
      <c r="F1386" s="3">
        <f>MAX($E$2:E1386)</f>
        <v>6144.15</v>
      </c>
      <c r="G1386" s="3">
        <f t="shared" si="84"/>
        <v>-13.938299032412937</v>
      </c>
      <c r="I1386" s="2">
        <v>45215</v>
      </c>
      <c r="J1386" s="3">
        <f>IFERROR(VLOOKUP(I1386,$A$1:$G$1610,3,FALSE),J1385)</f>
        <v>17.21</v>
      </c>
      <c r="K1386" s="3">
        <f>IFERROR(VLOOKUP(I1386,$A$1:$G$1610,7,FALSE),K1385)</f>
        <v>-8.817360775222248</v>
      </c>
      <c r="L1386" s="5">
        <f t="shared" si="85"/>
        <v>0</v>
      </c>
    </row>
    <row r="1387" spans="1:12" x14ac:dyDescent="0.25">
      <c r="A1387" s="2">
        <v>45770</v>
      </c>
      <c r="B1387" s="3">
        <v>28.45</v>
      </c>
      <c r="C1387" s="3">
        <f t="shared" si="86"/>
        <v>28.45</v>
      </c>
      <c r="D1387" s="3">
        <v>5375.86</v>
      </c>
      <c r="E1387" s="3">
        <f t="shared" si="87"/>
        <v>5375.86</v>
      </c>
      <c r="F1387" s="3">
        <f>MAX($E$2:E1387)</f>
        <v>6144.15</v>
      </c>
      <c r="G1387" s="3">
        <f t="shared" si="84"/>
        <v>-12.504414768519649</v>
      </c>
      <c r="I1387" s="2">
        <v>45216</v>
      </c>
      <c r="J1387" s="3">
        <f>IFERROR(VLOOKUP(I1387,$A$1:$G$1610,3,FALSE),J1386)</f>
        <v>17.88</v>
      </c>
      <c r="K1387" s="3">
        <f>IFERROR(VLOOKUP(I1387,$A$1:$G$1610,7,FALSE),K1386)</f>
        <v>-8.8263255332988759</v>
      </c>
      <c r="L1387" s="5">
        <f t="shared" si="85"/>
        <v>0</v>
      </c>
    </row>
    <row r="1388" spans="1:12" x14ac:dyDescent="0.25">
      <c r="A1388" s="2">
        <v>45771</v>
      </c>
      <c r="B1388" s="3">
        <v>26.47</v>
      </c>
      <c r="C1388" s="3">
        <f t="shared" si="86"/>
        <v>26.47</v>
      </c>
      <c r="D1388" s="3">
        <v>5484.77</v>
      </c>
      <c r="E1388" s="3">
        <f t="shared" si="87"/>
        <v>5484.77</v>
      </c>
      <c r="F1388" s="3">
        <f>MAX($E$2:E1388)</f>
        <v>6144.15</v>
      </c>
      <c r="G1388" s="3">
        <f t="shared" si="84"/>
        <v>-10.73183434649218</v>
      </c>
      <c r="I1388" s="2">
        <v>45217</v>
      </c>
      <c r="J1388" s="3">
        <f>IFERROR(VLOOKUP(I1388,$A$1:$G$1610,3,FALSE),J1387)</f>
        <v>19.22</v>
      </c>
      <c r="K1388" s="3">
        <f>IFERROR(VLOOKUP(I1388,$A$1:$G$1610,7,FALSE),K1387)</f>
        <v>-10.048034424671014</v>
      </c>
      <c r="L1388" s="5">
        <f t="shared" si="85"/>
        <v>1</v>
      </c>
    </row>
    <row r="1389" spans="1:12" x14ac:dyDescent="0.25">
      <c r="A1389" s="2">
        <v>45772</v>
      </c>
      <c r="B1389" s="3">
        <v>24.84</v>
      </c>
      <c r="C1389" s="3">
        <f t="shared" si="86"/>
        <v>24.84</v>
      </c>
      <c r="D1389" s="3">
        <v>5525.21</v>
      </c>
      <c r="E1389" s="3">
        <f t="shared" si="87"/>
        <v>5525.21</v>
      </c>
      <c r="F1389" s="3">
        <f>MAX($E$2:E1389)</f>
        <v>6144.15</v>
      </c>
      <c r="G1389" s="3">
        <f t="shared" si="84"/>
        <v>-10.073647290512106</v>
      </c>
      <c r="I1389" s="2">
        <v>45218</v>
      </c>
      <c r="J1389" s="3">
        <f>IFERROR(VLOOKUP(I1389,$A$1:$G$1610,3,FALSE),J1388)</f>
        <v>21.4</v>
      </c>
      <c r="K1389" s="3">
        <f>IFERROR(VLOOKUP(I1389,$A$1:$G$1610,7,FALSE),K1388)</f>
        <v>-10.811081274913697</v>
      </c>
      <c r="L1389" s="5">
        <f t="shared" si="85"/>
        <v>1</v>
      </c>
    </row>
    <row r="1390" spans="1:12" x14ac:dyDescent="0.25">
      <c r="A1390" s="2">
        <v>45775</v>
      </c>
      <c r="B1390" s="3">
        <v>25.15</v>
      </c>
      <c r="C1390" s="3">
        <f t="shared" si="86"/>
        <v>25.15</v>
      </c>
      <c r="D1390" s="3">
        <v>5528.75</v>
      </c>
      <c r="E1390" s="3">
        <f t="shared" si="87"/>
        <v>5528.75</v>
      </c>
      <c r="F1390" s="3">
        <f>MAX($E$2:E1390)</f>
        <v>6144.15</v>
      </c>
      <c r="G1390" s="3">
        <f t="shared" si="84"/>
        <v>-10.016031509647384</v>
      </c>
      <c r="I1390" s="2">
        <v>45219</v>
      </c>
      <c r="J1390" s="3">
        <f>IFERROR(VLOOKUP(I1390,$A$1:$G$1610,3,FALSE),J1389)</f>
        <v>21.71</v>
      </c>
      <c r="K1390" s="3">
        <f>IFERROR(VLOOKUP(I1390,$A$1:$G$1610,7,FALSE),K1389)</f>
        <v>-11.933552379205107</v>
      </c>
      <c r="L1390" s="5">
        <f t="shared" si="85"/>
        <v>1</v>
      </c>
    </row>
    <row r="1391" spans="1:12" x14ac:dyDescent="0.25">
      <c r="A1391" s="2">
        <v>45776</v>
      </c>
      <c r="B1391" s="3">
        <v>24.17</v>
      </c>
      <c r="C1391" s="3">
        <f t="shared" si="86"/>
        <v>24.17</v>
      </c>
      <c r="D1391" s="3">
        <v>5560.83</v>
      </c>
      <c r="E1391" s="3">
        <f t="shared" si="87"/>
        <v>5560.83</v>
      </c>
      <c r="F1391" s="3">
        <f>MAX($E$2:E1391)</f>
        <v>6144.15</v>
      </c>
      <c r="G1391" s="3">
        <f t="shared" si="84"/>
        <v>-9.4939088401162035</v>
      </c>
      <c r="I1391" s="2">
        <v>45220</v>
      </c>
      <c r="J1391" s="3">
        <f>IFERROR(VLOOKUP(I1391,$A$1:$G$1610,3,FALSE),J1390)</f>
        <v>21.71</v>
      </c>
      <c r="K1391" s="3">
        <f>IFERROR(VLOOKUP(I1391,$A$1:$G$1610,7,FALSE),K1390)</f>
        <v>-11.933552379205107</v>
      </c>
      <c r="L1391" s="5">
        <f t="shared" si="85"/>
        <v>1</v>
      </c>
    </row>
    <row r="1392" spans="1:12" x14ac:dyDescent="0.25">
      <c r="A1392" s="2">
        <v>45777</v>
      </c>
      <c r="B1392" s="3">
        <v>24.7</v>
      </c>
      <c r="C1392" s="3">
        <f t="shared" si="86"/>
        <v>24.7</v>
      </c>
      <c r="D1392" s="3">
        <v>5569.06</v>
      </c>
      <c r="E1392" s="3">
        <f t="shared" si="87"/>
        <v>5569.06</v>
      </c>
      <c r="F1392" s="3">
        <f>MAX($E$2:E1392)</f>
        <v>6144.15</v>
      </c>
      <c r="G1392" s="3">
        <f t="shared" si="84"/>
        <v>-9.3599602874278673</v>
      </c>
      <c r="I1392" s="2">
        <v>45221</v>
      </c>
      <c r="J1392" s="3">
        <f>IFERROR(VLOOKUP(I1392,$A$1:$G$1610,3,FALSE),J1391)</f>
        <v>21.71</v>
      </c>
      <c r="K1392" s="3">
        <f>IFERROR(VLOOKUP(I1392,$A$1:$G$1610,7,FALSE),K1391)</f>
        <v>-11.933552379205107</v>
      </c>
      <c r="L1392" s="5">
        <f t="shared" si="85"/>
        <v>1</v>
      </c>
    </row>
    <row r="1393" spans="1:12" x14ac:dyDescent="0.25">
      <c r="A1393" s="2">
        <v>45778</v>
      </c>
      <c r="B1393" s="3">
        <v>24.6</v>
      </c>
      <c r="C1393" s="3">
        <f t="shared" si="86"/>
        <v>24.6</v>
      </c>
      <c r="D1393" s="3">
        <v>5604.14</v>
      </c>
      <c r="E1393" s="3">
        <f t="shared" si="87"/>
        <v>5604.14</v>
      </c>
      <c r="F1393" s="3">
        <f>MAX($E$2:E1393)</f>
        <v>6144.15</v>
      </c>
      <c r="G1393" s="3">
        <f t="shared" si="84"/>
        <v>-8.7890106849604805</v>
      </c>
      <c r="I1393" s="2">
        <v>45222</v>
      </c>
      <c r="J1393" s="3">
        <f>IFERROR(VLOOKUP(I1393,$A$1:$G$1610,3,FALSE),J1392)</f>
        <v>20.37</v>
      </c>
      <c r="K1393" s="3">
        <f>IFERROR(VLOOKUP(I1393,$A$1:$G$1610,7,FALSE),K1392)</f>
        <v>-12.08199209433428</v>
      </c>
      <c r="L1393" s="5">
        <f t="shared" si="85"/>
        <v>1</v>
      </c>
    </row>
    <row r="1394" spans="1:12" x14ac:dyDescent="0.25">
      <c r="A1394" s="2">
        <v>45779</v>
      </c>
      <c r="B1394" s="3">
        <v>22.68</v>
      </c>
      <c r="C1394" s="3">
        <f t="shared" si="86"/>
        <v>22.68</v>
      </c>
      <c r="D1394" s="3">
        <v>5686.67</v>
      </c>
      <c r="E1394" s="3">
        <f t="shared" si="87"/>
        <v>5686.67</v>
      </c>
      <c r="F1394" s="3">
        <f>MAX($E$2:E1394)</f>
        <v>6144.15</v>
      </c>
      <c r="G1394" s="3">
        <f t="shared" si="84"/>
        <v>-7.4457817598854126</v>
      </c>
      <c r="I1394" s="2">
        <v>45223</v>
      </c>
      <c r="J1394" s="3">
        <f>IFERROR(VLOOKUP(I1394,$A$1:$G$1610,3,FALSE),J1393)</f>
        <v>18.97</v>
      </c>
      <c r="K1394" s="3">
        <f>IFERROR(VLOOKUP(I1394,$A$1:$G$1610,7,FALSE),K1393)</f>
        <v>-11.443200960688495</v>
      </c>
      <c r="L1394" s="5">
        <f t="shared" si="85"/>
        <v>1</v>
      </c>
    </row>
    <row r="1395" spans="1:12" x14ac:dyDescent="0.25">
      <c r="A1395" s="2">
        <v>45782</v>
      </c>
      <c r="B1395" s="3">
        <v>23.64</v>
      </c>
      <c r="C1395" s="3">
        <f t="shared" si="86"/>
        <v>23.64</v>
      </c>
      <c r="D1395" s="3">
        <v>5650.38</v>
      </c>
      <c r="E1395" s="3">
        <f t="shared" si="87"/>
        <v>5650.38</v>
      </c>
      <c r="F1395" s="3">
        <f>MAX($E$2:E1395)</f>
        <v>6144.15</v>
      </c>
      <c r="G1395" s="3">
        <f t="shared" si="84"/>
        <v>-8.0364248919704036</v>
      </c>
      <c r="I1395" s="2">
        <v>45224</v>
      </c>
      <c r="J1395" s="3">
        <f>IFERROR(VLOOKUP(I1395,$A$1:$G$1610,3,FALSE),J1394)</f>
        <v>20.190000000000001</v>
      </c>
      <c r="K1395" s="3">
        <f>IFERROR(VLOOKUP(I1395,$A$1:$G$1610,7,FALSE),K1394)</f>
        <v>-12.713069366379237</v>
      </c>
      <c r="L1395" s="5">
        <f t="shared" si="85"/>
        <v>1</v>
      </c>
    </row>
    <row r="1396" spans="1:12" x14ac:dyDescent="0.25">
      <c r="A1396" s="2">
        <v>45783</v>
      </c>
      <c r="B1396" s="3">
        <v>24.76</v>
      </c>
      <c r="C1396" s="3">
        <f t="shared" si="86"/>
        <v>24.76</v>
      </c>
      <c r="D1396" s="3">
        <v>5606.91</v>
      </c>
      <c r="E1396" s="3">
        <f t="shared" si="87"/>
        <v>5606.91</v>
      </c>
      <c r="F1396" s="3">
        <f>MAX($E$2:E1396)</f>
        <v>6144.15</v>
      </c>
      <c r="G1396" s="3">
        <f t="shared" si="84"/>
        <v>-8.7439271502160558</v>
      </c>
      <c r="I1396" s="2">
        <v>45225</v>
      </c>
      <c r="J1396" s="3">
        <f>IFERROR(VLOOKUP(I1396,$A$1:$G$1610,3,FALSE),J1395)</f>
        <v>20.68</v>
      </c>
      <c r="K1396" s="3">
        <f>IFERROR(VLOOKUP(I1396,$A$1:$G$1610,7,FALSE),K1395)</f>
        <v>-13.745892889904448</v>
      </c>
      <c r="L1396" s="5">
        <f t="shared" si="85"/>
        <v>1</v>
      </c>
    </row>
    <row r="1397" spans="1:12" x14ac:dyDescent="0.25">
      <c r="A1397" s="2">
        <v>45784</v>
      </c>
      <c r="B1397" s="3">
        <v>23.55</v>
      </c>
      <c r="C1397" s="3">
        <f t="shared" si="86"/>
        <v>23.55</v>
      </c>
      <c r="D1397" s="3">
        <v>5631.28</v>
      </c>
      <c r="E1397" s="3">
        <f t="shared" si="87"/>
        <v>5631.28</v>
      </c>
      <c r="F1397" s="3">
        <f>MAX($E$2:E1397)</f>
        <v>6144.15</v>
      </c>
      <c r="G1397" s="3">
        <f t="shared" si="84"/>
        <v>-8.3472896983309308</v>
      </c>
      <c r="I1397" s="2">
        <v>45226</v>
      </c>
      <c r="J1397" s="3">
        <f>IFERROR(VLOOKUP(I1397,$A$1:$G$1610,3,FALSE),J1396)</f>
        <v>21.27</v>
      </c>
      <c r="K1397" s="3">
        <f>IFERROR(VLOOKUP(I1397,$A$1:$G$1610,7,FALSE),K1396)</f>
        <v>-14.159939623396777</v>
      </c>
      <c r="L1397" s="5">
        <f t="shared" si="85"/>
        <v>1</v>
      </c>
    </row>
    <row r="1398" spans="1:12" x14ac:dyDescent="0.25">
      <c r="A1398" s="2">
        <v>45785</v>
      </c>
      <c r="B1398" s="3">
        <v>22.48</v>
      </c>
      <c r="C1398" s="3">
        <f t="shared" si="86"/>
        <v>22.48</v>
      </c>
      <c r="D1398" s="3">
        <v>5663.94</v>
      </c>
      <c r="E1398" s="3">
        <f t="shared" si="87"/>
        <v>5663.94</v>
      </c>
      <c r="F1398" s="3">
        <f>MAX($E$2:E1398)</f>
        <v>6144.15</v>
      </c>
      <c r="G1398" s="3">
        <f t="shared" si="84"/>
        <v>-7.8157271550987533</v>
      </c>
      <c r="I1398" s="2">
        <v>45227</v>
      </c>
      <c r="J1398" s="3">
        <f>IFERROR(VLOOKUP(I1398,$A$1:$G$1610,3,FALSE),J1397)</f>
        <v>21.27</v>
      </c>
      <c r="K1398" s="3">
        <f>IFERROR(VLOOKUP(I1398,$A$1:$G$1610,7,FALSE),K1397)</f>
        <v>-14.159939623396777</v>
      </c>
      <c r="L1398" s="5">
        <f t="shared" si="85"/>
        <v>1</v>
      </c>
    </row>
    <row r="1399" spans="1:12" x14ac:dyDescent="0.25">
      <c r="A1399" s="2">
        <v>45786</v>
      </c>
      <c r="B1399" s="3">
        <v>21.9</v>
      </c>
      <c r="C1399" s="3">
        <f t="shared" si="86"/>
        <v>21.9</v>
      </c>
      <c r="D1399" s="3">
        <v>5659.91</v>
      </c>
      <c r="E1399" s="3">
        <f t="shared" si="87"/>
        <v>5659.91</v>
      </c>
      <c r="F1399" s="3">
        <f>MAX($E$2:E1399)</f>
        <v>6144.15</v>
      </c>
      <c r="G1399" s="3">
        <f t="shared" si="84"/>
        <v>-7.8813180016763882</v>
      </c>
      <c r="I1399" s="2">
        <v>45228</v>
      </c>
      <c r="J1399" s="3">
        <f>IFERROR(VLOOKUP(I1399,$A$1:$G$1610,3,FALSE),J1398)</f>
        <v>21.27</v>
      </c>
      <c r="K1399" s="3">
        <f>IFERROR(VLOOKUP(I1399,$A$1:$G$1610,7,FALSE),K1398)</f>
        <v>-14.159939623396777</v>
      </c>
      <c r="L1399" s="5">
        <f t="shared" si="85"/>
        <v>1</v>
      </c>
    </row>
    <row r="1400" spans="1:12" x14ac:dyDescent="0.25">
      <c r="A1400" s="2">
        <v>45789</v>
      </c>
      <c r="B1400" s="3">
        <v>18.39</v>
      </c>
      <c r="C1400" s="3">
        <f t="shared" si="86"/>
        <v>18.39</v>
      </c>
      <c r="D1400" s="3">
        <v>5844.19</v>
      </c>
      <c r="E1400" s="3">
        <f t="shared" si="87"/>
        <v>5844.19</v>
      </c>
      <c r="F1400" s="3">
        <f>MAX($E$2:E1400)</f>
        <v>6144.15</v>
      </c>
      <c r="G1400" s="3">
        <f t="shared" si="84"/>
        <v>-4.8820422678482789</v>
      </c>
      <c r="I1400" s="2">
        <v>45229</v>
      </c>
      <c r="J1400" s="3">
        <f>IFERROR(VLOOKUP(I1400,$A$1:$G$1610,3,FALSE),J1399)</f>
        <v>19.75</v>
      </c>
      <c r="K1400" s="3">
        <f>IFERROR(VLOOKUP(I1400,$A$1:$G$1610,7,FALSE),K1399)</f>
        <v>-13.1289924445853</v>
      </c>
      <c r="L1400" s="5">
        <f t="shared" si="85"/>
        <v>1</v>
      </c>
    </row>
    <row r="1401" spans="1:12" x14ac:dyDescent="0.25">
      <c r="A1401" s="2">
        <v>45790</v>
      </c>
      <c r="B1401" s="3">
        <v>18.22</v>
      </c>
      <c r="C1401" s="3">
        <f t="shared" si="86"/>
        <v>18.22</v>
      </c>
      <c r="D1401" s="3">
        <v>5886.55</v>
      </c>
      <c r="E1401" s="3">
        <f t="shared" si="87"/>
        <v>5886.55</v>
      </c>
      <c r="F1401" s="3">
        <f>MAX($E$2:E1401)</f>
        <v>6144.15</v>
      </c>
      <c r="G1401" s="3">
        <f t="shared" si="84"/>
        <v>-4.1926059747890179</v>
      </c>
      <c r="I1401" s="2">
        <v>45230</v>
      </c>
      <c r="J1401" s="3">
        <f>IFERROR(VLOOKUP(I1401,$A$1:$G$1610,3,FALSE),J1400)</f>
        <v>18.14</v>
      </c>
      <c r="K1401" s="3">
        <f>IFERROR(VLOOKUP(I1401,$A$1:$G$1610,7,FALSE),K1400)</f>
        <v>-12.566505995963778</v>
      </c>
      <c r="L1401" s="5">
        <f t="shared" si="85"/>
        <v>1</v>
      </c>
    </row>
    <row r="1402" spans="1:12" x14ac:dyDescent="0.25">
      <c r="A1402" s="2">
        <v>45791</v>
      </c>
      <c r="B1402" s="3">
        <v>18.62</v>
      </c>
      <c r="C1402" s="3">
        <f t="shared" si="86"/>
        <v>18.62</v>
      </c>
      <c r="D1402" s="3">
        <v>5892.58</v>
      </c>
      <c r="E1402" s="3">
        <f t="shared" si="87"/>
        <v>5892.58</v>
      </c>
      <c r="F1402" s="3">
        <f>MAX($E$2:E1402)</f>
        <v>6144.15</v>
      </c>
      <c r="G1402" s="3">
        <f t="shared" si="84"/>
        <v>-4.0944638395872452</v>
      </c>
      <c r="I1402" s="2">
        <v>45231</v>
      </c>
      <c r="J1402" s="3">
        <f>IFERROR(VLOOKUP(I1402,$A$1:$G$1610,3,FALSE),J1401)</f>
        <v>16.87</v>
      </c>
      <c r="K1402" s="3">
        <f>IFERROR(VLOOKUP(I1402,$A$1:$G$1610,7,FALSE),K1401)</f>
        <v>-11.647931017229029</v>
      </c>
      <c r="L1402" s="5">
        <f t="shared" si="85"/>
        <v>1</v>
      </c>
    </row>
    <row r="1403" spans="1:12" x14ac:dyDescent="0.25">
      <c r="A1403" s="2">
        <v>45792</v>
      </c>
      <c r="B1403" s="3">
        <v>17.829999999999998</v>
      </c>
      <c r="C1403" s="3">
        <f t="shared" si="86"/>
        <v>17.829999999999998</v>
      </c>
      <c r="D1403" s="3">
        <v>5916.93</v>
      </c>
      <c r="E1403" s="3">
        <f t="shared" si="87"/>
        <v>5916.93</v>
      </c>
      <c r="F1403" s="3">
        <f>MAX($E$2:E1403)</f>
        <v>6144.15</v>
      </c>
      <c r="G1403" s="3">
        <f t="shared" si="84"/>
        <v>-3.6981519005883543</v>
      </c>
      <c r="I1403" s="2">
        <v>45232</v>
      </c>
      <c r="J1403" s="3">
        <f>IFERROR(VLOOKUP(I1403,$A$1:$G$1610,3,FALSE),J1402)</f>
        <v>15.66</v>
      </c>
      <c r="K1403" s="3">
        <f>IFERROR(VLOOKUP(I1403,$A$1:$G$1610,7,FALSE),K1402)</f>
        <v>-9.9817369114532202</v>
      </c>
      <c r="L1403" s="5">
        <f t="shared" si="85"/>
        <v>0</v>
      </c>
    </row>
    <row r="1404" spans="1:12" x14ac:dyDescent="0.25">
      <c r="A1404" s="2">
        <v>45793</v>
      </c>
      <c r="B1404" s="3">
        <v>17.239999999999998</v>
      </c>
      <c r="C1404" s="3">
        <f t="shared" si="86"/>
        <v>17.239999999999998</v>
      </c>
      <c r="D1404" s="3">
        <v>5958.38</v>
      </c>
      <c r="E1404" s="3">
        <f t="shared" si="87"/>
        <v>5958.38</v>
      </c>
      <c r="F1404" s="3">
        <f>MAX($E$2:E1404)</f>
        <v>6144.15</v>
      </c>
      <c r="G1404" s="3">
        <f t="shared" si="84"/>
        <v>-3.0235264438530884</v>
      </c>
      <c r="I1404" s="2">
        <v>45233</v>
      </c>
      <c r="J1404" s="3">
        <f>IFERROR(VLOOKUP(I1404,$A$1:$G$1610,3,FALSE),J1403)</f>
        <v>14.91</v>
      </c>
      <c r="K1404" s="3">
        <f>IFERROR(VLOOKUP(I1404,$A$1:$G$1610,7,FALSE),K1403)</f>
        <v>-9.1361308938072323</v>
      </c>
      <c r="L1404" s="5">
        <f t="shared" si="85"/>
        <v>0</v>
      </c>
    </row>
    <row r="1405" spans="1:12" x14ac:dyDescent="0.25">
      <c r="A1405" s="2">
        <v>45796</v>
      </c>
      <c r="B1405" s="3">
        <v>18.14</v>
      </c>
      <c r="C1405" s="3">
        <f t="shared" si="86"/>
        <v>18.14</v>
      </c>
      <c r="D1405" s="3">
        <v>5963.6</v>
      </c>
      <c r="E1405" s="3">
        <f t="shared" si="87"/>
        <v>5963.6</v>
      </c>
      <c r="F1405" s="3">
        <f>MAX($E$2:E1405)</f>
        <v>6144.15</v>
      </c>
      <c r="G1405" s="3">
        <f t="shared" si="84"/>
        <v>-2.9385675805440834</v>
      </c>
      <c r="I1405" s="2">
        <v>45234</v>
      </c>
      <c r="J1405" s="3">
        <f>IFERROR(VLOOKUP(I1405,$A$1:$G$1610,3,FALSE),J1404)</f>
        <v>14.91</v>
      </c>
      <c r="K1405" s="3">
        <f>IFERROR(VLOOKUP(I1405,$A$1:$G$1610,7,FALSE),K1404)</f>
        <v>-9.1361308938072323</v>
      </c>
      <c r="L1405" s="5">
        <f t="shared" si="85"/>
        <v>0</v>
      </c>
    </row>
    <row r="1406" spans="1:12" x14ac:dyDescent="0.25">
      <c r="A1406" s="2">
        <v>45797</v>
      </c>
      <c r="B1406" s="3">
        <v>18.09</v>
      </c>
      <c r="C1406" s="3">
        <f t="shared" si="86"/>
        <v>18.09</v>
      </c>
      <c r="D1406" s="3">
        <v>5940.46</v>
      </c>
      <c r="E1406" s="3">
        <f t="shared" si="87"/>
        <v>5940.46</v>
      </c>
      <c r="F1406" s="3">
        <f>MAX($E$2:E1406)</f>
        <v>6144.15</v>
      </c>
      <c r="G1406" s="3">
        <f t="shared" si="84"/>
        <v>-3.3151859899253697</v>
      </c>
      <c r="I1406" s="2">
        <v>45235</v>
      </c>
      <c r="J1406" s="3">
        <f>IFERROR(VLOOKUP(I1406,$A$1:$G$1610,3,FALSE),J1405)</f>
        <v>14.91</v>
      </c>
      <c r="K1406" s="3">
        <f>IFERROR(VLOOKUP(I1406,$A$1:$G$1610,7,FALSE),K1405)</f>
        <v>-9.1361308938072323</v>
      </c>
      <c r="L1406" s="5">
        <f t="shared" si="85"/>
        <v>0</v>
      </c>
    </row>
    <row r="1407" spans="1:12" x14ac:dyDescent="0.25">
      <c r="A1407" s="2">
        <v>45798</v>
      </c>
      <c r="B1407" s="3">
        <v>20.87</v>
      </c>
      <c r="C1407" s="3">
        <f t="shared" si="86"/>
        <v>20.87</v>
      </c>
      <c r="D1407" s="3">
        <v>5844.61</v>
      </c>
      <c r="E1407" s="3">
        <f t="shared" si="87"/>
        <v>5844.61</v>
      </c>
      <c r="F1407" s="3">
        <f>MAX($E$2:E1407)</f>
        <v>6144.15</v>
      </c>
      <c r="G1407" s="3">
        <f t="shared" si="84"/>
        <v>-4.8752064972372091</v>
      </c>
      <c r="I1407" s="2">
        <v>45236</v>
      </c>
      <c r="J1407" s="3">
        <f>IFERROR(VLOOKUP(I1407,$A$1:$G$1610,3,FALSE),J1406)</f>
        <v>14.89</v>
      </c>
      <c r="K1407" s="3">
        <f>IFERROR(VLOOKUP(I1407,$A$1:$G$1610,7,FALSE),K1406)</f>
        <v>-8.9768500758877359</v>
      </c>
      <c r="L1407" s="5">
        <f t="shared" si="85"/>
        <v>0</v>
      </c>
    </row>
    <row r="1408" spans="1:12" x14ac:dyDescent="0.25">
      <c r="A1408" s="2">
        <v>45799</v>
      </c>
      <c r="B1408" s="3">
        <v>20.28</v>
      </c>
      <c r="C1408" s="3">
        <f t="shared" si="86"/>
        <v>20.28</v>
      </c>
      <c r="D1408" s="3">
        <v>5842.01</v>
      </c>
      <c r="E1408" s="3">
        <f t="shared" si="87"/>
        <v>5842.01</v>
      </c>
      <c r="F1408" s="3">
        <f>MAX($E$2:E1408)</f>
        <v>6144.15</v>
      </c>
      <c r="G1408" s="3">
        <f t="shared" si="84"/>
        <v>-4.9175231724485808</v>
      </c>
      <c r="I1408" s="2">
        <v>45237</v>
      </c>
      <c r="J1408" s="3">
        <f>IFERROR(VLOOKUP(I1408,$A$1:$G$1610,3,FALSE),J1407)</f>
        <v>14.81</v>
      </c>
      <c r="K1408" s="3">
        <f>IFERROR(VLOOKUP(I1408,$A$1:$G$1610,7,FALSE),K1407)</f>
        <v>-8.718331470887474</v>
      </c>
      <c r="L1408" s="5">
        <f t="shared" si="85"/>
        <v>0</v>
      </c>
    </row>
    <row r="1409" spans="1:12" x14ac:dyDescent="0.25">
      <c r="A1409" s="2">
        <v>45800</v>
      </c>
      <c r="B1409" s="3">
        <v>22.29</v>
      </c>
      <c r="C1409" s="3">
        <f t="shared" si="86"/>
        <v>22.29</v>
      </c>
      <c r="D1409" s="3">
        <v>5802.82</v>
      </c>
      <c r="E1409" s="3">
        <f t="shared" si="87"/>
        <v>5802.82</v>
      </c>
      <c r="F1409" s="3">
        <f>MAX($E$2:E1409)</f>
        <v>6144.15</v>
      </c>
      <c r="G1409" s="3">
        <f t="shared" si="84"/>
        <v>-5.5553656730385805</v>
      </c>
      <c r="I1409" s="2">
        <v>45238</v>
      </c>
      <c r="J1409" s="3">
        <f>IFERROR(VLOOKUP(I1409,$A$1:$G$1610,3,FALSE),J1408)</f>
        <v>14.45</v>
      </c>
      <c r="K1409" s="3">
        <f>IFERROR(VLOOKUP(I1409,$A$1:$G$1610,7,FALSE),K1408)</f>
        <v>-8.6265990626615867</v>
      </c>
      <c r="L1409" s="5">
        <f t="shared" si="85"/>
        <v>0</v>
      </c>
    </row>
    <row r="1410" spans="1:12" x14ac:dyDescent="0.25">
      <c r="A1410" s="2">
        <v>45803</v>
      </c>
      <c r="B1410" s="3">
        <v>20.57</v>
      </c>
      <c r="C1410" s="3">
        <f t="shared" si="86"/>
        <v>20.57</v>
      </c>
      <c r="E1410" s="3">
        <f t="shared" si="87"/>
        <v>5802.82</v>
      </c>
      <c r="F1410" s="3">
        <f>MAX($E$2:E1410)</f>
        <v>6144.15</v>
      </c>
      <c r="G1410" s="3">
        <f t="shared" ref="G1410:G1473" si="88">(E1410-F1410)/F1410*100</f>
        <v>-5.5553656730385805</v>
      </c>
      <c r="I1410" s="2">
        <v>45239</v>
      </c>
      <c r="J1410" s="3">
        <f>IFERROR(VLOOKUP(I1410,$A$1:$G$1610,3,FALSE),J1409)</f>
        <v>15.29</v>
      </c>
      <c r="K1410" s="3">
        <f>IFERROR(VLOOKUP(I1410,$A$1:$G$1610,7,FALSE),K1409)</f>
        <v>-9.3652534316259981</v>
      </c>
      <c r="L1410" s="5">
        <f t="shared" ref="L1410:L1473" si="89">IF(OR(J1410&gt;=30,K1410&lt;-10),1,0)</f>
        <v>0</v>
      </c>
    </row>
    <row r="1411" spans="1:12" x14ac:dyDescent="0.25">
      <c r="A1411" s="2">
        <v>45804</v>
      </c>
      <c r="B1411" s="3">
        <v>18.96</v>
      </c>
      <c r="C1411" s="3">
        <f t="shared" ref="C1411:C1474" si="90">IF(B1411="",B1410,B1411)</f>
        <v>18.96</v>
      </c>
      <c r="D1411" s="3">
        <v>5921.54</v>
      </c>
      <c r="E1411" s="3">
        <f t="shared" si="87"/>
        <v>5921.54</v>
      </c>
      <c r="F1411" s="3">
        <f>MAX($E$2:E1411)</f>
        <v>6144.15</v>
      </c>
      <c r="G1411" s="3">
        <f t="shared" si="88"/>
        <v>-3.6231211803097207</v>
      </c>
      <c r="I1411" s="2">
        <v>45240</v>
      </c>
      <c r="J1411" s="3">
        <f>IFERROR(VLOOKUP(I1411,$A$1:$G$1610,3,FALSE),J1410)</f>
        <v>14.17</v>
      </c>
      <c r="K1411" s="3">
        <f>IFERROR(VLOOKUP(I1411,$A$1:$G$1610,7,FALSE),K1410)</f>
        <v>-7.9498640692496414</v>
      </c>
      <c r="L1411" s="5">
        <f t="shared" si="89"/>
        <v>0</v>
      </c>
    </row>
    <row r="1412" spans="1:12" x14ac:dyDescent="0.25">
      <c r="A1412" s="2">
        <v>45805</v>
      </c>
      <c r="B1412" s="3">
        <v>19.309999999999999</v>
      </c>
      <c r="C1412" s="3">
        <f t="shared" si="90"/>
        <v>19.309999999999999</v>
      </c>
      <c r="D1412" s="3">
        <v>5888.55</v>
      </c>
      <c r="E1412" s="3">
        <f t="shared" si="87"/>
        <v>5888.55</v>
      </c>
      <c r="F1412" s="3">
        <f>MAX($E$2:E1412)</f>
        <v>6144.15</v>
      </c>
      <c r="G1412" s="3">
        <f t="shared" si="88"/>
        <v>-4.1600546861648793</v>
      </c>
      <c r="I1412" s="2">
        <v>45241</v>
      </c>
      <c r="J1412" s="3">
        <f>IFERROR(VLOOKUP(I1412,$A$1:$G$1610,3,FALSE),J1411)</f>
        <v>14.17</v>
      </c>
      <c r="K1412" s="3">
        <f>IFERROR(VLOOKUP(I1412,$A$1:$G$1610,7,FALSE),K1411)</f>
        <v>-7.9498640692496414</v>
      </c>
      <c r="L1412" s="5">
        <f t="shared" si="89"/>
        <v>0</v>
      </c>
    </row>
    <row r="1413" spans="1:12" x14ac:dyDescent="0.25">
      <c r="A1413" s="2">
        <v>45806</v>
      </c>
      <c r="B1413" s="3">
        <v>19.18</v>
      </c>
      <c r="C1413" s="3">
        <f t="shared" si="90"/>
        <v>19.18</v>
      </c>
      <c r="D1413" s="3">
        <v>5912.17</v>
      </c>
      <c r="E1413" s="3">
        <f t="shared" ref="E1413:E1476" si="91">IF(D1413="",D1412,D1413)</f>
        <v>5912.17</v>
      </c>
      <c r="F1413" s="3">
        <f>MAX($E$2:E1413)</f>
        <v>6144.15</v>
      </c>
      <c r="G1413" s="3">
        <f t="shared" si="88"/>
        <v>-3.7756239675138068</v>
      </c>
      <c r="I1413" s="2">
        <v>45242</v>
      </c>
      <c r="J1413" s="3">
        <f>IFERROR(VLOOKUP(I1413,$A$1:$G$1610,3,FALSE),J1412)</f>
        <v>14.17</v>
      </c>
      <c r="K1413" s="3">
        <f>IFERROR(VLOOKUP(I1413,$A$1:$G$1610,7,FALSE),K1412)</f>
        <v>-7.9498640692496414</v>
      </c>
      <c r="L1413" s="5">
        <f t="shared" si="89"/>
        <v>0</v>
      </c>
    </row>
    <row r="1414" spans="1:12" x14ac:dyDescent="0.25">
      <c r="A1414" s="2">
        <v>45807</v>
      </c>
      <c r="B1414" s="3">
        <v>18.57</v>
      </c>
      <c r="C1414" s="3">
        <f t="shared" si="90"/>
        <v>18.57</v>
      </c>
      <c r="D1414" s="3">
        <v>5911.69</v>
      </c>
      <c r="E1414" s="3">
        <f t="shared" si="91"/>
        <v>5911.69</v>
      </c>
      <c r="F1414" s="3">
        <f>MAX($E$2:E1414)</f>
        <v>6144.15</v>
      </c>
      <c r="G1414" s="3">
        <f t="shared" si="88"/>
        <v>-3.7834362767836085</v>
      </c>
      <c r="I1414" s="2">
        <v>45243</v>
      </c>
      <c r="J1414" s="3">
        <f>IFERROR(VLOOKUP(I1414,$A$1:$G$1610,3,FALSE),J1413)</f>
        <v>14.76</v>
      </c>
      <c r="K1414" s="3">
        <f>IFERROR(VLOOKUP(I1414,$A$1:$G$1610,7,FALSE),K1413)</f>
        <v>-8.0267942025118035</v>
      </c>
      <c r="L1414" s="5">
        <f t="shared" si="89"/>
        <v>0</v>
      </c>
    </row>
    <row r="1415" spans="1:12" x14ac:dyDescent="0.25">
      <c r="A1415" s="2">
        <v>45810</v>
      </c>
      <c r="B1415" s="3">
        <v>18.36</v>
      </c>
      <c r="C1415" s="3">
        <f t="shared" si="90"/>
        <v>18.36</v>
      </c>
      <c r="D1415" s="3">
        <v>5935.94</v>
      </c>
      <c r="E1415" s="3">
        <f t="shared" si="91"/>
        <v>5935.94</v>
      </c>
      <c r="F1415" s="3">
        <f>MAX($E$2:E1415)</f>
        <v>6144.15</v>
      </c>
      <c r="G1415" s="3">
        <f t="shared" si="88"/>
        <v>-3.38875190221593</v>
      </c>
      <c r="I1415" s="2">
        <v>45244</v>
      </c>
      <c r="J1415" s="3">
        <f>IFERROR(VLOOKUP(I1415,$A$1:$G$1610,3,FALSE),J1414)</f>
        <v>14.16</v>
      </c>
      <c r="K1415" s="3">
        <f>IFERROR(VLOOKUP(I1415,$A$1:$G$1610,7,FALSE),K1414)</f>
        <v>-6.2724118951915653</v>
      </c>
      <c r="L1415" s="5">
        <f t="shared" si="89"/>
        <v>0</v>
      </c>
    </row>
    <row r="1416" spans="1:12" x14ac:dyDescent="0.25">
      <c r="A1416" s="2">
        <v>45811</v>
      </c>
      <c r="B1416" s="3">
        <v>17.690000000000001</v>
      </c>
      <c r="C1416" s="3">
        <f t="shared" si="90"/>
        <v>17.690000000000001</v>
      </c>
      <c r="D1416" s="3">
        <v>5970.37</v>
      </c>
      <c r="E1416" s="3">
        <f t="shared" si="91"/>
        <v>5970.37</v>
      </c>
      <c r="F1416" s="3">
        <f>MAX($E$2:E1416)</f>
        <v>6144.15</v>
      </c>
      <c r="G1416" s="3">
        <f t="shared" si="88"/>
        <v>-2.8283814685513824</v>
      </c>
      <c r="I1416" s="2">
        <v>45245</v>
      </c>
      <c r="J1416" s="3">
        <f>IFERROR(VLOOKUP(I1416,$A$1:$G$1610,3,FALSE),J1415)</f>
        <v>14.18</v>
      </c>
      <c r="K1416" s="3">
        <f>IFERROR(VLOOKUP(I1416,$A$1:$G$1610,7,FALSE),K1415)</f>
        <v>-6.1227212835865759</v>
      </c>
      <c r="L1416" s="5">
        <f t="shared" si="89"/>
        <v>0</v>
      </c>
    </row>
    <row r="1417" spans="1:12" x14ac:dyDescent="0.25">
      <c r="A1417" s="2">
        <v>45812</v>
      </c>
      <c r="B1417" s="3">
        <v>17.61</v>
      </c>
      <c r="C1417" s="3">
        <f t="shared" si="90"/>
        <v>17.61</v>
      </c>
      <c r="D1417" s="3">
        <v>5970.81</v>
      </c>
      <c r="E1417" s="3">
        <f t="shared" si="91"/>
        <v>5970.81</v>
      </c>
      <c r="F1417" s="3">
        <f>MAX($E$2:E1417)</f>
        <v>6144.15</v>
      </c>
      <c r="G1417" s="3">
        <f t="shared" si="88"/>
        <v>-2.8212201850540639</v>
      </c>
      <c r="I1417" s="2">
        <v>45246</v>
      </c>
      <c r="J1417" s="3">
        <f>IFERROR(VLOOKUP(I1417,$A$1:$G$1610,3,FALSE),J1416)</f>
        <v>14.32</v>
      </c>
      <c r="K1417" s="3">
        <f>IFERROR(VLOOKUP(I1417,$A$1:$G$1610,7,FALSE),K1416)</f>
        <v>-6.010974531747765</v>
      </c>
      <c r="L1417" s="5">
        <f t="shared" si="89"/>
        <v>0</v>
      </c>
    </row>
    <row r="1418" spans="1:12" x14ac:dyDescent="0.25">
      <c r="A1418" s="2">
        <v>45813</v>
      </c>
      <c r="B1418" s="3">
        <v>18.48</v>
      </c>
      <c r="C1418" s="3">
        <f t="shared" si="90"/>
        <v>18.48</v>
      </c>
      <c r="D1418" s="3">
        <v>5939.3</v>
      </c>
      <c r="E1418" s="3">
        <f t="shared" si="91"/>
        <v>5939.3</v>
      </c>
      <c r="F1418" s="3">
        <f>MAX($E$2:E1418)</f>
        <v>6144.15</v>
      </c>
      <c r="G1418" s="3">
        <f t="shared" si="88"/>
        <v>-3.3340657373273679</v>
      </c>
      <c r="I1418" s="2">
        <v>45247</v>
      </c>
      <c r="J1418" s="3">
        <f>IFERROR(VLOOKUP(I1418,$A$1:$G$1610,3,FALSE),J1417)</f>
        <v>13.8</v>
      </c>
      <c r="K1418" s="3">
        <f>IFERROR(VLOOKUP(I1418,$A$1:$G$1610,7,FALSE),K1417)</f>
        <v>-5.8904715045782794</v>
      </c>
      <c r="L1418" s="5">
        <f t="shared" si="89"/>
        <v>0</v>
      </c>
    </row>
    <row r="1419" spans="1:12" x14ac:dyDescent="0.25">
      <c r="A1419" s="2">
        <v>45814</v>
      </c>
      <c r="B1419" s="3">
        <v>16.77</v>
      </c>
      <c r="C1419" s="3">
        <f t="shared" si="90"/>
        <v>16.77</v>
      </c>
      <c r="D1419" s="3">
        <v>6000.36</v>
      </c>
      <c r="E1419" s="3">
        <f t="shared" si="91"/>
        <v>6000.36</v>
      </c>
      <c r="F1419" s="3">
        <f>MAX($E$2:E1419)</f>
        <v>6144.15</v>
      </c>
      <c r="G1419" s="3">
        <f t="shared" si="88"/>
        <v>-2.3402748956324304</v>
      </c>
      <c r="I1419" s="2">
        <v>45248</v>
      </c>
      <c r="J1419" s="3">
        <f>IFERROR(VLOOKUP(I1419,$A$1:$G$1610,3,FALSE),J1418)</f>
        <v>13.8</v>
      </c>
      <c r="K1419" s="3">
        <f>IFERROR(VLOOKUP(I1419,$A$1:$G$1610,7,FALSE),K1418)</f>
        <v>-5.8904715045782794</v>
      </c>
      <c r="L1419" s="5">
        <f t="shared" si="89"/>
        <v>0</v>
      </c>
    </row>
    <row r="1420" spans="1:12" x14ac:dyDescent="0.25">
      <c r="A1420" s="2">
        <v>45817</v>
      </c>
      <c r="B1420" s="3">
        <v>17.16</v>
      </c>
      <c r="C1420" s="3">
        <f t="shared" si="90"/>
        <v>17.16</v>
      </c>
      <c r="D1420" s="3">
        <v>6005.88</v>
      </c>
      <c r="E1420" s="3">
        <f t="shared" si="91"/>
        <v>6005.88</v>
      </c>
      <c r="F1420" s="3">
        <f>MAX($E$2:E1420)</f>
        <v>6144.15</v>
      </c>
      <c r="G1420" s="3">
        <f t="shared" si="88"/>
        <v>-2.2504333390298012</v>
      </c>
      <c r="I1420" s="2">
        <v>45249</v>
      </c>
      <c r="J1420" s="3">
        <f>IFERROR(VLOOKUP(I1420,$A$1:$G$1610,3,FALSE),J1419)</f>
        <v>13.8</v>
      </c>
      <c r="K1420" s="3">
        <f>IFERROR(VLOOKUP(I1420,$A$1:$G$1610,7,FALSE),K1419)</f>
        <v>-5.8904715045782794</v>
      </c>
      <c r="L1420" s="5">
        <f t="shared" si="89"/>
        <v>0</v>
      </c>
    </row>
    <row r="1421" spans="1:12" x14ac:dyDescent="0.25">
      <c r="A1421" s="2">
        <v>45818</v>
      </c>
      <c r="B1421" s="3">
        <v>16.95</v>
      </c>
      <c r="C1421" s="3">
        <f t="shared" si="90"/>
        <v>16.95</v>
      </c>
      <c r="D1421" s="3">
        <v>6038.81</v>
      </c>
      <c r="E1421" s="3">
        <f t="shared" si="91"/>
        <v>6038.81</v>
      </c>
      <c r="F1421" s="3">
        <f>MAX($E$2:E1421)</f>
        <v>6144.15</v>
      </c>
      <c r="G1421" s="3">
        <f t="shared" si="88"/>
        <v>-1.7144763718333578</v>
      </c>
      <c r="I1421" s="2">
        <v>45250</v>
      </c>
      <c r="J1421" s="3">
        <f>IFERROR(VLOOKUP(I1421,$A$1:$G$1610,3,FALSE),J1420)</f>
        <v>13.41</v>
      </c>
      <c r="K1421" s="3">
        <f>IFERROR(VLOOKUP(I1421,$A$1:$G$1610,7,FALSE),K1420)</f>
        <v>-5.1949730640292264</v>
      </c>
      <c r="L1421" s="5">
        <f t="shared" si="89"/>
        <v>0</v>
      </c>
    </row>
    <row r="1422" spans="1:12" x14ac:dyDescent="0.25">
      <c r="A1422" s="2">
        <v>45819</v>
      </c>
      <c r="B1422" s="3">
        <v>17.260000000000002</v>
      </c>
      <c r="C1422" s="3">
        <f t="shared" si="90"/>
        <v>17.260000000000002</v>
      </c>
      <c r="D1422" s="3">
        <v>6022.24</v>
      </c>
      <c r="E1422" s="3">
        <f t="shared" si="91"/>
        <v>6022.24</v>
      </c>
      <c r="F1422" s="3">
        <f>MAX($E$2:E1422)</f>
        <v>6144.15</v>
      </c>
      <c r="G1422" s="3">
        <f t="shared" si="88"/>
        <v>-1.9841637980843545</v>
      </c>
      <c r="I1422" s="2">
        <v>45251</v>
      </c>
      <c r="J1422" s="3">
        <f>IFERROR(VLOOKUP(I1422,$A$1:$G$1610,3,FALSE),J1421)</f>
        <v>13.35</v>
      </c>
      <c r="K1422" s="3">
        <f>IFERROR(VLOOKUP(I1422,$A$1:$G$1610,7,FALSE),K1421)</f>
        <v>-5.3865687075737769</v>
      </c>
      <c r="L1422" s="5">
        <f t="shared" si="89"/>
        <v>0</v>
      </c>
    </row>
    <row r="1423" spans="1:12" x14ac:dyDescent="0.25">
      <c r="A1423" s="2">
        <v>45820</v>
      </c>
      <c r="B1423" s="3">
        <v>18.02</v>
      </c>
      <c r="C1423" s="3">
        <f t="shared" si="90"/>
        <v>18.02</v>
      </c>
      <c r="D1423" s="3">
        <v>6045.26</v>
      </c>
      <c r="E1423" s="3">
        <f t="shared" si="91"/>
        <v>6045.26</v>
      </c>
      <c r="F1423" s="3">
        <f>MAX($E$2:E1423)</f>
        <v>6144.15</v>
      </c>
      <c r="G1423" s="3">
        <f t="shared" si="88"/>
        <v>-1.6094984660205143</v>
      </c>
      <c r="I1423" s="2">
        <v>45252</v>
      </c>
      <c r="J1423" s="3">
        <f>IFERROR(VLOOKUP(I1423,$A$1:$G$1610,3,FALSE),J1422)</f>
        <v>12.85</v>
      </c>
      <c r="K1423" s="3">
        <f>IFERROR(VLOOKUP(I1423,$A$1:$G$1610,7,FALSE),K1422)</f>
        <v>-5.0023350067548513</v>
      </c>
      <c r="L1423" s="5">
        <f t="shared" si="89"/>
        <v>0</v>
      </c>
    </row>
    <row r="1424" spans="1:12" x14ac:dyDescent="0.25">
      <c r="A1424" s="2">
        <v>45821</v>
      </c>
      <c r="B1424" s="3">
        <v>20.82</v>
      </c>
      <c r="C1424" s="3">
        <f t="shared" si="90"/>
        <v>20.82</v>
      </c>
      <c r="D1424" s="3">
        <v>5976.97</v>
      </c>
      <c r="E1424" s="3">
        <f t="shared" si="91"/>
        <v>5976.97</v>
      </c>
      <c r="F1424" s="3">
        <f>MAX($E$2:E1424)</f>
        <v>6144.15</v>
      </c>
      <c r="G1424" s="3">
        <f t="shared" si="88"/>
        <v>-2.7209622160917197</v>
      </c>
      <c r="I1424" s="2">
        <v>45253</v>
      </c>
      <c r="J1424" s="3">
        <f>IFERROR(VLOOKUP(I1424,$A$1:$G$1610,3,FALSE),J1423)</f>
        <v>12.8</v>
      </c>
      <c r="K1424" s="3">
        <f>IFERROR(VLOOKUP(I1424,$A$1:$G$1610,7,FALSE),K1423)</f>
        <v>-5.0023350067548513</v>
      </c>
      <c r="L1424" s="5">
        <f t="shared" si="89"/>
        <v>0</v>
      </c>
    </row>
    <row r="1425" spans="1:12" x14ac:dyDescent="0.25">
      <c r="A1425" s="2">
        <v>45824</v>
      </c>
      <c r="B1425" s="3">
        <v>19.11</v>
      </c>
      <c r="C1425" s="3">
        <f t="shared" si="90"/>
        <v>19.11</v>
      </c>
      <c r="D1425" s="3">
        <v>6033.11</v>
      </c>
      <c r="E1425" s="3">
        <f t="shared" si="91"/>
        <v>6033.11</v>
      </c>
      <c r="F1425" s="3">
        <f>MAX($E$2:E1425)</f>
        <v>6144.15</v>
      </c>
      <c r="G1425" s="3">
        <f t="shared" si="88"/>
        <v>-1.8072475444121641</v>
      </c>
      <c r="I1425" s="2">
        <v>45254</v>
      </c>
      <c r="J1425" s="3">
        <f>IFERROR(VLOOKUP(I1425,$A$1:$G$1610,3,FALSE),J1424)</f>
        <v>12.46</v>
      </c>
      <c r="K1425" s="3">
        <f>IFERROR(VLOOKUP(I1425,$A$1:$G$1610,7,FALSE),K1424)</f>
        <v>-4.9456276998515651</v>
      </c>
      <c r="L1425" s="5">
        <f t="shared" si="89"/>
        <v>0</v>
      </c>
    </row>
    <row r="1426" spans="1:12" x14ac:dyDescent="0.25">
      <c r="A1426" s="2">
        <v>45825</v>
      </c>
      <c r="B1426" s="3">
        <v>21.6</v>
      </c>
      <c r="C1426" s="3">
        <f t="shared" si="90"/>
        <v>21.6</v>
      </c>
      <c r="D1426" s="3">
        <v>5982.72</v>
      </c>
      <c r="E1426" s="3">
        <f t="shared" si="91"/>
        <v>5982.72</v>
      </c>
      <c r="F1426" s="3">
        <f>MAX($E$2:E1426)</f>
        <v>6144.15</v>
      </c>
      <c r="G1426" s="3">
        <f t="shared" si="88"/>
        <v>-2.6273772612973216</v>
      </c>
      <c r="I1426" s="2">
        <v>45255</v>
      </c>
      <c r="J1426" s="3">
        <f>IFERROR(VLOOKUP(I1426,$A$1:$G$1610,3,FALSE),J1425)</f>
        <v>12.46</v>
      </c>
      <c r="K1426" s="3">
        <f>IFERROR(VLOOKUP(I1426,$A$1:$G$1610,7,FALSE),K1425)</f>
        <v>-4.9456276998515651</v>
      </c>
      <c r="L1426" s="5">
        <f t="shared" si="89"/>
        <v>0</v>
      </c>
    </row>
    <row r="1427" spans="1:12" x14ac:dyDescent="0.25">
      <c r="A1427" s="2">
        <v>45826</v>
      </c>
      <c r="B1427" s="3">
        <v>20.14</v>
      </c>
      <c r="C1427" s="3">
        <f t="shared" si="90"/>
        <v>20.14</v>
      </c>
      <c r="D1427" s="3">
        <v>5980.87</v>
      </c>
      <c r="E1427" s="3">
        <f t="shared" si="91"/>
        <v>5980.87</v>
      </c>
      <c r="F1427" s="3">
        <f>MAX($E$2:E1427)</f>
        <v>6144.15</v>
      </c>
      <c r="G1427" s="3">
        <f t="shared" si="88"/>
        <v>-2.6574872032746555</v>
      </c>
      <c r="I1427" s="2">
        <v>45256</v>
      </c>
      <c r="J1427" s="3">
        <f>IFERROR(VLOOKUP(I1427,$A$1:$G$1610,3,FALSE),J1426)</f>
        <v>12.46</v>
      </c>
      <c r="K1427" s="3">
        <f>IFERROR(VLOOKUP(I1427,$A$1:$G$1610,7,FALSE),K1426)</f>
        <v>-4.9456276998515651</v>
      </c>
      <c r="L1427" s="5">
        <f t="shared" si="89"/>
        <v>0</v>
      </c>
    </row>
    <row r="1428" spans="1:12" x14ac:dyDescent="0.25">
      <c r="A1428" s="2">
        <v>45827</v>
      </c>
      <c r="B1428" s="3">
        <v>22.17</v>
      </c>
      <c r="C1428" s="3">
        <f t="shared" si="90"/>
        <v>22.17</v>
      </c>
      <c r="E1428" s="3">
        <f t="shared" si="91"/>
        <v>5980.87</v>
      </c>
      <c r="F1428" s="3">
        <f>MAX($E$2:E1428)</f>
        <v>6144.15</v>
      </c>
      <c r="G1428" s="3">
        <f t="shared" si="88"/>
        <v>-2.6574872032746555</v>
      </c>
      <c r="I1428" s="2">
        <v>45257</v>
      </c>
      <c r="J1428" s="3">
        <f>IFERROR(VLOOKUP(I1428,$A$1:$G$1610,3,FALSE),J1427)</f>
        <v>12.69</v>
      </c>
      <c r="K1428" s="3">
        <f>IFERROR(VLOOKUP(I1428,$A$1:$G$1610,7,FALSE),K1427)</f>
        <v>-5.1313858265090007</v>
      </c>
      <c r="L1428" s="5">
        <f t="shared" si="89"/>
        <v>0</v>
      </c>
    </row>
    <row r="1429" spans="1:12" x14ac:dyDescent="0.25">
      <c r="A1429" s="2">
        <v>45828</v>
      </c>
      <c r="B1429" s="3">
        <v>20.62</v>
      </c>
      <c r="C1429" s="3">
        <f t="shared" si="90"/>
        <v>20.62</v>
      </c>
      <c r="D1429" s="3">
        <v>5967.84</v>
      </c>
      <c r="E1429" s="3">
        <f t="shared" si="91"/>
        <v>5967.84</v>
      </c>
      <c r="F1429" s="3">
        <f>MAX($E$2:E1429)</f>
        <v>6144.15</v>
      </c>
      <c r="G1429" s="3">
        <f t="shared" si="88"/>
        <v>-2.8695588486609132</v>
      </c>
      <c r="I1429" s="2">
        <v>45258</v>
      </c>
      <c r="J1429" s="3">
        <f>IFERROR(VLOOKUP(I1429,$A$1:$G$1610,3,FALSE),J1428)</f>
        <v>12.69</v>
      </c>
      <c r="K1429" s="3">
        <f>IFERROR(VLOOKUP(I1429,$A$1:$G$1610,7,FALSE),K1428)</f>
        <v>-5.0384025218072965</v>
      </c>
      <c r="L1429" s="5">
        <f t="shared" si="89"/>
        <v>0</v>
      </c>
    </row>
    <row r="1430" spans="1:12" x14ac:dyDescent="0.25">
      <c r="A1430" s="2">
        <v>45831</v>
      </c>
      <c r="B1430" s="3">
        <v>19.829999999999998</v>
      </c>
      <c r="C1430" s="3">
        <f t="shared" si="90"/>
        <v>19.829999999999998</v>
      </c>
      <c r="D1430" s="3">
        <v>6025.17</v>
      </c>
      <c r="E1430" s="3">
        <f t="shared" si="91"/>
        <v>6025.17</v>
      </c>
      <c r="F1430" s="3">
        <f>MAX($E$2:E1430)</f>
        <v>6144.15</v>
      </c>
      <c r="G1430" s="3">
        <f t="shared" si="88"/>
        <v>-1.9364761602499871</v>
      </c>
      <c r="I1430" s="2">
        <v>45259</v>
      </c>
      <c r="J1430" s="3">
        <f>IFERROR(VLOOKUP(I1430,$A$1:$G$1610,3,FALSE),J1429)</f>
        <v>12.98</v>
      </c>
      <c r="K1430" s="3">
        <f>IFERROR(VLOOKUP(I1430,$A$1:$G$1610,7,FALSE),K1429)</f>
        <v>-5.1282585853194878</v>
      </c>
      <c r="L1430" s="5">
        <f t="shared" si="89"/>
        <v>0</v>
      </c>
    </row>
    <row r="1431" spans="1:12" x14ac:dyDescent="0.25">
      <c r="A1431" s="2">
        <v>45832</v>
      </c>
      <c r="B1431" s="3">
        <v>17.48</v>
      </c>
      <c r="C1431" s="3">
        <f t="shared" si="90"/>
        <v>17.48</v>
      </c>
      <c r="D1431" s="3">
        <v>6092.18</v>
      </c>
      <c r="E1431" s="3">
        <f t="shared" si="91"/>
        <v>6092.18</v>
      </c>
      <c r="F1431" s="3">
        <f>MAX($E$2:E1431)</f>
        <v>6144.15</v>
      </c>
      <c r="G1431" s="3">
        <f t="shared" si="88"/>
        <v>-0.84584523489822594</v>
      </c>
      <c r="I1431" s="2">
        <v>45260</v>
      </c>
      <c r="J1431" s="3">
        <f>IFERROR(VLOOKUP(I1431,$A$1:$G$1610,3,FALSE),J1430)</f>
        <v>12.92</v>
      </c>
      <c r="K1431" s="3">
        <f>IFERROR(VLOOKUP(I1431,$A$1:$G$1610,7,FALSE),K1430)</f>
        <v>-4.7692512967626843</v>
      </c>
      <c r="L1431" s="5">
        <f t="shared" si="89"/>
        <v>0</v>
      </c>
    </row>
    <row r="1432" spans="1:12" x14ac:dyDescent="0.25">
      <c r="A1432" s="2">
        <v>45833</v>
      </c>
      <c r="B1432" s="3">
        <v>16.760000000000002</v>
      </c>
      <c r="C1432" s="3">
        <f t="shared" si="90"/>
        <v>16.760000000000002</v>
      </c>
      <c r="D1432" s="3">
        <v>6092.16</v>
      </c>
      <c r="E1432" s="3">
        <f t="shared" si="91"/>
        <v>6092.16</v>
      </c>
      <c r="F1432" s="3">
        <f>MAX($E$2:E1432)</f>
        <v>6144.15</v>
      </c>
      <c r="G1432" s="3">
        <f t="shared" si="88"/>
        <v>-0.84617074778447432</v>
      </c>
      <c r="I1432" s="2">
        <v>45261</v>
      </c>
      <c r="J1432" s="3">
        <f>IFERROR(VLOOKUP(I1432,$A$1:$G$1610,3,FALSE),J1431)</f>
        <v>12.63</v>
      </c>
      <c r="K1432" s="3">
        <f>IFERROR(VLOOKUP(I1432,$A$1:$G$1610,7,FALSE),K1431)</f>
        <v>-4.209892089330693</v>
      </c>
      <c r="L1432" s="5">
        <f t="shared" si="89"/>
        <v>0</v>
      </c>
    </row>
    <row r="1433" spans="1:12" x14ac:dyDescent="0.25">
      <c r="A1433" s="2">
        <v>45834</v>
      </c>
      <c r="B1433" s="3">
        <v>16.59</v>
      </c>
      <c r="C1433" s="3">
        <f t="shared" si="90"/>
        <v>16.59</v>
      </c>
      <c r="D1433" s="3">
        <v>6141.02</v>
      </c>
      <c r="E1433" s="3">
        <f t="shared" si="91"/>
        <v>6141.02</v>
      </c>
      <c r="F1433" s="3">
        <f>MAX($E$2:E1433)</f>
        <v>6144.15</v>
      </c>
      <c r="G1433" s="3">
        <f t="shared" si="88"/>
        <v>-5.0942766696763585E-2</v>
      </c>
      <c r="I1433" s="2">
        <v>45262</v>
      </c>
      <c r="J1433" s="3">
        <f>IFERROR(VLOOKUP(I1433,$A$1:$G$1610,3,FALSE),J1432)</f>
        <v>12.63</v>
      </c>
      <c r="K1433" s="3">
        <f>IFERROR(VLOOKUP(I1433,$A$1:$G$1610,7,FALSE),K1432)</f>
        <v>-4.209892089330693</v>
      </c>
      <c r="L1433" s="5">
        <f t="shared" si="89"/>
        <v>0</v>
      </c>
    </row>
    <row r="1434" spans="1:12" x14ac:dyDescent="0.25">
      <c r="A1434" s="2">
        <v>45835</v>
      </c>
      <c r="B1434" s="3">
        <v>16.32</v>
      </c>
      <c r="C1434" s="3">
        <f t="shared" si="90"/>
        <v>16.32</v>
      </c>
      <c r="D1434" s="3">
        <v>6173.07</v>
      </c>
      <c r="E1434" s="3">
        <f t="shared" si="91"/>
        <v>6173.07</v>
      </c>
      <c r="F1434" s="3">
        <f>MAX($E$2:E1434)</f>
        <v>6173.07</v>
      </c>
      <c r="G1434" s="3">
        <f t="shared" si="88"/>
        <v>0</v>
      </c>
      <c r="I1434" s="2">
        <v>45263</v>
      </c>
      <c r="J1434" s="3">
        <f>IFERROR(VLOOKUP(I1434,$A$1:$G$1610,3,FALSE),J1433)</f>
        <v>12.63</v>
      </c>
      <c r="K1434" s="3">
        <f>IFERROR(VLOOKUP(I1434,$A$1:$G$1610,7,FALSE),K1433)</f>
        <v>-4.209892089330693</v>
      </c>
      <c r="L1434" s="5">
        <f t="shared" si="89"/>
        <v>0</v>
      </c>
    </row>
    <row r="1435" spans="1:12" x14ac:dyDescent="0.25">
      <c r="A1435" s="2">
        <v>45838</v>
      </c>
      <c r="B1435" s="3">
        <v>16.73</v>
      </c>
      <c r="C1435" s="3">
        <f t="shared" si="90"/>
        <v>16.73</v>
      </c>
      <c r="D1435" s="3">
        <v>6204.95</v>
      </c>
      <c r="E1435" s="3">
        <f t="shared" si="91"/>
        <v>6204.95</v>
      </c>
      <c r="F1435" s="3">
        <f>MAX($E$2:E1435)</f>
        <v>6204.95</v>
      </c>
      <c r="G1435" s="3">
        <f t="shared" si="88"/>
        <v>0</v>
      </c>
      <c r="I1435" s="2">
        <v>45264</v>
      </c>
      <c r="J1435" s="3">
        <f>IFERROR(VLOOKUP(I1435,$A$1:$G$1610,3,FALSE),J1434)</f>
        <v>13.08</v>
      </c>
      <c r="K1435" s="3">
        <f>IFERROR(VLOOKUP(I1435,$A$1:$G$1610,7,FALSE),K1434)</f>
        <v>-4.7279717130610406</v>
      </c>
      <c r="L1435" s="5">
        <f t="shared" si="89"/>
        <v>0</v>
      </c>
    </row>
    <row r="1436" spans="1:12" x14ac:dyDescent="0.25">
      <c r="A1436" s="2">
        <v>45839</v>
      </c>
      <c r="B1436" s="3">
        <v>16.829999999999998</v>
      </c>
      <c r="C1436" s="3">
        <f t="shared" si="90"/>
        <v>16.829999999999998</v>
      </c>
      <c r="D1436" s="3">
        <v>6198.01</v>
      </c>
      <c r="E1436" s="3">
        <f t="shared" si="91"/>
        <v>6198.01</v>
      </c>
      <c r="F1436" s="3">
        <f>MAX($E$2:E1436)</f>
        <v>6204.95</v>
      </c>
      <c r="G1436" s="3">
        <f t="shared" si="88"/>
        <v>-0.11184618731818308</v>
      </c>
      <c r="I1436" s="2">
        <v>45265</v>
      </c>
      <c r="J1436" s="3">
        <f>IFERROR(VLOOKUP(I1436,$A$1:$G$1610,3,FALSE),J1435)</f>
        <v>12.85</v>
      </c>
      <c r="K1436" s="3">
        <f>IFERROR(VLOOKUP(I1436,$A$1:$G$1610,7,FALSE),K1435)</f>
        <v>-4.7821772270126939</v>
      </c>
      <c r="L1436" s="5">
        <f t="shared" si="89"/>
        <v>0</v>
      </c>
    </row>
    <row r="1437" spans="1:12" x14ac:dyDescent="0.25">
      <c r="A1437" s="2">
        <v>45840</v>
      </c>
      <c r="B1437" s="3">
        <v>16.64</v>
      </c>
      <c r="C1437" s="3">
        <f t="shared" si="90"/>
        <v>16.64</v>
      </c>
      <c r="D1437" s="3">
        <v>6227.42</v>
      </c>
      <c r="E1437" s="3">
        <f t="shared" si="91"/>
        <v>6227.42</v>
      </c>
      <c r="F1437" s="3">
        <f>MAX($E$2:E1437)</f>
        <v>6227.42</v>
      </c>
      <c r="G1437" s="3">
        <f t="shared" si="88"/>
        <v>0</v>
      </c>
      <c r="I1437" s="2">
        <v>45266</v>
      </c>
      <c r="J1437" s="3">
        <f>IFERROR(VLOOKUP(I1437,$A$1:$G$1610,3,FALSE),J1436)</f>
        <v>12.97</v>
      </c>
      <c r="K1437" s="3">
        <f>IFERROR(VLOOKUP(I1437,$A$1:$G$1610,7,FALSE),K1436)</f>
        <v>-5.1541104458195086</v>
      </c>
      <c r="L1437" s="5">
        <f t="shared" si="89"/>
        <v>0</v>
      </c>
    </row>
    <row r="1438" spans="1:12" x14ac:dyDescent="0.25">
      <c r="A1438" s="2">
        <v>45841</v>
      </c>
      <c r="B1438" s="3">
        <v>16.38</v>
      </c>
      <c r="C1438" s="3">
        <f t="shared" si="90"/>
        <v>16.38</v>
      </c>
      <c r="D1438" s="3">
        <v>6279.35</v>
      </c>
      <c r="E1438" s="3">
        <f t="shared" si="91"/>
        <v>6279.35</v>
      </c>
      <c r="F1438" s="3">
        <f>MAX($E$2:E1438)</f>
        <v>6279.35</v>
      </c>
      <c r="G1438" s="3">
        <f t="shared" si="88"/>
        <v>0</v>
      </c>
      <c r="I1438" s="2">
        <v>45267</v>
      </c>
      <c r="J1438" s="3">
        <f>IFERROR(VLOOKUP(I1438,$A$1:$G$1610,3,FALSE),J1437)</f>
        <v>13.06</v>
      </c>
      <c r="K1438" s="3">
        <f>IFERROR(VLOOKUP(I1438,$A$1:$G$1610,7,FALSE),K1437)</f>
        <v>-4.3983604916857129</v>
      </c>
      <c r="L1438" s="5">
        <f t="shared" si="89"/>
        <v>0</v>
      </c>
    </row>
    <row r="1439" spans="1:12" x14ac:dyDescent="0.25">
      <c r="A1439" s="2">
        <v>45842</v>
      </c>
      <c r="B1439" s="3">
        <v>17.48</v>
      </c>
      <c r="C1439" s="3">
        <f t="shared" si="90"/>
        <v>17.48</v>
      </c>
      <c r="E1439" s="3">
        <f t="shared" si="91"/>
        <v>6279.35</v>
      </c>
      <c r="F1439" s="3">
        <f>MAX($E$2:E1439)</f>
        <v>6279.35</v>
      </c>
      <c r="G1439" s="3">
        <f t="shared" si="88"/>
        <v>0</v>
      </c>
      <c r="I1439" s="2">
        <v>45268</v>
      </c>
      <c r="J1439" s="3">
        <f>IFERROR(VLOOKUP(I1439,$A$1:$G$1610,3,FALSE),J1438)</f>
        <v>12.35</v>
      </c>
      <c r="K1439" s="3">
        <f>IFERROR(VLOOKUP(I1439,$A$1:$G$1610,7,FALSE),K1438)</f>
        <v>-4.00682989475792</v>
      </c>
      <c r="L1439" s="5">
        <f t="shared" si="89"/>
        <v>0</v>
      </c>
    </row>
    <row r="1440" spans="1:12" x14ac:dyDescent="0.25">
      <c r="A1440" s="2">
        <v>45845</v>
      </c>
      <c r="B1440" s="3">
        <v>17.79</v>
      </c>
      <c r="C1440" s="3">
        <f t="shared" si="90"/>
        <v>17.79</v>
      </c>
      <c r="D1440" s="3">
        <v>6229.98</v>
      </c>
      <c r="E1440" s="3">
        <f t="shared" si="91"/>
        <v>6229.98</v>
      </c>
      <c r="F1440" s="3">
        <f>MAX($E$2:E1440)</f>
        <v>6279.35</v>
      </c>
      <c r="G1440" s="3">
        <f t="shared" si="88"/>
        <v>-0.78622787390415882</v>
      </c>
      <c r="I1440" s="2">
        <v>45269</v>
      </c>
      <c r="J1440" s="3">
        <f>IFERROR(VLOOKUP(I1440,$A$1:$G$1610,3,FALSE),J1439)</f>
        <v>12.35</v>
      </c>
      <c r="K1440" s="3">
        <f>IFERROR(VLOOKUP(I1440,$A$1:$G$1610,7,FALSE),K1439)</f>
        <v>-4.00682989475792</v>
      </c>
      <c r="L1440" s="5">
        <f t="shared" si="89"/>
        <v>0</v>
      </c>
    </row>
    <row r="1441" spans="1:12" x14ac:dyDescent="0.25">
      <c r="A1441" s="2">
        <v>45846</v>
      </c>
      <c r="B1441" s="3">
        <v>16.809999999999999</v>
      </c>
      <c r="C1441" s="3">
        <f t="shared" si="90"/>
        <v>16.809999999999999</v>
      </c>
      <c r="D1441" s="3">
        <v>6225.52</v>
      </c>
      <c r="E1441" s="3">
        <f t="shared" si="91"/>
        <v>6225.52</v>
      </c>
      <c r="F1441" s="3">
        <f>MAX($E$2:E1441)</f>
        <v>6279.35</v>
      </c>
      <c r="G1441" s="3">
        <f t="shared" si="88"/>
        <v>-0.85725433364918224</v>
      </c>
      <c r="I1441" s="2">
        <v>45270</v>
      </c>
      <c r="J1441" s="3">
        <f>IFERROR(VLOOKUP(I1441,$A$1:$G$1610,3,FALSE),J1440)</f>
        <v>12.35</v>
      </c>
      <c r="K1441" s="3">
        <f>IFERROR(VLOOKUP(I1441,$A$1:$G$1610,7,FALSE),K1440)</f>
        <v>-4.00682989475792</v>
      </c>
      <c r="L1441" s="5">
        <f t="shared" si="89"/>
        <v>0</v>
      </c>
    </row>
    <row r="1442" spans="1:12" x14ac:dyDescent="0.25">
      <c r="A1442" s="2">
        <v>45847</v>
      </c>
      <c r="B1442" s="3">
        <v>15.94</v>
      </c>
      <c r="C1442" s="3">
        <f t="shared" si="90"/>
        <v>15.94</v>
      </c>
      <c r="D1442" s="3">
        <v>6263.26</v>
      </c>
      <c r="E1442" s="3">
        <f t="shared" si="91"/>
        <v>6263.26</v>
      </c>
      <c r="F1442" s="3">
        <f>MAX($E$2:E1442)</f>
        <v>6279.35</v>
      </c>
      <c r="G1442" s="3">
        <f t="shared" si="88"/>
        <v>-0.25623671239857859</v>
      </c>
      <c r="I1442" s="2">
        <v>45271</v>
      </c>
      <c r="J1442" s="3">
        <f>IFERROR(VLOOKUP(I1442,$A$1:$G$1610,3,FALSE),J1441)</f>
        <v>12.63</v>
      </c>
      <c r="K1442" s="3">
        <f>IFERROR(VLOOKUP(I1442,$A$1:$G$1610,7,FALSE),K1441)</f>
        <v>-3.6301015727938521</v>
      </c>
      <c r="L1442" s="5">
        <f t="shared" si="89"/>
        <v>0</v>
      </c>
    </row>
    <row r="1443" spans="1:12" x14ac:dyDescent="0.25">
      <c r="A1443" s="2">
        <v>45848</v>
      </c>
      <c r="B1443" s="3">
        <v>15.78</v>
      </c>
      <c r="C1443" s="3">
        <f t="shared" si="90"/>
        <v>15.78</v>
      </c>
      <c r="D1443" s="3">
        <v>6280.46</v>
      </c>
      <c r="E1443" s="3">
        <f t="shared" si="91"/>
        <v>6280.46</v>
      </c>
      <c r="F1443" s="3">
        <f>MAX($E$2:E1443)</f>
        <v>6280.46</v>
      </c>
      <c r="G1443" s="3">
        <f t="shared" si="88"/>
        <v>0</v>
      </c>
      <c r="I1443" s="2">
        <v>45272</v>
      </c>
      <c r="J1443" s="3">
        <f>IFERROR(VLOOKUP(I1443,$A$1:$G$1610,3,FALSE),J1442)</f>
        <v>12.07</v>
      </c>
      <c r="K1443" s="3">
        <f>IFERROR(VLOOKUP(I1443,$A$1:$G$1610,7,FALSE),K1442)</f>
        <v>-3.1868672548659993</v>
      </c>
      <c r="L1443" s="5">
        <f t="shared" si="89"/>
        <v>0</v>
      </c>
    </row>
    <row r="1444" spans="1:12" x14ac:dyDescent="0.25">
      <c r="A1444" s="2">
        <v>45849</v>
      </c>
      <c r="B1444" s="3">
        <v>16.399999999999999</v>
      </c>
      <c r="C1444" s="3">
        <f t="shared" si="90"/>
        <v>16.399999999999999</v>
      </c>
      <c r="D1444" s="3">
        <v>6259.75</v>
      </c>
      <c r="E1444" s="3">
        <f t="shared" si="91"/>
        <v>6259.75</v>
      </c>
      <c r="F1444" s="3">
        <f>MAX($E$2:E1444)</f>
        <v>6280.46</v>
      </c>
      <c r="G1444" s="3">
        <f t="shared" si="88"/>
        <v>-0.32975291618766833</v>
      </c>
      <c r="I1444" s="2">
        <v>45273</v>
      </c>
      <c r="J1444" s="3">
        <f>IFERROR(VLOOKUP(I1444,$A$1:$G$1610,3,FALSE),J1443)</f>
        <v>12.19</v>
      </c>
      <c r="K1444" s="3">
        <f>IFERROR(VLOOKUP(I1444,$A$1:$G$1610,7,FALSE),K1443)</f>
        <v>-1.8652951281751973</v>
      </c>
      <c r="L1444" s="5">
        <f t="shared" si="89"/>
        <v>0</v>
      </c>
    </row>
    <row r="1445" spans="1:12" x14ac:dyDescent="0.25">
      <c r="A1445" s="2">
        <v>45852</v>
      </c>
      <c r="B1445" s="3">
        <v>17.2</v>
      </c>
      <c r="C1445" s="3">
        <f t="shared" si="90"/>
        <v>17.2</v>
      </c>
      <c r="D1445" s="3">
        <v>6268.56</v>
      </c>
      <c r="E1445" s="3">
        <f t="shared" si="91"/>
        <v>6268.56</v>
      </c>
      <c r="F1445" s="3">
        <f>MAX($E$2:E1445)</f>
        <v>6280.46</v>
      </c>
      <c r="G1445" s="3">
        <f t="shared" si="88"/>
        <v>-0.18947656700304813</v>
      </c>
      <c r="I1445" s="2">
        <v>45274</v>
      </c>
      <c r="J1445" s="3">
        <f>IFERROR(VLOOKUP(I1445,$A$1:$G$1610,3,FALSE),J1444)</f>
        <v>12.48</v>
      </c>
      <c r="K1445" s="3">
        <f>IFERROR(VLOOKUP(I1445,$A$1:$G$1610,7,FALSE),K1444)</f>
        <v>-1.6055256266991387</v>
      </c>
      <c r="L1445" s="5">
        <f t="shared" si="89"/>
        <v>0</v>
      </c>
    </row>
    <row r="1446" spans="1:12" x14ac:dyDescent="0.25">
      <c r="A1446" s="2">
        <v>45853</v>
      </c>
      <c r="B1446" s="3">
        <v>17.38</v>
      </c>
      <c r="C1446" s="3">
        <f t="shared" si="90"/>
        <v>17.38</v>
      </c>
      <c r="D1446" s="3">
        <v>6243.76</v>
      </c>
      <c r="E1446" s="3">
        <f t="shared" si="91"/>
        <v>6243.76</v>
      </c>
      <c r="F1446" s="3">
        <f>MAX($E$2:E1446)</f>
        <v>6280.46</v>
      </c>
      <c r="G1446" s="3">
        <f t="shared" si="88"/>
        <v>-0.58435210159765072</v>
      </c>
      <c r="I1446" s="2">
        <v>45275</v>
      </c>
      <c r="J1446" s="3">
        <f>IFERROR(VLOOKUP(I1446,$A$1:$G$1610,3,FALSE),J1445)</f>
        <v>12.28</v>
      </c>
      <c r="K1446" s="3">
        <f>IFERROR(VLOOKUP(I1446,$A$1:$G$1610,7,FALSE),K1445)</f>
        <v>-1.6130310055539971</v>
      </c>
      <c r="L1446" s="5">
        <f t="shared" si="89"/>
        <v>0</v>
      </c>
    </row>
    <row r="1447" spans="1:12" x14ac:dyDescent="0.25">
      <c r="A1447" s="2">
        <v>45854</v>
      </c>
      <c r="B1447" s="3">
        <v>17.16</v>
      </c>
      <c r="C1447" s="3">
        <f t="shared" si="90"/>
        <v>17.16</v>
      </c>
      <c r="D1447" s="3">
        <v>6263.7</v>
      </c>
      <c r="E1447" s="3">
        <f t="shared" si="91"/>
        <v>6263.7</v>
      </c>
      <c r="F1447" s="3">
        <f>MAX($E$2:E1447)</f>
        <v>6280.46</v>
      </c>
      <c r="G1447" s="3">
        <f t="shared" si="88"/>
        <v>-0.26685943386312816</v>
      </c>
      <c r="I1447" s="2">
        <v>45276</v>
      </c>
      <c r="J1447" s="3">
        <f>IFERROR(VLOOKUP(I1447,$A$1:$G$1610,3,FALSE),J1446)</f>
        <v>12.28</v>
      </c>
      <c r="K1447" s="3">
        <f>IFERROR(VLOOKUP(I1447,$A$1:$G$1610,7,FALSE),K1446)</f>
        <v>-1.6130310055539971</v>
      </c>
      <c r="L1447" s="5">
        <f t="shared" si="89"/>
        <v>0</v>
      </c>
    </row>
    <row r="1448" spans="1:12" x14ac:dyDescent="0.25">
      <c r="A1448" s="2">
        <v>45855</v>
      </c>
      <c r="B1448" s="3">
        <v>16.52</v>
      </c>
      <c r="C1448" s="3">
        <f t="shared" si="90"/>
        <v>16.52</v>
      </c>
      <c r="D1448" s="3">
        <v>6297.36</v>
      </c>
      <c r="E1448" s="3">
        <f t="shared" si="91"/>
        <v>6297.36</v>
      </c>
      <c r="F1448" s="3">
        <f>MAX($E$2:E1448)</f>
        <v>6297.36</v>
      </c>
      <c r="G1448" s="3">
        <f t="shared" si="88"/>
        <v>0</v>
      </c>
      <c r="I1448" s="2">
        <v>45277</v>
      </c>
      <c r="J1448" s="3">
        <f>IFERROR(VLOOKUP(I1448,$A$1:$G$1610,3,FALSE),J1447)</f>
        <v>12.28</v>
      </c>
      <c r="K1448" s="3">
        <f>IFERROR(VLOOKUP(I1448,$A$1:$G$1610,7,FALSE),K1447)</f>
        <v>-1.6130310055539971</v>
      </c>
      <c r="L1448" s="5">
        <f t="shared" si="89"/>
        <v>0</v>
      </c>
    </row>
    <row r="1449" spans="1:12" x14ac:dyDescent="0.25">
      <c r="A1449" s="2">
        <v>45856</v>
      </c>
      <c r="B1449" s="3">
        <v>16.41</v>
      </c>
      <c r="C1449" s="3">
        <f t="shared" si="90"/>
        <v>16.41</v>
      </c>
      <c r="D1449" s="3">
        <v>6296.79</v>
      </c>
      <c r="E1449" s="3">
        <f t="shared" si="91"/>
        <v>6296.79</v>
      </c>
      <c r="F1449" s="3">
        <f>MAX($E$2:E1449)</f>
        <v>6297.36</v>
      </c>
      <c r="G1449" s="3">
        <f t="shared" si="88"/>
        <v>-9.0514120202705422E-3</v>
      </c>
      <c r="I1449" s="2">
        <v>45278</v>
      </c>
      <c r="J1449" s="3">
        <f>IFERROR(VLOOKUP(I1449,$A$1:$G$1610,3,FALSE),J1448)</f>
        <v>12.56</v>
      </c>
      <c r="K1449" s="3">
        <f>IFERROR(VLOOKUP(I1449,$A$1:$G$1610,7,FALSE),K1448)</f>
        <v>-1.1675033774204846</v>
      </c>
      <c r="L1449" s="5">
        <f t="shared" si="89"/>
        <v>0</v>
      </c>
    </row>
    <row r="1450" spans="1:12" x14ac:dyDescent="0.25">
      <c r="A1450" s="2">
        <v>45859</v>
      </c>
      <c r="B1450" s="3">
        <v>16.649999999999999</v>
      </c>
      <c r="C1450" s="3">
        <f t="shared" si="90"/>
        <v>16.649999999999999</v>
      </c>
      <c r="D1450" s="3">
        <v>6305.6</v>
      </c>
      <c r="E1450" s="3">
        <f t="shared" si="91"/>
        <v>6305.6</v>
      </c>
      <c r="F1450" s="3">
        <f>MAX($E$2:E1450)</f>
        <v>6305.6</v>
      </c>
      <c r="G1450" s="3">
        <f t="shared" si="88"/>
        <v>0</v>
      </c>
      <c r="I1450" s="2">
        <v>45279</v>
      </c>
      <c r="J1450" s="3">
        <f>IFERROR(VLOOKUP(I1450,$A$1:$G$1610,3,FALSE),J1449)</f>
        <v>12.53</v>
      </c>
      <c r="K1450" s="3">
        <f>IFERROR(VLOOKUP(I1450,$A$1:$G$1610,7,FALSE),K1449)</f>
        <v>-0.58771286088364383</v>
      </c>
      <c r="L1450" s="5">
        <f t="shared" si="89"/>
        <v>0</v>
      </c>
    </row>
    <row r="1451" spans="1:12" x14ac:dyDescent="0.25">
      <c r="A1451" s="2">
        <v>45860</v>
      </c>
      <c r="B1451" s="3">
        <v>16.5</v>
      </c>
      <c r="C1451" s="3">
        <f t="shared" si="90"/>
        <v>16.5</v>
      </c>
      <c r="D1451" s="3">
        <v>6309.62</v>
      </c>
      <c r="E1451" s="3">
        <f t="shared" si="91"/>
        <v>6309.62</v>
      </c>
      <c r="F1451" s="3">
        <f>MAX($E$2:E1451)</f>
        <v>6309.62</v>
      </c>
      <c r="G1451" s="3">
        <f t="shared" si="88"/>
        <v>0</v>
      </c>
      <c r="I1451" s="2">
        <v>45280</v>
      </c>
      <c r="J1451" s="3">
        <f>IFERROR(VLOOKUP(I1451,$A$1:$G$1610,3,FALSE),J1450)</f>
        <v>13.67</v>
      </c>
      <c r="K1451" s="3">
        <f>IFERROR(VLOOKUP(I1451,$A$1:$G$1610,7,FALSE),K1450)</f>
        <v>-2.0475090481511757</v>
      </c>
      <c r="L1451" s="5">
        <f t="shared" si="89"/>
        <v>0</v>
      </c>
    </row>
    <row r="1452" spans="1:12" x14ac:dyDescent="0.25">
      <c r="A1452" s="2">
        <v>45861</v>
      </c>
      <c r="B1452" s="3">
        <v>15.37</v>
      </c>
      <c r="C1452" s="3">
        <f t="shared" si="90"/>
        <v>15.37</v>
      </c>
      <c r="D1452" s="3">
        <v>6358.91</v>
      </c>
      <c r="E1452" s="3">
        <f t="shared" si="91"/>
        <v>6358.91</v>
      </c>
      <c r="F1452" s="3">
        <f>MAX($E$2:E1452)</f>
        <v>6358.91</v>
      </c>
      <c r="G1452" s="3">
        <f t="shared" si="88"/>
        <v>0</v>
      </c>
      <c r="I1452" s="2">
        <v>45281</v>
      </c>
      <c r="J1452" s="3">
        <f>IFERROR(VLOOKUP(I1452,$A$1:$G$1610,3,FALSE),J1451)</f>
        <v>13.65</v>
      </c>
      <c r="K1452" s="3">
        <f>IFERROR(VLOOKUP(I1452,$A$1:$G$1610,7,FALSE),K1451)</f>
        <v>-1.0384525576663357</v>
      </c>
      <c r="L1452" s="5">
        <f t="shared" si="89"/>
        <v>0</v>
      </c>
    </row>
    <row r="1453" spans="1:12" x14ac:dyDescent="0.25">
      <c r="A1453" s="2">
        <v>45862</v>
      </c>
      <c r="B1453" s="3">
        <v>15.39</v>
      </c>
      <c r="C1453" s="3">
        <f t="shared" si="90"/>
        <v>15.39</v>
      </c>
      <c r="D1453" s="3">
        <v>6363.35</v>
      </c>
      <c r="E1453" s="3">
        <f t="shared" si="91"/>
        <v>6363.35</v>
      </c>
      <c r="F1453" s="3">
        <f>MAX($E$2:E1453)</f>
        <v>6363.35</v>
      </c>
      <c r="G1453" s="3">
        <f t="shared" si="88"/>
        <v>0</v>
      </c>
      <c r="I1453" s="2">
        <v>45282</v>
      </c>
      <c r="J1453" s="3">
        <f>IFERROR(VLOOKUP(I1453,$A$1:$G$1610,3,FALSE),J1452)</f>
        <v>13.03</v>
      </c>
      <c r="K1453" s="3">
        <f>IFERROR(VLOOKUP(I1453,$A$1:$G$1610,7,FALSE),K1452)</f>
        <v>-0.87416815384359392</v>
      </c>
      <c r="L1453" s="5">
        <f t="shared" si="89"/>
        <v>0</v>
      </c>
    </row>
    <row r="1454" spans="1:12" x14ac:dyDescent="0.25">
      <c r="A1454" s="2">
        <v>45863</v>
      </c>
      <c r="B1454" s="3">
        <v>14.93</v>
      </c>
      <c r="C1454" s="3">
        <f t="shared" si="90"/>
        <v>14.93</v>
      </c>
      <c r="D1454" s="3">
        <v>6388.64</v>
      </c>
      <c r="E1454" s="3">
        <f t="shared" si="91"/>
        <v>6388.64</v>
      </c>
      <c r="F1454" s="3">
        <f>MAX($E$2:E1454)</f>
        <v>6388.64</v>
      </c>
      <c r="G1454" s="3">
        <f t="shared" si="88"/>
        <v>0</v>
      </c>
      <c r="I1454" s="2">
        <v>45283</v>
      </c>
      <c r="J1454" s="3">
        <f>IFERROR(VLOOKUP(I1454,$A$1:$G$1610,3,FALSE),J1453)</f>
        <v>13.03</v>
      </c>
      <c r="K1454" s="3">
        <f>IFERROR(VLOOKUP(I1454,$A$1:$G$1610,7,FALSE),K1453)</f>
        <v>-0.87416815384359392</v>
      </c>
      <c r="L1454" s="5">
        <f t="shared" si="89"/>
        <v>0</v>
      </c>
    </row>
    <row r="1455" spans="1:12" x14ac:dyDescent="0.25">
      <c r="A1455" s="2">
        <v>45866</v>
      </c>
      <c r="B1455" s="3">
        <v>15.03</v>
      </c>
      <c r="C1455" s="3">
        <f t="shared" si="90"/>
        <v>15.03</v>
      </c>
      <c r="D1455" s="3">
        <v>6389.77</v>
      </c>
      <c r="E1455" s="3">
        <f t="shared" si="91"/>
        <v>6389.77</v>
      </c>
      <c r="F1455" s="3">
        <f>MAX($E$2:E1455)</f>
        <v>6389.77</v>
      </c>
      <c r="G1455" s="3">
        <f t="shared" si="88"/>
        <v>0</v>
      </c>
      <c r="I1455" s="2">
        <v>45284</v>
      </c>
      <c r="J1455" s="3">
        <f>IFERROR(VLOOKUP(I1455,$A$1:$G$1610,3,FALSE),J1454)</f>
        <v>13.03</v>
      </c>
      <c r="K1455" s="3">
        <f>IFERROR(VLOOKUP(I1455,$A$1:$G$1610,7,FALSE),K1454)</f>
        <v>-0.87416815384359392</v>
      </c>
      <c r="L1455" s="5">
        <f t="shared" si="89"/>
        <v>0</v>
      </c>
    </row>
    <row r="1456" spans="1:12" x14ac:dyDescent="0.25">
      <c r="A1456" s="2">
        <v>45867</v>
      </c>
      <c r="B1456" s="3">
        <v>15.98</v>
      </c>
      <c r="C1456" s="3">
        <f t="shared" si="90"/>
        <v>15.98</v>
      </c>
      <c r="D1456" s="3">
        <v>6370.86</v>
      </c>
      <c r="E1456" s="3">
        <f t="shared" si="91"/>
        <v>6370.86</v>
      </c>
      <c r="F1456" s="3">
        <f>MAX($E$2:E1456)</f>
        <v>6389.77</v>
      </c>
      <c r="G1456" s="3">
        <f t="shared" si="88"/>
        <v>-0.2959417944620974</v>
      </c>
      <c r="I1456" s="2">
        <v>45285</v>
      </c>
      <c r="J1456" s="3">
        <f>IFERROR(VLOOKUP(I1456,$A$1:$G$1610,3,FALSE),J1455)</f>
        <v>13.03</v>
      </c>
      <c r="K1456" s="3">
        <f>IFERROR(VLOOKUP(I1456,$A$1:$G$1610,7,FALSE),K1455)</f>
        <v>-0.87416815384359392</v>
      </c>
      <c r="L1456" s="5">
        <f t="shared" si="89"/>
        <v>0</v>
      </c>
    </row>
    <row r="1457" spans="1:12" x14ac:dyDescent="0.25">
      <c r="A1457" s="2">
        <v>45868</v>
      </c>
      <c r="B1457" s="3">
        <v>15.48</v>
      </c>
      <c r="C1457" s="3">
        <f t="shared" si="90"/>
        <v>15.48</v>
      </c>
      <c r="D1457" s="3">
        <v>6362.9</v>
      </c>
      <c r="E1457" s="3">
        <f t="shared" si="91"/>
        <v>6362.9</v>
      </c>
      <c r="F1457" s="3">
        <f>MAX($E$2:E1457)</f>
        <v>6389.77</v>
      </c>
      <c r="G1457" s="3">
        <f t="shared" si="88"/>
        <v>-0.42051591841335129</v>
      </c>
      <c r="I1457" s="2">
        <v>45286</v>
      </c>
      <c r="J1457" s="3">
        <f>IFERROR(VLOOKUP(I1457,$A$1:$G$1610,3,FALSE),J1456)</f>
        <v>12.99</v>
      </c>
      <c r="K1457" s="3">
        <f>IFERROR(VLOOKUP(I1457,$A$1:$G$1610,7,FALSE),K1456)</f>
        <v>-0.45470086895609352</v>
      </c>
      <c r="L1457" s="5">
        <f t="shared" si="89"/>
        <v>0</v>
      </c>
    </row>
    <row r="1458" spans="1:12" x14ac:dyDescent="0.25">
      <c r="A1458" s="2">
        <v>45869</v>
      </c>
      <c r="B1458" s="3">
        <v>16.72</v>
      </c>
      <c r="C1458" s="3">
        <f t="shared" si="90"/>
        <v>16.72</v>
      </c>
      <c r="D1458" s="3">
        <v>6339.39</v>
      </c>
      <c r="E1458" s="3">
        <f t="shared" si="91"/>
        <v>6339.39</v>
      </c>
      <c r="F1458" s="3">
        <f>MAX($E$2:E1458)</f>
        <v>6389.77</v>
      </c>
      <c r="G1458" s="3">
        <f t="shared" si="88"/>
        <v>-0.78844778450554731</v>
      </c>
      <c r="I1458" s="2">
        <v>45287</v>
      </c>
      <c r="J1458" s="3">
        <f>IFERROR(VLOOKUP(I1458,$A$1:$G$1610,3,FALSE),J1457)</f>
        <v>12.43</v>
      </c>
      <c r="K1458" s="3">
        <f>IFERROR(VLOOKUP(I1458,$A$1:$G$1610,7,FALSE),K1457)</f>
        <v>-0.31230715345998949</v>
      </c>
      <c r="L1458" s="5">
        <f t="shared" si="89"/>
        <v>0</v>
      </c>
    </row>
    <row r="1459" spans="1:12" x14ac:dyDescent="0.25">
      <c r="A1459" s="2">
        <v>45870</v>
      </c>
      <c r="B1459" s="3">
        <v>20.38</v>
      </c>
      <c r="C1459" s="3">
        <f t="shared" si="90"/>
        <v>20.38</v>
      </c>
      <c r="D1459" s="3">
        <v>6238.01</v>
      </c>
      <c r="E1459" s="3">
        <f t="shared" si="91"/>
        <v>6238.01</v>
      </c>
      <c r="F1459" s="3">
        <f>MAX($E$2:E1459)</f>
        <v>6389.77</v>
      </c>
      <c r="G1459" s="3">
        <f t="shared" si="88"/>
        <v>-2.3750463631711347</v>
      </c>
      <c r="I1459" s="2">
        <v>45288</v>
      </c>
      <c r="J1459" s="3">
        <f>IFERROR(VLOOKUP(I1459,$A$1:$G$1610,3,FALSE),J1458)</f>
        <v>12.47</v>
      </c>
      <c r="K1459" s="3">
        <f>IFERROR(VLOOKUP(I1459,$A$1:$G$1610,7,FALSE),K1458)</f>
        <v>-0.27540570742365433</v>
      </c>
      <c r="L1459" s="5">
        <f t="shared" si="89"/>
        <v>0</v>
      </c>
    </row>
    <row r="1460" spans="1:12" x14ac:dyDescent="0.25">
      <c r="A1460" s="2">
        <v>45873</v>
      </c>
      <c r="B1460" s="3">
        <v>17.52</v>
      </c>
      <c r="C1460" s="3">
        <f t="shared" si="90"/>
        <v>17.52</v>
      </c>
      <c r="D1460" s="3">
        <v>6329.94</v>
      </c>
      <c r="E1460" s="3">
        <f t="shared" si="91"/>
        <v>6329.94</v>
      </c>
      <c r="F1460" s="3">
        <f>MAX($E$2:E1460)</f>
        <v>6389.77</v>
      </c>
      <c r="G1460" s="3">
        <f t="shared" si="88"/>
        <v>-0.93634043165874248</v>
      </c>
      <c r="I1460" s="2">
        <v>45289</v>
      </c>
      <c r="J1460" s="3">
        <f>IFERROR(VLOOKUP(I1460,$A$1:$G$1610,3,FALSE),J1459)</f>
        <v>12.45</v>
      </c>
      <c r="K1460" s="3">
        <f>IFERROR(VLOOKUP(I1460,$A$1:$G$1610,7,FALSE),K1459)</f>
        <v>-0.55727437997232332</v>
      </c>
      <c r="L1460" s="5">
        <f t="shared" si="89"/>
        <v>0</v>
      </c>
    </row>
    <row r="1461" spans="1:12" x14ac:dyDescent="0.25">
      <c r="A1461" s="2">
        <v>45874</v>
      </c>
      <c r="B1461" s="3">
        <v>17.850000000000001</v>
      </c>
      <c r="C1461" s="3">
        <f t="shared" si="90"/>
        <v>17.850000000000001</v>
      </c>
      <c r="D1461" s="3">
        <v>6299.19</v>
      </c>
      <c r="E1461" s="3">
        <f t="shared" si="91"/>
        <v>6299.19</v>
      </c>
      <c r="F1461" s="3">
        <f>MAX($E$2:E1461)</f>
        <v>6389.77</v>
      </c>
      <c r="G1461" s="3">
        <f t="shared" si="88"/>
        <v>-1.4175784104905313</v>
      </c>
      <c r="I1461" s="2">
        <v>45290</v>
      </c>
      <c r="J1461" s="3">
        <f>IFERROR(VLOOKUP(I1461,$A$1:$G$1610,3,FALSE),J1460)</f>
        <v>12.45</v>
      </c>
      <c r="K1461" s="3">
        <f>IFERROR(VLOOKUP(I1461,$A$1:$G$1610,7,FALSE),K1460)</f>
        <v>-0.55727437997232332</v>
      </c>
      <c r="L1461" s="5">
        <f t="shared" si="89"/>
        <v>0</v>
      </c>
    </row>
    <row r="1462" spans="1:12" x14ac:dyDescent="0.25">
      <c r="A1462" s="2">
        <v>45875</v>
      </c>
      <c r="B1462" s="3">
        <v>16.77</v>
      </c>
      <c r="C1462" s="3">
        <f t="shared" si="90"/>
        <v>16.77</v>
      </c>
      <c r="D1462" s="3">
        <v>6345.06</v>
      </c>
      <c r="E1462" s="3">
        <f t="shared" si="91"/>
        <v>6345.06</v>
      </c>
      <c r="F1462" s="3">
        <f>MAX($E$2:E1462)</f>
        <v>6389.77</v>
      </c>
      <c r="G1462" s="3">
        <f t="shared" si="88"/>
        <v>-0.69971219621363578</v>
      </c>
      <c r="I1462" s="2">
        <v>45291</v>
      </c>
      <c r="J1462" s="3">
        <f>IFERROR(VLOOKUP(I1462,$A$1:$G$1610,3,FALSE),J1461)</f>
        <v>12.45</v>
      </c>
      <c r="K1462" s="3">
        <f>IFERROR(VLOOKUP(I1462,$A$1:$G$1610,7,FALSE),K1461)</f>
        <v>-0.55727437997232332</v>
      </c>
      <c r="L1462" s="5">
        <f t="shared" si="89"/>
        <v>0</v>
      </c>
    </row>
    <row r="1463" spans="1:12" x14ac:dyDescent="0.25">
      <c r="A1463" s="2">
        <v>45876</v>
      </c>
      <c r="B1463" s="3">
        <v>16.57</v>
      </c>
      <c r="C1463" s="3">
        <f t="shared" si="90"/>
        <v>16.57</v>
      </c>
      <c r="D1463" s="3">
        <v>6340</v>
      </c>
      <c r="E1463" s="3">
        <f t="shared" si="91"/>
        <v>6340</v>
      </c>
      <c r="F1463" s="3">
        <f>MAX($E$2:E1463)</f>
        <v>6389.77</v>
      </c>
      <c r="G1463" s="3">
        <f t="shared" si="88"/>
        <v>-0.77890127500677542</v>
      </c>
      <c r="I1463" s="2">
        <v>45292</v>
      </c>
      <c r="J1463" s="3">
        <f>IFERROR(VLOOKUP(I1463,$A$1:$G$1610,3,FALSE),J1462)</f>
        <v>12.45</v>
      </c>
      <c r="K1463" s="3">
        <f>IFERROR(VLOOKUP(I1463,$A$1:$G$1610,7,FALSE),K1462)</f>
        <v>-0.55727437997232332</v>
      </c>
      <c r="L1463" s="5">
        <f t="shared" si="89"/>
        <v>0</v>
      </c>
    </row>
    <row r="1464" spans="1:12" x14ac:dyDescent="0.25">
      <c r="A1464" s="2">
        <v>45877</v>
      </c>
      <c r="B1464" s="3">
        <v>15.15</v>
      </c>
      <c r="C1464" s="3">
        <f t="shared" si="90"/>
        <v>15.15</v>
      </c>
      <c r="D1464" s="3">
        <v>6389.45</v>
      </c>
      <c r="E1464" s="3">
        <f t="shared" si="91"/>
        <v>6389.45</v>
      </c>
      <c r="F1464" s="3">
        <f>MAX($E$2:E1464)</f>
        <v>6389.77</v>
      </c>
      <c r="G1464" s="3">
        <f t="shared" si="88"/>
        <v>-5.0080049829746365E-3</v>
      </c>
      <c r="I1464" s="2">
        <v>45293</v>
      </c>
      <c r="J1464" s="3">
        <f>IFERROR(VLOOKUP(I1464,$A$1:$G$1610,3,FALSE),J1463)</f>
        <v>13.2</v>
      </c>
      <c r="K1464" s="3">
        <f>IFERROR(VLOOKUP(I1464,$A$1:$G$1610,7,FALSE),K1463)</f>
        <v>-1.1201777940857713</v>
      </c>
      <c r="L1464" s="5">
        <f t="shared" si="89"/>
        <v>0</v>
      </c>
    </row>
    <row r="1465" spans="1:12" x14ac:dyDescent="0.25">
      <c r="A1465" s="2">
        <v>45880</v>
      </c>
      <c r="B1465" s="3">
        <v>16.25</v>
      </c>
      <c r="C1465" s="3">
        <f t="shared" si="90"/>
        <v>16.25</v>
      </c>
      <c r="D1465" s="3">
        <v>6373.45</v>
      </c>
      <c r="E1465" s="3">
        <f t="shared" si="91"/>
        <v>6373.45</v>
      </c>
      <c r="F1465" s="3">
        <f>MAX($E$2:E1465)</f>
        <v>6389.77</v>
      </c>
      <c r="G1465" s="3">
        <f t="shared" si="88"/>
        <v>-0.25540825413122253</v>
      </c>
      <c r="I1465" s="2">
        <v>45294</v>
      </c>
      <c r="J1465" s="3">
        <f>IFERROR(VLOOKUP(I1465,$A$1:$G$1610,3,FALSE),J1464)</f>
        <v>14.04</v>
      </c>
      <c r="K1465" s="3">
        <f>IFERROR(VLOOKUP(I1465,$A$1:$G$1610,7,FALSE),K1464)</f>
        <v>-1.9128291942558833</v>
      </c>
      <c r="L1465" s="5">
        <f t="shared" si="89"/>
        <v>0</v>
      </c>
    </row>
    <row r="1466" spans="1:12" x14ac:dyDescent="0.25">
      <c r="A1466" s="2">
        <v>45881</v>
      </c>
      <c r="B1466" s="3">
        <v>14.73</v>
      </c>
      <c r="C1466" s="3">
        <f t="shared" si="90"/>
        <v>14.73</v>
      </c>
      <c r="D1466" s="3">
        <v>6445.76</v>
      </c>
      <c r="E1466" s="3">
        <f t="shared" si="91"/>
        <v>6445.76</v>
      </c>
      <c r="F1466" s="3">
        <f>MAX($E$2:E1466)</f>
        <v>6445.76</v>
      </c>
      <c r="G1466" s="3">
        <f t="shared" si="88"/>
        <v>0</v>
      </c>
      <c r="I1466" s="2">
        <v>45295</v>
      </c>
      <c r="J1466" s="3">
        <f>IFERROR(VLOOKUP(I1466,$A$1:$G$1610,3,FALSE),J1465)</f>
        <v>14.13</v>
      </c>
      <c r="K1466" s="3">
        <f>IFERROR(VLOOKUP(I1466,$A$1:$G$1610,7,FALSE),K1465)</f>
        <v>-2.2491118635021787</v>
      </c>
      <c r="L1466" s="5">
        <f t="shared" si="89"/>
        <v>0</v>
      </c>
    </row>
    <row r="1467" spans="1:12" x14ac:dyDescent="0.25">
      <c r="A1467" s="2">
        <v>45882</v>
      </c>
      <c r="B1467" s="3">
        <v>14.49</v>
      </c>
      <c r="C1467" s="3">
        <f t="shared" si="90"/>
        <v>14.49</v>
      </c>
      <c r="D1467" s="3">
        <v>6466.58</v>
      </c>
      <c r="E1467" s="3">
        <f t="shared" si="91"/>
        <v>6466.58</v>
      </c>
      <c r="F1467" s="3">
        <f>MAX($E$2:E1467)</f>
        <v>6466.58</v>
      </c>
      <c r="G1467" s="3">
        <f t="shared" si="88"/>
        <v>0</v>
      </c>
      <c r="I1467" s="2">
        <v>45296</v>
      </c>
      <c r="J1467" s="3">
        <f>IFERROR(VLOOKUP(I1467,$A$1:$G$1610,3,FALSE),J1466)</f>
        <v>13.35</v>
      </c>
      <c r="K1467" s="3">
        <f>IFERROR(VLOOKUP(I1467,$A$1:$G$1610,7,FALSE),K1466)</f>
        <v>-2.0706506329536292</v>
      </c>
      <c r="L1467" s="5">
        <f t="shared" si="89"/>
        <v>0</v>
      </c>
    </row>
    <row r="1468" spans="1:12" x14ac:dyDescent="0.25">
      <c r="A1468" s="2">
        <v>45883</v>
      </c>
      <c r="B1468" s="3">
        <v>14.83</v>
      </c>
      <c r="C1468" s="3">
        <f t="shared" si="90"/>
        <v>14.83</v>
      </c>
      <c r="D1468" s="3">
        <v>6468.54</v>
      </c>
      <c r="E1468" s="3">
        <f t="shared" si="91"/>
        <v>6468.54</v>
      </c>
      <c r="F1468" s="3">
        <f>MAX($E$2:E1468)</f>
        <v>6468.54</v>
      </c>
      <c r="G1468" s="3">
        <f t="shared" si="88"/>
        <v>0</v>
      </c>
      <c r="I1468" s="2">
        <v>45297</v>
      </c>
      <c r="J1468" s="3">
        <f>IFERROR(VLOOKUP(I1468,$A$1:$G$1610,3,FALSE),J1467)</f>
        <v>13.35</v>
      </c>
      <c r="K1468" s="3">
        <f>IFERROR(VLOOKUP(I1468,$A$1:$G$1610,7,FALSE),K1467)</f>
        <v>-2.0706506329536292</v>
      </c>
      <c r="L1468" s="5">
        <f t="shared" si="89"/>
        <v>0</v>
      </c>
    </row>
    <row r="1469" spans="1:12" x14ac:dyDescent="0.25">
      <c r="A1469" s="2">
        <v>45884</v>
      </c>
      <c r="B1469" s="3">
        <v>15.09</v>
      </c>
      <c r="C1469" s="3">
        <f t="shared" si="90"/>
        <v>15.09</v>
      </c>
      <c r="D1469" s="3">
        <v>6449.8</v>
      </c>
      <c r="E1469" s="3">
        <f t="shared" si="91"/>
        <v>6449.8</v>
      </c>
      <c r="F1469" s="3">
        <f>MAX($E$2:E1469)</f>
        <v>6468.54</v>
      </c>
      <c r="G1469" s="3">
        <f t="shared" si="88"/>
        <v>-0.28970988816641441</v>
      </c>
      <c r="I1469" s="2">
        <v>45298</v>
      </c>
      <c r="J1469" s="3">
        <f>IFERROR(VLOOKUP(I1469,$A$1:$G$1610,3,FALSE),J1468)</f>
        <v>13.35</v>
      </c>
      <c r="K1469" s="3">
        <f>IFERROR(VLOOKUP(I1469,$A$1:$G$1610,7,FALSE),K1468)</f>
        <v>-2.0706506329536292</v>
      </c>
      <c r="L1469" s="5">
        <f t="shared" si="89"/>
        <v>0</v>
      </c>
    </row>
    <row r="1470" spans="1:12" x14ac:dyDescent="0.25">
      <c r="A1470" s="2">
        <v>45887</v>
      </c>
      <c r="B1470" s="3">
        <v>14.99</v>
      </c>
      <c r="C1470" s="3">
        <f t="shared" si="90"/>
        <v>14.99</v>
      </c>
      <c r="D1470" s="3">
        <v>6449.15</v>
      </c>
      <c r="E1470" s="3">
        <f t="shared" si="91"/>
        <v>6449.15</v>
      </c>
      <c r="F1470" s="3">
        <f>MAX($E$2:E1470)</f>
        <v>6468.54</v>
      </c>
      <c r="G1470" s="3">
        <f t="shared" si="88"/>
        <v>-0.29975852356173616</v>
      </c>
      <c r="I1470" s="2">
        <v>45299</v>
      </c>
      <c r="J1470" s="3">
        <f>IFERROR(VLOOKUP(I1470,$A$1:$G$1610,3,FALSE),J1469)</f>
        <v>13.08</v>
      </c>
      <c r="K1470" s="3">
        <f>IFERROR(VLOOKUP(I1470,$A$1:$G$1610,7,FALSE),K1469)</f>
        <v>-0.68841002718615907</v>
      </c>
      <c r="L1470" s="5">
        <f t="shared" si="89"/>
        <v>0</v>
      </c>
    </row>
    <row r="1471" spans="1:12" x14ac:dyDescent="0.25">
      <c r="A1471" s="2">
        <v>45888</v>
      </c>
      <c r="B1471" s="3">
        <v>15.57</v>
      </c>
      <c r="C1471" s="3">
        <f t="shared" si="90"/>
        <v>15.57</v>
      </c>
      <c r="D1471" s="3">
        <v>6411.37</v>
      </c>
      <c r="E1471" s="3">
        <f t="shared" si="91"/>
        <v>6411.37</v>
      </c>
      <c r="F1471" s="3">
        <f>MAX($E$2:E1471)</f>
        <v>6468.54</v>
      </c>
      <c r="G1471" s="3">
        <f t="shared" si="88"/>
        <v>-0.88381613161548167</v>
      </c>
      <c r="I1471" s="2">
        <v>45300</v>
      </c>
      <c r="J1471" s="3">
        <f>IFERROR(VLOOKUP(I1471,$A$1:$G$1610,3,FALSE),J1470)</f>
        <v>12.76</v>
      </c>
      <c r="K1471" s="3">
        <f>IFERROR(VLOOKUP(I1471,$A$1:$G$1610,7,FALSE),K1470)</f>
        <v>-0.83518188034759078</v>
      </c>
      <c r="L1471" s="5">
        <f t="shared" si="89"/>
        <v>0</v>
      </c>
    </row>
    <row r="1472" spans="1:12" x14ac:dyDescent="0.25">
      <c r="A1472" s="2">
        <v>45889</v>
      </c>
      <c r="B1472" s="3">
        <v>15.69</v>
      </c>
      <c r="C1472" s="3">
        <f t="shared" si="90"/>
        <v>15.69</v>
      </c>
      <c r="D1472" s="3">
        <v>6395.78</v>
      </c>
      <c r="E1472" s="3">
        <f t="shared" si="91"/>
        <v>6395.78</v>
      </c>
      <c r="F1472" s="3">
        <f>MAX($E$2:E1472)</f>
        <v>6468.54</v>
      </c>
      <c r="G1472" s="3">
        <f t="shared" si="88"/>
        <v>-1.1248287867123063</v>
      </c>
      <c r="I1472" s="2">
        <v>45301</v>
      </c>
      <c r="J1472" s="3">
        <f>IFERROR(VLOOKUP(I1472,$A$1:$G$1610,3,FALSE),J1471)</f>
        <v>12.69</v>
      </c>
      <c r="K1472" s="3">
        <f>IFERROR(VLOOKUP(I1472,$A$1:$G$1610,7,FALSE),K1471)</f>
        <v>-0.2733208799639863</v>
      </c>
      <c r="L1472" s="5">
        <f t="shared" si="89"/>
        <v>0</v>
      </c>
    </row>
    <row r="1473" spans="1:12" x14ac:dyDescent="0.25">
      <c r="A1473" s="2">
        <v>45890</v>
      </c>
      <c r="B1473" s="3">
        <v>16.600000000000001</v>
      </c>
      <c r="C1473" s="3">
        <f t="shared" si="90"/>
        <v>16.600000000000001</v>
      </c>
      <c r="D1473" s="3">
        <v>6370.17</v>
      </c>
      <c r="E1473" s="3">
        <f t="shared" si="91"/>
        <v>6370.17</v>
      </c>
      <c r="F1473" s="3">
        <f>MAX($E$2:E1473)</f>
        <v>6468.54</v>
      </c>
      <c r="G1473" s="3">
        <f t="shared" si="88"/>
        <v>-1.5207450212876459</v>
      </c>
      <c r="I1473" s="2">
        <v>45302</v>
      </c>
      <c r="J1473" s="3">
        <f>IFERROR(VLOOKUP(I1473,$A$1:$G$1610,3,FALSE),J1472)</f>
        <v>12.44</v>
      </c>
      <c r="K1473" s="3">
        <f>IFERROR(VLOOKUP(I1473,$A$1:$G$1610,7,FALSE),K1472)</f>
        <v>-0.34024384141969694</v>
      </c>
      <c r="L1473" s="5">
        <f t="shared" si="89"/>
        <v>0</v>
      </c>
    </row>
    <row r="1474" spans="1:12" x14ac:dyDescent="0.25">
      <c r="A1474" s="2">
        <v>45891</v>
      </c>
      <c r="B1474" s="3">
        <v>14.22</v>
      </c>
      <c r="C1474" s="3">
        <f t="shared" si="90"/>
        <v>14.22</v>
      </c>
      <c r="D1474" s="3">
        <v>6466.91</v>
      </c>
      <c r="E1474" s="3">
        <f t="shared" si="91"/>
        <v>6466.91</v>
      </c>
      <c r="F1474" s="3">
        <f>MAX($E$2:E1474)</f>
        <v>6468.54</v>
      </c>
      <c r="G1474" s="3">
        <f t="shared" ref="G1474:G1537" si="92">(E1474-F1474)/F1474*100</f>
        <v>-2.5198885683633543E-2</v>
      </c>
      <c r="I1474" s="2">
        <v>45303</v>
      </c>
      <c r="J1474" s="3">
        <f>IFERROR(VLOOKUP(I1474,$A$1:$G$1610,3,FALSE),J1473)</f>
        <v>12.7</v>
      </c>
      <c r="K1474" s="3">
        <f>IFERROR(VLOOKUP(I1474,$A$1:$G$1610,7,FALSE),K1473)</f>
        <v>-0.26539853561720217</v>
      </c>
      <c r="L1474" s="5">
        <f t="shared" ref="L1474:L1537" si="93">IF(OR(J1474&gt;=30,K1474&lt;-10),1,0)</f>
        <v>0</v>
      </c>
    </row>
    <row r="1475" spans="1:12" x14ac:dyDescent="0.25">
      <c r="A1475" s="2">
        <v>45894</v>
      </c>
      <c r="B1475" s="3">
        <v>14.79</v>
      </c>
      <c r="C1475" s="3">
        <f t="shared" ref="C1475:C1538" si="94">IF(B1475="",B1474,B1475)</f>
        <v>14.79</v>
      </c>
      <c r="D1475" s="3">
        <v>6439.32</v>
      </c>
      <c r="E1475" s="3">
        <f t="shared" si="91"/>
        <v>6439.32</v>
      </c>
      <c r="F1475" s="3">
        <f>MAX($E$2:E1475)</f>
        <v>6468.54</v>
      </c>
      <c r="G1475" s="3">
        <f t="shared" si="92"/>
        <v>-0.45172480961701178</v>
      </c>
      <c r="I1475" s="2">
        <v>45304</v>
      </c>
      <c r="J1475" s="3">
        <f>IFERROR(VLOOKUP(I1475,$A$1:$G$1610,3,FALSE),J1474)</f>
        <v>12.7</v>
      </c>
      <c r="K1475" s="3">
        <f>IFERROR(VLOOKUP(I1475,$A$1:$G$1610,7,FALSE),K1474)</f>
        <v>-0.26539853561720217</v>
      </c>
      <c r="L1475" s="5">
        <f t="shared" si="93"/>
        <v>0</v>
      </c>
    </row>
    <row r="1476" spans="1:12" x14ac:dyDescent="0.25">
      <c r="A1476" s="2">
        <v>45895</v>
      </c>
      <c r="B1476" s="3">
        <v>14.62</v>
      </c>
      <c r="C1476" s="3">
        <f t="shared" si="94"/>
        <v>14.62</v>
      </c>
      <c r="D1476" s="3">
        <v>6465.94</v>
      </c>
      <c r="E1476" s="3">
        <f t="shared" si="91"/>
        <v>6465.94</v>
      </c>
      <c r="F1476" s="3">
        <f>MAX($E$2:E1476)</f>
        <v>6468.54</v>
      </c>
      <c r="G1476" s="3">
        <f t="shared" si="92"/>
        <v>-4.0194541581258889E-2</v>
      </c>
      <c r="I1476" s="2">
        <v>45305</v>
      </c>
      <c r="J1476" s="3">
        <f>IFERROR(VLOOKUP(I1476,$A$1:$G$1610,3,FALSE),J1475)</f>
        <v>12.7</v>
      </c>
      <c r="K1476" s="3">
        <f>IFERROR(VLOOKUP(I1476,$A$1:$G$1610,7,FALSE),K1475)</f>
        <v>-0.26539853561720217</v>
      </c>
      <c r="L1476" s="5">
        <f t="shared" si="93"/>
        <v>0</v>
      </c>
    </row>
    <row r="1477" spans="1:12" x14ac:dyDescent="0.25">
      <c r="A1477" s="2">
        <v>45896</v>
      </c>
      <c r="B1477" s="3">
        <v>14.85</v>
      </c>
      <c r="C1477" s="3">
        <f t="shared" si="94"/>
        <v>14.85</v>
      </c>
      <c r="D1477" s="3">
        <v>6481.4</v>
      </c>
      <c r="E1477" s="3">
        <f t="shared" ref="E1477:E1540" si="95">IF(D1477="",D1476,D1477)</f>
        <v>6481.4</v>
      </c>
      <c r="F1477" s="3">
        <f>MAX($E$2:E1477)</f>
        <v>6481.4</v>
      </c>
      <c r="G1477" s="3">
        <f t="shared" si="92"/>
        <v>0</v>
      </c>
      <c r="I1477" s="2">
        <v>45306</v>
      </c>
      <c r="J1477" s="3">
        <f>IFERROR(VLOOKUP(I1477,$A$1:$G$1610,3,FALSE),J1476)</f>
        <v>13.25</v>
      </c>
      <c r="K1477" s="3">
        <f>IFERROR(VLOOKUP(I1477,$A$1:$G$1610,7,FALSE),K1476)</f>
        <v>-0.26539853561720217</v>
      </c>
      <c r="L1477" s="5">
        <f t="shared" si="93"/>
        <v>0</v>
      </c>
    </row>
    <row r="1478" spans="1:12" x14ac:dyDescent="0.25">
      <c r="A1478" s="2">
        <v>45897</v>
      </c>
      <c r="B1478" s="3">
        <v>14.43</v>
      </c>
      <c r="C1478" s="3">
        <f t="shared" si="94"/>
        <v>14.43</v>
      </c>
      <c r="D1478" s="3">
        <v>6501.86</v>
      </c>
      <c r="E1478" s="3">
        <f t="shared" si="95"/>
        <v>6501.86</v>
      </c>
      <c r="F1478" s="3">
        <f>MAX($E$2:E1478)</f>
        <v>6501.86</v>
      </c>
      <c r="G1478" s="3">
        <f t="shared" si="92"/>
        <v>0</v>
      </c>
      <c r="I1478" s="2">
        <v>45307</v>
      </c>
      <c r="J1478" s="3">
        <f>IFERROR(VLOOKUP(I1478,$A$1:$G$1610,3,FALSE),J1477)</f>
        <v>13.84</v>
      </c>
      <c r="K1478" s="3">
        <f>IFERROR(VLOOKUP(I1478,$A$1:$G$1610,7,FALSE),K1477)</f>
        <v>-0.6375402371699892</v>
      </c>
      <c r="L1478" s="5">
        <f t="shared" si="93"/>
        <v>0</v>
      </c>
    </row>
    <row r="1479" spans="1:12" x14ac:dyDescent="0.25">
      <c r="A1479" s="2">
        <v>45898</v>
      </c>
      <c r="B1479" s="3">
        <v>15.36</v>
      </c>
      <c r="C1479" s="3">
        <f t="shared" si="94"/>
        <v>15.36</v>
      </c>
      <c r="D1479" s="3">
        <v>6460.26</v>
      </c>
      <c r="E1479" s="3">
        <f t="shared" si="95"/>
        <v>6460.26</v>
      </c>
      <c r="F1479" s="3">
        <f>MAX($E$2:E1479)</f>
        <v>6501.86</v>
      </c>
      <c r="G1479" s="3">
        <f t="shared" si="92"/>
        <v>-0.63981691392923656</v>
      </c>
      <c r="I1479" s="2">
        <v>45308</v>
      </c>
      <c r="J1479" s="3">
        <f>IFERROR(VLOOKUP(I1479,$A$1:$G$1610,3,FALSE),J1478)</f>
        <v>14.79</v>
      </c>
      <c r="K1479" s="3">
        <f>IFERROR(VLOOKUP(I1479,$A$1:$G$1610,7,FALSE),K1478)</f>
        <v>-1.1956485481261647</v>
      </c>
      <c r="L1479" s="5">
        <f t="shared" si="93"/>
        <v>0</v>
      </c>
    </row>
    <row r="1480" spans="1:12" x14ac:dyDescent="0.25">
      <c r="A1480" s="2">
        <v>45901</v>
      </c>
      <c r="B1480" s="3">
        <v>16.12</v>
      </c>
      <c r="C1480" s="3">
        <f t="shared" si="94"/>
        <v>16.12</v>
      </c>
      <c r="E1480" s="3">
        <f t="shared" si="95"/>
        <v>6460.26</v>
      </c>
      <c r="F1480" s="3">
        <f>MAX($E$2:E1480)</f>
        <v>6501.86</v>
      </c>
      <c r="G1480" s="3">
        <f t="shared" si="92"/>
        <v>-0.63981691392923656</v>
      </c>
      <c r="I1480" s="2">
        <v>45309</v>
      </c>
      <c r="J1480" s="3">
        <f>IFERROR(VLOOKUP(I1480,$A$1:$G$1610,3,FALSE),J1479)</f>
        <v>14.13</v>
      </c>
      <c r="K1480" s="3">
        <f>IFERROR(VLOOKUP(I1480,$A$1:$G$1610,7,FALSE),K1479)</f>
        <v>-0.32565004920194474</v>
      </c>
      <c r="L1480" s="5">
        <f t="shared" si="93"/>
        <v>0</v>
      </c>
    </row>
    <row r="1481" spans="1:12" x14ac:dyDescent="0.25">
      <c r="A1481" s="2">
        <v>45902</v>
      </c>
      <c r="B1481" s="3">
        <v>17.170000000000002</v>
      </c>
      <c r="C1481" s="3">
        <f t="shared" si="94"/>
        <v>17.170000000000002</v>
      </c>
      <c r="D1481" s="3">
        <v>6415.54</v>
      </c>
      <c r="E1481" s="3">
        <f t="shared" si="95"/>
        <v>6415.54</v>
      </c>
      <c r="F1481" s="3">
        <f>MAX($E$2:E1481)</f>
        <v>6501.86</v>
      </c>
      <c r="G1481" s="3">
        <f t="shared" si="92"/>
        <v>-1.3276200964031788</v>
      </c>
      <c r="I1481" s="2">
        <v>45310</v>
      </c>
      <c r="J1481" s="3">
        <f>IFERROR(VLOOKUP(I1481,$A$1:$G$1610,3,FALSE),J1480)</f>
        <v>13.3</v>
      </c>
      <c r="K1481" s="3">
        <f>IFERROR(VLOOKUP(I1481,$A$1:$G$1610,7,FALSE),K1480)</f>
        <v>0</v>
      </c>
      <c r="L1481" s="5">
        <f t="shared" si="93"/>
        <v>0</v>
      </c>
    </row>
    <row r="1482" spans="1:12" x14ac:dyDescent="0.25">
      <c r="A1482" s="2">
        <v>45903</v>
      </c>
      <c r="B1482" s="3">
        <v>16.350000000000001</v>
      </c>
      <c r="C1482" s="3">
        <f t="shared" si="94"/>
        <v>16.350000000000001</v>
      </c>
      <c r="D1482" s="3">
        <v>6448.26</v>
      </c>
      <c r="E1482" s="3">
        <f t="shared" si="95"/>
        <v>6448.26</v>
      </c>
      <c r="F1482" s="3">
        <f>MAX($E$2:E1482)</f>
        <v>6501.86</v>
      </c>
      <c r="G1482" s="3">
        <f t="shared" si="92"/>
        <v>-0.82437948525498017</v>
      </c>
      <c r="I1482" s="2">
        <v>45311</v>
      </c>
      <c r="J1482" s="3">
        <f>IFERROR(VLOOKUP(I1482,$A$1:$G$1610,3,FALSE),J1481)</f>
        <v>13.3</v>
      </c>
      <c r="K1482" s="3">
        <f>IFERROR(VLOOKUP(I1482,$A$1:$G$1610,7,FALSE),K1481)</f>
        <v>0</v>
      </c>
      <c r="L1482" s="5">
        <f t="shared" si="93"/>
        <v>0</v>
      </c>
    </row>
    <row r="1483" spans="1:12" x14ac:dyDescent="0.25">
      <c r="A1483" s="2">
        <v>45904</v>
      </c>
      <c r="B1483" s="3">
        <v>15.3</v>
      </c>
      <c r="C1483" s="3">
        <f t="shared" si="94"/>
        <v>15.3</v>
      </c>
      <c r="D1483" s="3">
        <v>6502.08</v>
      </c>
      <c r="E1483" s="3">
        <f t="shared" si="95"/>
        <v>6502.08</v>
      </c>
      <c r="F1483" s="3">
        <f>MAX($E$2:E1483)</f>
        <v>6502.08</v>
      </c>
      <c r="G1483" s="3">
        <f t="shared" si="92"/>
        <v>0</v>
      </c>
      <c r="I1483" s="2">
        <v>45312</v>
      </c>
      <c r="J1483" s="3">
        <f>IFERROR(VLOOKUP(I1483,$A$1:$G$1610,3,FALSE),J1482)</f>
        <v>13.3</v>
      </c>
      <c r="K1483" s="3">
        <f>IFERROR(VLOOKUP(I1483,$A$1:$G$1610,7,FALSE),K1482)</f>
        <v>0</v>
      </c>
      <c r="L1483" s="5">
        <f t="shared" si="93"/>
        <v>0</v>
      </c>
    </row>
    <row r="1484" spans="1:12" x14ac:dyDescent="0.25">
      <c r="A1484" s="2">
        <v>45905</v>
      </c>
      <c r="B1484" s="3">
        <v>15.18</v>
      </c>
      <c r="C1484" s="3">
        <f t="shared" si="94"/>
        <v>15.18</v>
      </c>
      <c r="D1484" s="3">
        <v>6481.5</v>
      </c>
      <c r="E1484" s="3">
        <f t="shared" si="95"/>
        <v>6481.5</v>
      </c>
      <c r="F1484" s="3">
        <f>MAX($E$2:E1484)</f>
        <v>6502.08</v>
      </c>
      <c r="G1484" s="3">
        <f t="shared" si="92"/>
        <v>-0.3165141001033504</v>
      </c>
      <c r="I1484" s="2">
        <v>45313</v>
      </c>
      <c r="J1484" s="3">
        <f>IFERROR(VLOOKUP(I1484,$A$1:$G$1610,3,FALSE),J1483)</f>
        <v>13.19</v>
      </c>
      <c r="K1484" s="3">
        <f>IFERROR(VLOOKUP(I1484,$A$1:$G$1610,7,FALSE),K1483)</f>
        <v>0</v>
      </c>
      <c r="L1484" s="5">
        <f t="shared" si="93"/>
        <v>0</v>
      </c>
    </row>
    <row r="1485" spans="1:12" x14ac:dyDescent="0.25">
      <c r="A1485" s="2">
        <v>45908</v>
      </c>
      <c r="B1485" s="3">
        <v>15.11</v>
      </c>
      <c r="C1485" s="3">
        <f t="shared" si="94"/>
        <v>15.11</v>
      </c>
      <c r="D1485" s="3">
        <v>6495.15</v>
      </c>
      <c r="E1485" s="3">
        <f t="shared" si="95"/>
        <v>6495.15</v>
      </c>
      <c r="F1485" s="3">
        <f>MAX($E$2:E1485)</f>
        <v>6502.08</v>
      </c>
      <c r="G1485" s="3">
        <f t="shared" si="92"/>
        <v>-0.10658127860623511</v>
      </c>
      <c r="I1485" s="2">
        <v>45314</v>
      </c>
      <c r="J1485" s="3">
        <f>IFERROR(VLOOKUP(I1485,$A$1:$G$1610,3,FALSE),J1484)</f>
        <v>12.55</v>
      </c>
      <c r="K1485" s="3">
        <f>IFERROR(VLOOKUP(I1485,$A$1:$G$1610,7,FALSE),K1484)</f>
        <v>0</v>
      </c>
      <c r="L1485" s="5">
        <f t="shared" si="93"/>
        <v>0</v>
      </c>
    </row>
    <row r="1486" spans="1:12" x14ac:dyDescent="0.25">
      <c r="A1486" s="2">
        <v>45909</v>
      </c>
      <c r="B1486" s="3">
        <v>15.04</v>
      </c>
      <c r="C1486" s="3">
        <f t="shared" si="94"/>
        <v>15.04</v>
      </c>
      <c r="D1486" s="3">
        <v>6512.61</v>
      </c>
      <c r="E1486" s="3">
        <f t="shared" si="95"/>
        <v>6512.61</v>
      </c>
      <c r="F1486" s="3">
        <f>MAX($E$2:E1486)</f>
        <v>6512.61</v>
      </c>
      <c r="G1486" s="3">
        <f t="shared" si="92"/>
        <v>0</v>
      </c>
      <c r="I1486" s="2">
        <v>45315</v>
      </c>
      <c r="J1486" s="3">
        <f>IFERROR(VLOOKUP(I1486,$A$1:$G$1610,3,FALSE),J1485)</f>
        <v>13.14</v>
      </c>
      <c r="K1486" s="3">
        <f>IFERROR(VLOOKUP(I1486,$A$1:$G$1610,7,FALSE),K1485)</f>
        <v>0</v>
      </c>
      <c r="L1486" s="5">
        <f t="shared" si="93"/>
        <v>0</v>
      </c>
    </row>
    <row r="1487" spans="1:12" x14ac:dyDescent="0.25">
      <c r="A1487" s="2">
        <v>45910</v>
      </c>
      <c r="B1487" s="3">
        <v>15.35</v>
      </c>
      <c r="C1487" s="3">
        <f t="shared" si="94"/>
        <v>15.35</v>
      </c>
      <c r="D1487" s="3">
        <v>6532.04</v>
      </c>
      <c r="E1487" s="3">
        <f t="shared" si="95"/>
        <v>6532.04</v>
      </c>
      <c r="F1487" s="3">
        <f>MAX($E$2:E1487)</f>
        <v>6532.04</v>
      </c>
      <c r="G1487" s="3">
        <f t="shared" si="92"/>
        <v>0</v>
      </c>
      <c r="I1487" s="2">
        <v>45316</v>
      </c>
      <c r="J1487" s="3">
        <f>IFERROR(VLOOKUP(I1487,$A$1:$G$1610,3,FALSE),J1486)</f>
        <v>13.45</v>
      </c>
      <c r="K1487" s="3">
        <f>IFERROR(VLOOKUP(I1487,$A$1:$G$1610,7,FALSE),K1486)</f>
        <v>0</v>
      </c>
      <c r="L1487" s="5">
        <f t="shared" si="93"/>
        <v>0</v>
      </c>
    </row>
    <row r="1488" spans="1:12" x14ac:dyDescent="0.25">
      <c r="A1488" s="2">
        <v>45911</v>
      </c>
      <c r="B1488" s="3">
        <v>14.71</v>
      </c>
      <c r="C1488" s="3">
        <f t="shared" si="94"/>
        <v>14.71</v>
      </c>
      <c r="D1488" s="3">
        <v>6587.47</v>
      </c>
      <c r="E1488" s="3">
        <f t="shared" si="95"/>
        <v>6587.47</v>
      </c>
      <c r="F1488" s="3">
        <f>MAX($E$2:E1488)</f>
        <v>6587.47</v>
      </c>
      <c r="G1488" s="3">
        <f t="shared" si="92"/>
        <v>0</v>
      </c>
      <c r="I1488" s="2">
        <v>45317</v>
      </c>
      <c r="J1488" s="3">
        <f>IFERROR(VLOOKUP(I1488,$A$1:$G$1610,3,FALSE),J1487)</f>
        <v>13.26</v>
      </c>
      <c r="K1488" s="3">
        <f>IFERROR(VLOOKUP(I1488,$A$1:$G$1610,7,FALSE),K1487)</f>
        <v>-6.5179724406222925E-2</v>
      </c>
      <c r="L1488" s="5">
        <f t="shared" si="93"/>
        <v>0</v>
      </c>
    </row>
    <row r="1489" spans="1:12" x14ac:dyDescent="0.25">
      <c r="A1489" s="2">
        <v>45912</v>
      </c>
      <c r="B1489" s="3">
        <v>14.76</v>
      </c>
      <c r="C1489" s="3">
        <f t="shared" si="94"/>
        <v>14.76</v>
      </c>
      <c r="D1489" s="3">
        <v>6584.29</v>
      </c>
      <c r="E1489" s="3">
        <f t="shared" si="95"/>
        <v>6584.29</v>
      </c>
      <c r="F1489" s="3">
        <f>MAX($E$2:E1489)</f>
        <v>6587.47</v>
      </c>
      <c r="G1489" s="3">
        <f t="shared" si="92"/>
        <v>-4.8273464622993208E-2</v>
      </c>
      <c r="I1489" s="2">
        <v>45318</v>
      </c>
      <c r="J1489" s="3">
        <f>IFERROR(VLOOKUP(I1489,$A$1:$G$1610,3,FALSE),J1488)</f>
        <v>13.26</v>
      </c>
      <c r="K1489" s="3">
        <f>IFERROR(VLOOKUP(I1489,$A$1:$G$1610,7,FALSE),K1488)</f>
        <v>-6.5179724406222925E-2</v>
      </c>
      <c r="L1489" s="5">
        <f t="shared" si="93"/>
        <v>0</v>
      </c>
    </row>
    <row r="1490" spans="1:12" x14ac:dyDescent="0.25">
      <c r="A1490" s="2">
        <v>45915</v>
      </c>
      <c r="B1490" s="3">
        <v>15.69</v>
      </c>
      <c r="C1490" s="3">
        <f t="shared" si="94"/>
        <v>15.69</v>
      </c>
      <c r="D1490" s="3">
        <v>6615.28</v>
      </c>
      <c r="E1490" s="3">
        <f t="shared" si="95"/>
        <v>6615.28</v>
      </c>
      <c r="F1490" s="3">
        <f>MAX($E$2:E1490)</f>
        <v>6615.28</v>
      </c>
      <c r="G1490" s="3">
        <f t="shared" si="92"/>
        <v>0</v>
      </c>
      <c r="I1490" s="2">
        <v>45319</v>
      </c>
      <c r="J1490" s="3">
        <f>IFERROR(VLOOKUP(I1490,$A$1:$G$1610,3,FALSE),J1489)</f>
        <v>13.26</v>
      </c>
      <c r="K1490" s="3">
        <f>IFERROR(VLOOKUP(I1490,$A$1:$G$1610,7,FALSE),K1489)</f>
        <v>-6.5179724406222925E-2</v>
      </c>
      <c r="L1490" s="5">
        <f t="shared" si="93"/>
        <v>0</v>
      </c>
    </row>
    <row r="1491" spans="1:12" x14ac:dyDescent="0.25">
      <c r="A1491" s="2">
        <v>45916</v>
      </c>
      <c r="B1491" s="3">
        <v>16.36</v>
      </c>
      <c r="C1491" s="3">
        <f t="shared" si="94"/>
        <v>16.36</v>
      </c>
      <c r="D1491" s="3">
        <v>6606.76</v>
      </c>
      <c r="E1491" s="3">
        <f t="shared" si="95"/>
        <v>6606.76</v>
      </c>
      <c r="F1491" s="3">
        <f>MAX($E$2:E1491)</f>
        <v>6615.28</v>
      </c>
      <c r="G1491" s="3">
        <f t="shared" si="92"/>
        <v>-0.12879273439672284</v>
      </c>
      <c r="I1491" s="2">
        <v>45320</v>
      </c>
      <c r="J1491" s="3">
        <f>IFERROR(VLOOKUP(I1491,$A$1:$G$1610,3,FALSE),J1490)</f>
        <v>13.6</v>
      </c>
      <c r="K1491" s="3">
        <f>IFERROR(VLOOKUP(I1491,$A$1:$G$1610,7,FALSE),K1490)</f>
        <v>0</v>
      </c>
      <c r="L1491" s="5">
        <f t="shared" si="93"/>
        <v>0</v>
      </c>
    </row>
    <row r="1492" spans="1:12" x14ac:dyDescent="0.25">
      <c r="A1492" s="2">
        <v>45917</v>
      </c>
      <c r="B1492" s="3">
        <v>15.72</v>
      </c>
      <c r="C1492" s="3">
        <f t="shared" si="94"/>
        <v>15.72</v>
      </c>
      <c r="D1492" s="3">
        <v>6600.35</v>
      </c>
      <c r="E1492" s="3">
        <f t="shared" si="95"/>
        <v>6600.35</v>
      </c>
      <c r="F1492" s="3">
        <f>MAX($E$2:E1492)</f>
        <v>6615.28</v>
      </c>
      <c r="G1492" s="3">
        <f t="shared" si="92"/>
        <v>-0.22568961555670181</v>
      </c>
      <c r="I1492" s="2">
        <v>45321</v>
      </c>
      <c r="J1492" s="3">
        <f>IFERROR(VLOOKUP(I1492,$A$1:$G$1610,3,FALSE),J1491)</f>
        <v>13.31</v>
      </c>
      <c r="K1492" s="3">
        <f>IFERROR(VLOOKUP(I1492,$A$1:$G$1610,7,FALSE),K1491)</f>
        <v>-6.0065788272155578E-2</v>
      </c>
      <c r="L1492" s="5">
        <f t="shared" si="93"/>
        <v>0</v>
      </c>
    </row>
    <row r="1493" spans="1:12" x14ac:dyDescent="0.25">
      <c r="A1493" s="2">
        <v>45918</v>
      </c>
      <c r="B1493" s="3">
        <v>15.7</v>
      </c>
      <c r="C1493" s="3">
        <f t="shared" si="94"/>
        <v>15.7</v>
      </c>
      <c r="D1493" s="3">
        <v>6631.96</v>
      </c>
      <c r="E1493" s="3">
        <f t="shared" si="95"/>
        <v>6631.96</v>
      </c>
      <c r="F1493" s="3">
        <f>MAX($E$2:E1493)</f>
        <v>6631.96</v>
      </c>
      <c r="G1493" s="3">
        <f t="shared" si="92"/>
        <v>0</v>
      </c>
      <c r="I1493" s="2">
        <v>45322</v>
      </c>
      <c r="J1493" s="3">
        <f>IFERROR(VLOOKUP(I1493,$A$1:$G$1610,3,FALSE),J1492)</f>
        <v>14.35</v>
      </c>
      <c r="K1493" s="3">
        <f>IFERROR(VLOOKUP(I1493,$A$1:$G$1610,7,FALSE),K1492)</f>
        <v>-1.6696665739976146</v>
      </c>
      <c r="L1493" s="5">
        <f t="shared" si="93"/>
        <v>0</v>
      </c>
    </row>
    <row r="1494" spans="1:12" x14ac:dyDescent="0.25">
      <c r="A1494" s="2">
        <v>45919</v>
      </c>
      <c r="B1494" s="3">
        <v>15.45</v>
      </c>
      <c r="C1494" s="3">
        <f t="shared" si="94"/>
        <v>15.45</v>
      </c>
      <c r="D1494" s="3">
        <v>6664.36</v>
      </c>
      <c r="E1494" s="3">
        <f t="shared" si="95"/>
        <v>6664.36</v>
      </c>
      <c r="F1494" s="3">
        <f>MAX($E$2:E1494)</f>
        <v>6664.36</v>
      </c>
      <c r="G1494" s="3">
        <f t="shared" si="92"/>
        <v>0</v>
      </c>
      <c r="I1494" s="2">
        <v>45323</v>
      </c>
      <c r="J1494" s="3">
        <f>IFERROR(VLOOKUP(I1494,$A$1:$G$1610,3,FALSE),J1493)</f>
        <v>13.88</v>
      </c>
      <c r="K1494" s="3">
        <f>IFERROR(VLOOKUP(I1494,$A$1:$G$1610,7,FALSE),K1493)</f>
        <v>-0.44115886386374581</v>
      </c>
      <c r="L1494" s="5">
        <f t="shared" si="93"/>
        <v>0</v>
      </c>
    </row>
    <row r="1495" spans="1:12" x14ac:dyDescent="0.25">
      <c r="A1495" s="2">
        <v>45922</v>
      </c>
      <c r="B1495" s="3">
        <v>16.100000000000001</v>
      </c>
      <c r="C1495" s="3">
        <f t="shared" si="94"/>
        <v>16.100000000000001</v>
      </c>
      <c r="D1495" s="3">
        <v>6693.75</v>
      </c>
      <c r="E1495" s="3">
        <f t="shared" si="95"/>
        <v>6693.75</v>
      </c>
      <c r="F1495" s="3">
        <f>MAX($E$2:E1495)</f>
        <v>6693.75</v>
      </c>
      <c r="G1495" s="3">
        <f t="shared" si="92"/>
        <v>0</v>
      </c>
      <c r="I1495" s="2">
        <v>45324</v>
      </c>
      <c r="J1495" s="3">
        <f>IFERROR(VLOOKUP(I1495,$A$1:$G$1610,3,FALSE),J1494)</f>
        <v>13.85</v>
      </c>
      <c r="K1495" s="3">
        <f>IFERROR(VLOOKUP(I1495,$A$1:$G$1610,7,FALSE),K1494)</f>
        <v>0</v>
      </c>
      <c r="L1495" s="5">
        <f t="shared" si="93"/>
        <v>0</v>
      </c>
    </row>
    <row r="1496" spans="1:12" x14ac:dyDescent="0.25">
      <c r="A1496" s="2">
        <v>45923</v>
      </c>
      <c r="B1496" s="3">
        <v>16.64</v>
      </c>
      <c r="C1496" s="3">
        <f t="shared" si="94"/>
        <v>16.64</v>
      </c>
      <c r="D1496" s="3">
        <v>6656.92</v>
      </c>
      <c r="E1496" s="3">
        <f t="shared" si="95"/>
        <v>6656.92</v>
      </c>
      <c r="F1496" s="3">
        <f>MAX($E$2:E1496)</f>
        <v>6693.75</v>
      </c>
      <c r="G1496" s="3">
        <f t="shared" si="92"/>
        <v>-0.55021475256769259</v>
      </c>
      <c r="I1496" s="2">
        <v>45325</v>
      </c>
      <c r="J1496" s="3">
        <f>IFERROR(VLOOKUP(I1496,$A$1:$G$1610,3,FALSE),J1495)</f>
        <v>13.85</v>
      </c>
      <c r="K1496" s="3">
        <f>IFERROR(VLOOKUP(I1496,$A$1:$G$1610,7,FALSE),K1495)</f>
        <v>0</v>
      </c>
      <c r="L1496" s="5">
        <f t="shared" si="93"/>
        <v>0</v>
      </c>
    </row>
    <row r="1497" spans="1:12" x14ac:dyDescent="0.25">
      <c r="A1497" s="2">
        <v>45924</v>
      </c>
      <c r="B1497" s="3">
        <v>16.18</v>
      </c>
      <c r="C1497" s="3">
        <f t="shared" si="94"/>
        <v>16.18</v>
      </c>
      <c r="D1497" s="3">
        <v>6637.97</v>
      </c>
      <c r="E1497" s="3">
        <f t="shared" si="95"/>
        <v>6637.97</v>
      </c>
      <c r="F1497" s="3">
        <f>MAX($E$2:E1497)</f>
        <v>6693.75</v>
      </c>
      <c r="G1497" s="3">
        <f t="shared" si="92"/>
        <v>-0.83331465919700842</v>
      </c>
      <c r="I1497" s="2">
        <v>45326</v>
      </c>
      <c r="J1497" s="3">
        <f>IFERROR(VLOOKUP(I1497,$A$1:$G$1610,3,FALSE),J1496)</f>
        <v>13.85</v>
      </c>
      <c r="K1497" s="3">
        <f>IFERROR(VLOOKUP(I1497,$A$1:$G$1610,7,FALSE),K1496)</f>
        <v>0</v>
      </c>
      <c r="L1497" s="5">
        <f t="shared" si="93"/>
        <v>0</v>
      </c>
    </row>
    <row r="1498" spans="1:12" x14ac:dyDescent="0.25">
      <c r="A1498" s="2">
        <v>45925</v>
      </c>
      <c r="B1498" s="3">
        <v>16.739999999999998</v>
      </c>
      <c r="C1498" s="3">
        <f t="shared" si="94"/>
        <v>16.739999999999998</v>
      </c>
      <c r="D1498" s="3">
        <v>6604.72</v>
      </c>
      <c r="E1498" s="3">
        <f t="shared" si="95"/>
        <v>6604.72</v>
      </c>
      <c r="F1498" s="3">
        <f>MAX($E$2:E1498)</f>
        <v>6693.75</v>
      </c>
      <c r="G1498" s="3">
        <f t="shared" si="92"/>
        <v>-1.3300466853407993</v>
      </c>
      <c r="I1498" s="2">
        <v>45327</v>
      </c>
      <c r="J1498" s="3">
        <f>IFERROR(VLOOKUP(I1498,$A$1:$G$1610,3,FALSE),J1497)</f>
        <v>13.67</v>
      </c>
      <c r="K1498" s="3">
        <f>IFERROR(VLOOKUP(I1498,$A$1:$G$1610,7,FALSE),K1497)</f>
        <v>-0.31863768273768805</v>
      </c>
      <c r="L1498" s="5">
        <f t="shared" si="93"/>
        <v>0</v>
      </c>
    </row>
    <row r="1499" spans="1:12" x14ac:dyDescent="0.25">
      <c r="A1499" s="2">
        <v>45926</v>
      </c>
      <c r="B1499" s="3">
        <v>15.29</v>
      </c>
      <c r="C1499" s="3">
        <f t="shared" si="94"/>
        <v>15.29</v>
      </c>
      <c r="D1499" s="3">
        <v>6643.7</v>
      </c>
      <c r="E1499" s="3">
        <f t="shared" si="95"/>
        <v>6643.7</v>
      </c>
      <c r="F1499" s="3">
        <f>MAX($E$2:E1499)</f>
        <v>6693.75</v>
      </c>
      <c r="G1499" s="3">
        <f t="shared" si="92"/>
        <v>-0.74771241830065627</v>
      </c>
      <c r="I1499" s="2">
        <v>45328</v>
      </c>
      <c r="J1499" s="3">
        <f>IFERROR(VLOOKUP(I1499,$A$1:$G$1610,3,FALSE),J1498)</f>
        <v>13.06</v>
      </c>
      <c r="K1499" s="3">
        <f>IFERROR(VLOOKUP(I1499,$A$1:$G$1610,7,FALSE),K1498)</f>
        <v>-8.8331205720960301E-2</v>
      </c>
      <c r="L1499" s="5">
        <f t="shared" si="93"/>
        <v>0</v>
      </c>
    </row>
    <row r="1500" spans="1:12" x14ac:dyDescent="0.25">
      <c r="A1500" s="2">
        <v>45929</v>
      </c>
      <c r="B1500" s="3">
        <v>16.12</v>
      </c>
      <c r="C1500" s="3">
        <f t="shared" si="94"/>
        <v>16.12</v>
      </c>
      <c r="D1500" s="3">
        <v>6661.21</v>
      </c>
      <c r="E1500" s="3">
        <f t="shared" si="95"/>
        <v>6661.21</v>
      </c>
      <c r="F1500" s="3">
        <f>MAX($E$2:E1500)</f>
        <v>6693.75</v>
      </c>
      <c r="G1500" s="3">
        <f t="shared" si="92"/>
        <v>-0.48612511671335151</v>
      </c>
      <c r="I1500" s="2">
        <v>45329</v>
      </c>
      <c r="J1500" s="3">
        <f>IFERROR(VLOOKUP(I1500,$A$1:$G$1610,3,FALSE),J1499)</f>
        <v>12.83</v>
      </c>
      <c r="K1500" s="3">
        <f>IFERROR(VLOOKUP(I1500,$A$1:$G$1610,7,FALSE),K1499)</f>
        <v>0</v>
      </c>
      <c r="L1500" s="5">
        <f t="shared" si="93"/>
        <v>0</v>
      </c>
    </row>
    <row r="1501" spans="1:12" x14ac:dyDescent="0.25">
      <c r="A1501" s="2">
        <v>45930</v>
      </c>
      <c r="B1501" s="3">
        <v>16.28</v>
      </c>
      <c r="C1501" s="3">
        <f t="shared" si="94"/>
        <v>16.28</v>
      </c>
      <c r="D1501" s="3">
        <v>6688.46</v>
      </c>
      <c r="E1501" s="3">
        <f t="shared" si="95"/>
        <v>6688.46</v>
      </c>
      <c r="F1501" s="3">
        <f>MAX($E$2:E1501)</f>
        <v>6693.75</v>
      </c>
      <c r="G1501" s="3">
        <f t="shared" si="92"/>
        <v>-7.9028944911297305E-2</v>
      </c>
      <c r="I1501" s="2">
        <v>45330</v>
      </c>
      <c r="J1501" s="3">
        <f>IFERROR(VLOOKUP(I1501,$A$1:$G$1610,3,FALSE),J1500)</f>
        <v>12.79</v>
      </c>
      <c r="K1501" s="3">
        <f>IFERROR(VLOOKUP(I1501,$A$1:$G$1610,7,FALSE),K1500)</f>
        <v>0</v>
      </c>
      <c r="L1501" s="5">
        <f t="shared" si="93"/>
        <v>0</v>
      </c>
    </row>
    <row r="1502" spans="1:12" x14ac:dyDescent="0.25">
      <c r="A1502" s="2">
        <v>45931</v>
      </c>
      <c r="B1502" s="3">
        <v>16.29</v>
      </c>
      <c r="C1502" s="3">
        <f t="shared" si="94"/>
        <v>16.29</v>
      </c>
      <c r="D1502" s="3">
        <v>6711.2</v>
      </c>
      <c r="E1502" s="3">
        <f t="shared" si="95"/>
        <v>6711.2</v>
      </c>
      <c r="F1502" s="3">
        <f>MAX($E$2:E1502)</f>
        <v>6711.2</v>
      </c>
      <c r="G1502" s="3">
        <f t="shared" si="92"/>
        <v>0</v>
      </c>
      <c r="I1502" s="2">
        <v>45331</v>
      </c>
      <c r="J1502" s="3">
        <f>IFERROR(VLOOKUP(I1502,$A$1:$G$1610,3,FALSE),J1501)</f>
        <v>12.93</v>
      </c>
      <c r="K1502" s="3">
        <f>IFERROR(VLOOKUP(I1502,$A$1:$G$1610,7,FALSE),K1501)</f>
        <v>0</v>
      </c>
      <c r="L1502" s="5">
        <f t="shared" si="93"/>
        <v>0</v>
      </c>
    </row>
    <row r="1503" spans="1:12" x14ac:dyDescent="0.25">
      <c r="A1503" s="2">
        <v>45932</v>
      </c>
      <c r="B1503" s="3">
        <v>16.63</v>
      </c>
      <c r="C1503" s="3">
        <f t="shared" si="94"/>
        <v>16.63</v>
      </c>
      <c r="D1503" s="3">
        <v>6715.35</v>
      </c>
      <c r="E1503" s="3">
        <f t="shared" si="95"/>
        <v>6715.35</v>
      </c>
      <c r="F1503" s="3">
        <f>MAX($E$2:E1503)</f>
        <v>6715.35</v>
      </c>
      <c r="G1503" s="3">
        <f t="shared" si="92"/>
        <v>0</v>
      </c>
      <c r="I1503" s="2">
        <v>45332</v>
      </c>
      <c r="J1503" s="3">
        <f>IFERROR(VLOOKUP(I1503,$A$1:$G$1610,3,FALSE),J1502)</f>
        <v>12.93</v>
      </c>
      <c r="K1503" s="3">
        <f>IFERROR(VLOOKUP(I1503,$A$1:$G$1610,7,FALSE),K1502)</f>
        <v>0</v>
      </c>
      <c r="L1503" s="5">
        <f t="shared" si="93"/>
        <v>0</v>
      </c>
    </row>
    <row r="1504" spans="1:12" x14ac:dyDescent="0.25">
      <c r="A1504" s="2">
        <v>45933</v>
      </c>
      <c r="B1504" s="3">
        <v>16.649999999999999</v>
      </c>
      <c r="C1504" s="3">
        <f t="shared" si="94"/>
        <v>16.649999999999999</v>
      </c>
      <c r="D1504" s="3">
        <v>6715.79</v>
      </c>
      <c r="E1504" s="3">
        <f t="shared" si="95"/>
        <v>6715.79</v>
      </c>
      <c r="F1504" s="3">
        <f>MAX($E$2:E1504)</f>
        <v>6715.79</v>
      </c>
      <c r="G1504" s="3">
        <f t="shared" si="92"/>
        <v>0</v>
      </c>
      <c r="I1504" s="2">
        <v>45333</v>
      </c>
      <c r="J1504" s="3">
        <f>IFERROR(VLOOKUP(I1504,$A$1:$G$1610,3,FALSE),J1503)</f>
        <v>12.93</v>
      </c>
      <c r="K1504" s="3">
        <f>IFERROR(VLOOKUP(I1504,$A$1:$G$1610,7,FALSE),K1503)</f>
        <v>0</v>
      </c>
      <c r="L1504" s="5">
        <f t="shared" si="93"/>
        <v>0</v>
      </c>
    </row>
    <row r="1505" spans="1:12" x14ac:dyDescent="0.25">
      <c r="A1505" s="2">
        <v>45936</v>
      </c>
      <c r="B1505" s="3">
        <v>16.37</v>
      </c>
      <c r="C1505" s="3">
        <f t="shared" si="94"/>
        <v>16.37</v>
      </c>
      <c r="D1505" s="3">
        <v>6740.28</v>
      </c>
      <c r="E1505" s="3">
        <f t="shared" si="95"/>
        <v>6740.28</v>
      </c>
      <c r="F1505" s="3">
        <f>MAX($E$2:E1505)</f>
        <v>6740.28</v>
      </c>
      <c r="G1505" s="3">
        <f t="shared" si="92"/>
        <v>0</v>
      </c>
      <c r="I1505" s="2">
        <v>45334</v>
      </c>
      <c r="J1505" s="3">
        <f>IFERROR(VLOOKUP(I1505,$A$1:$G$1610,3,FALSE),J1504)</f>
        <v>13.93</v>
      </c>
      <c r="K1505" s="3">
        <f>IFERROR(VLOOKUP(I1505,$A$1:$G$1610,7,FALSE),K1504)</f>
        <v>-9.4894968975105035E-2</v>
      </c>
      <c r="L1505" s="5">
        <f t="shared" si="93"/>
        <v>0</v>
      </c>
    </row>
    <row r="1506" spans="1:12" x14ac:dyDescent="0.25">
      <c r="A1506" s="2">
        <v>45937</v>
      </c>
      <c r="B1506" s="3">
        <v>17.239999999999998</v>
      </c>
      <c r="C1506" s="3">
        <f t="shared" si="94"/>
        <v>17.239999999999998</v>
      </c>
      <c r="D1506" s="3">
        <v>6714.59</v>
      </c>
      <c r="E1506" s="3">
        <f t="shared" si="95"/>
        <v>6714.59</v>
      </c>
      <c r="F1506" s="3">
        <f>MAX($E$2:E1506)</f>
        <v>6740.28</v>
      </c>
      <c r="G1506" s="3">
        <f t="shared" si="92"/>
        <v>-0.38114143626080227</v>
      </c>
      <c r="I1506" s="2">
        <v>45335</v>
      </c>
      <c r="J1506" s="3">
        <f>IFERROR(VLOOKUP(I1506,$A$1:$G$1610,3,FALSE),J1505)</f>
        <v>15.85</v>
      </c>
      <c r="K1506" s="3">
        <f>IFERROR(VLOOKUP(I1506,$A$1:$G$1610,7,FALSE),K1505)</f>
        <v>-1.4610244279942068</v>
      </c>
      <c r="L1506" s="5">
        <f t="shared" si="93"/>
        <v>0</v>
      </c>
    </row>
    <row r="1507" spans="1:12" x14ac:dyDescent="0.25">
      <c r="A1507" s="2">
        <v>45938</v>
      </c>
      <c r="B1507" s="3">
        <v>16.3</v>
      </c>
      <c r="C1507" s="3">
        <f t="shared" si="94"/>
        <v>16.3</v>
      </c>
      <c r="D1507" s="3">
        <v>6753.72</v>
      </c>
      <c r="E1507" s="3">
        <f t="shared" si="95"/>
        <v>6753.72</v>
      </c>
      <c r="F1507" s="3">
        <f>MAX($E$2:E1507)</f>
        <v>6753.72</v>
      </c>
      <c r="G1507" s="3">
        <f t="shared" si="92"/>
        <v>0</v>
      </c>
      <c r="I1507" s="2">
        <v>45336</v>
      </c>
      <c r="J1507" s="3">
        <f>IFERROR(VLOOKUP(I1507,$A$1:$G$1610,3,FALSE),J1506)</f>
        <v>14.38</v>
      </c>
      <c r="K1507" s="3">
        <f>IFERROR(VLOOKUP(I1507,$A$1:$G$1610,7,FALSE),K1506)</f>
        <v>-0.51704826911178281</v>
      </c>
      <c r="L1507" s="5">
        <f t="shared" si="93"/>
        <v>0</v>
      </c>
    </row>
    <row r="1508" spans="1:12" x14ac:dyDescent="0.25">
      <c r="A1508" s="2">
        <v>45939</v>
      </c>
      <c r="B1508" s="3">
        <v>16.43</v>
      </c>
      <c r="C1508" s="3">
        <f t="shared" si="94"/>
        <v>16.43</v>
      </c>
      <c r="D1508" s="3">
        <v>6735.11</v>
      </c>
      <c r="E1508" s="3">
        <f t="shared" si="95"/>
        <v>6735.11</v>
      </c>
      <c r="F1508" s="3">
        <f>MAX($E$2:E1508)</f>
        <v>6753.72</v>
      </c>
      <c r="G1508" s="3">
        <f t="shared" si="92"/>
        <v>-0.27555184402078531</v>
      </c>
      <c r="I1508" s="2">
        <v>45337</v>
      </c>
      <c r="J1508" s="3">
        <f>IFERROR(VLOOKUP(I1508,$A$1:$G$1610,3,FALSE),J1507)</f>
        <v>14.01</v>
      </c>
      <c r="K1508" s="3">
        <f>IFERROR(VLOOKUP(I1508,$A$1:$G$1610,7,FALSE),K1507)</f>
        <v>0</v>
      </c>
      <c r="L1508" s="5">
        <f t="shared" si="93"/>
        <v>0</v>
      </c>
    </row>
    <row r="1509" spans="1:12" x14ac:dyDescent="0.25">
      <c r="A1509" s="2">
        <v>45940</v>
      </c>
      <c r="B1509" s="3">
        <v>21.66</v>
      </c>
      <c r="C1509" s="3">
        <f t="shared" si="94"/>
        <v>21.66</v>
      </c>
      <c r="D1509" s="3">
        <v>6552.51</v>
      </c>
      <c r="E1509" s="3">
        <f t="shared" si="95"/>
        <v>6552.51</v>
      </c>
      <c r="F1509" s="3">
        <f>MAX($E$2:E1509)</f>
        <v>6753.72</v>
      </c>
      <c r="G1509" s="3">
        <f t="shared" si="92"/>
        <v>-2.9792469927684304</v>
      </c>
      <c r="I1509" s="2">
        <v>45338</v>
      </c>
      <c r="J1509" s="3">
        <f>IFERROR(VLOOKUP(I1509,$A$1:$G$1610,3,FALSE),J1508)</f>
        <v>14.24</v>
      </c>
      <c r="K1509" s="3">
        <f>IFERROR(VLOOKUP(I1509,$A$1:$G$1610,7,FALSE),K1508)</f>
        <v>-0.48034387531736011</v>
      </c>
      <c r="L1509" s="5">
        <f t="shared" si="93"/>
        <v>0</v>
      </c>
    </row>
    <row r="1510" spans="1:12" x14ac:dyDescent="0.25">
      <c r="A1510" s="2">
        <v>45943</v>
      </c>
      <c r="B1510" s="3">
        <v>19.03</v>
      </c>
      <c r="C1510" s="3">
        <f t="shared" si="94"/>
        <v>19.03</v>
      </c>
      <c r="D1510" s="3">
        <v>6654.72</v>
      </c>
      <c r="E1510" s="3">
        <f t="shared" si="95"/>
        <v>6654.72</v>
      </c>
      <c r="F1510" s="3">
        <f>MAX($E$2:E1510)</f>
        <v>6753.72</v>
      </c>
      <c r="G1510" s="3">
        <f t="shared" si="92"/>
        <v>-1.4658588155860768</v>
      </c>
      <c r="I1510" s="2">
        <v>45339</v>
      </c>
      <c r="J1510" s="3">
        <f>IFERROR(VLOOKUP(I1510,$A$1:$G$1610,3,FALSE),J1509)</f>
        <v>14.24</v>
      </c>
      <c r="K1510" s="3">
        <f>IFERROR(VLOOKUP(I1510,$A$1:$G$1610,7,FALSE),K1509)</f>
        <v>-0.48034387531736011</v>
      </c>
      <c r="L1510" s="5">
        <f t="shared" si="93"/>
        <v>0</v>
      </c>
    </row>
    <row r="1511" spans="1:12" x14ac:dyDescent="0.25">
      <c r="A1511" s="2">
        <v>45944</v>
      </c>
      <c r="B1511" s="3">
        <v>20.81</v>
      </c>
      <c r="C1511" s="3">
        <f t="shared" si="94"/>
        <v>20.81</v>
      </c>
      <c r="D1511" s="3">
        <v>6644.31</v>
      </c>
      <c r="E1511" s="3">
        <f t="shared" si="95"/>
        <v>6644.31</v>
      </c>
      <c r="F1511" s="3">
        <f>MAX($E$2:E1511)</f>
        <v>6753.72</v>
      </c>
      <c r="G1511" s="3">
        <f t="shared" si="92"/>
        <v>-1.6199960910431563</v>
      </c>
      <c r="I1511" s="2">
        <v>45340</v>
      </c>
      <c r="J1511" s="3">
        <f>IFERROR(VLOOKUP(I1511,$A$1:$G$1610,3,FALSE),J1510)</f>
        <v>14.24</v>
      </c>
      <c r="K1511" s="3">
        <f>IFERROR(VLOOKUP(I1511,$A$1:$G$1610,7,FALSE),K1510)</f>
        <v>-0.48034387531736011</v>
      </c>
      <c r="L1511" s="5">
        <f t="shared" si="93"/>
        <v>0</v>
      </c>
    </row>
    <row r="1512" spans="1:12" x14ac:dyDescent="0.25">
      <c r="A1512" s="2">
        <v>45945</v>
      </c>
      <c r="B1512" s="3">
        <v>20.64</v>
      </c>
      <c r="C1512" s="3">
        <f t="shared" si="94"/>
        <v>20.64</v>
      </c>
      <c r="D1512" s="3">
        <v>6671.06</v>
      </c>
      <c r="E1512" s="3">
        <f t="shared" si="95"/>
        <v>6671.06</v>
      </c>
      <c r="F1512" s="3">
        <f>MAX($E$2:E1512)</f>
        <v>6753.72</v>
      </c>
      <c r="G1512" s="3">
        <f t="shared" si="92"/>
        <v>-1.2239180777408578</v>
      </c>
      <c r="I1512" s="2">
        <v>45341</v>
      </c>
      <c r="J1512" s="3">
        <f>IFERROR(VLOOKUP(I1512,$A$1:$G$1610,3,FALSE),J1511)</f>
        <v>14.71</v>
      </c>
      <c r="K1512" s="3">
        <f>IFERROR(VLOOKUP(I1512,$A$1:$G$1610,7,FALSE),K1511)</f>
        <v>-0.48034387531736011</v>
      </c>
      <c r="L1512" s="5">
        <f t="shared" si="93"/>
        <v>0</v>
      </c>
    </row>
    <row r="1513" spans="1:12" x14ac:dyDescent="0.25">
      <c r="A1513" s="2">
        <v>45946</v>
      </c>
      <c r="B1513" s="3">
        <v>25.31</v>
      </c>
      <c r="C1513" s="3">
        <f t="shared" si="94"/>
        <v>25.31</v>
      </c>
      <c r="D1513" s="3">
        <v>6629.07</v>
      </c>
      <c r="E1513" s="3">
        <f t="shared" si="95"/>
        <v>6629.07</v>
      </c>
      <c r="F1513" s="3">
        <f>MAX($E$2:E1513)</f>
        <v>6753.72</v>
      </c>
      <c r="G1513" s="3">
        <f t="shared" si="92"/>
        <v>-1.8456495087152049</v>
      </c>
      <c r="I1513" s="2">
        <v>45342</v>
      </c>
      <c r="J1513" s="3">
        <f>IFERROR(VLOOKUP(I1513,$A$1:$G$1610,3,FALSE),J1512)</f>
        <v>15.42</v>
      </c>
      <c r="K1513" s="3">
        <f>IFERROR(VLOOKUP(I1513,$A$1:$G$1610,7,FALSE),K1512)</f>
        <v>-1.0779902698554267</v>
      </c>
      <c r="L1513" s="5">
        <f t="shared" si="93"/>
        <v>0</v>
      </c>
    </row>
    <row r="1514" spans="1:12" x14ac:dyDescent="0.25">
      <c r="A1514" s="2">
        <v>45947</v>
      </c>
      <c r="B1514" s="3">
        <v>20.78</v>
      </c>
      <c r="C1514" s="3">
        <f t="shared" si="94"/>
        <v>20.78</v>
      </c>
      <c r="D1514" s="3">
        <v>6664.01</v>
      </c>
      <c r="E1514" s="3">
        <f t="shared" si="95"/>
        <v>6664.01</v>
      </c>
      <c r="F1514" s="3">
        <f>MAX($E$2:E1514)</f>
        <v>6753.72</v>
      </c>
      <c r="G1514" s="3">
        <f t="shared" si="92"/>
        <v>-1.3283049933962325</v>
      </c>
      <c r="I1514" s="2">
        <v>45343</v>
      </c>
      <c r="J1514" s="3">
        <f>IFERROR(VLOOKUP(I1514,$A$1:$G$1610,3,FALSE),J1513)</f>
        <v>15.34</v>
      </c>
      <c r="K1514" s="3">
        <f>IFERROR(VLOOKUP(I1514,$A$1:$G$1610,7,FALSE),K1513)</f>
        <v>-0.9529338552963954</v>
      </c>
      <c r="L1514" s="5">
        <f t="shared" si="93"/>
        <v>0</v>
      </c>
    </row>
    <row r="1515" spans="1:12" x14ac:dyDescent="0.25">
      <c r="A1515" s="2">
        <v>45950</v>
      </c>
      <c r="B1515" s="3">
        <v>18.23</v>
      </c>
      <c r="C1515" s="3">
        <f t="shared" si="94"/>
        <v>18.23</v>
      </c>
      <c r="D1515" s="3">
        <v>6735.13</v>
      </c>
      <c r="E1515" s="3">
        <f t="shared" si="95"/>
        <v>6735.13</v>
      </c>
      <c r="F1515" s="3">
        <f>MAX($E$2:E1515)</f>
        <v>6753.72</v>
      </c>
      <c r="G1515" s="3">
        <f t="shared" si="92"/>
        <v>-0.27525571092672102</v>
      </c>
      <c r="I1515" s="2">
        <v>45344</v>
      </c>
      <c r="J1515" s="3">
        <f>IFERROR(VLOOKUP(I1515,$A$1:$G$1610,3,FALSE),J1514)</f>
        <v>14.54</v>
      </c>
      <c r="K1515" s="3">
        <f>IFERROR(VLOOKUP(I1515,$A$1:$G$1610,7,FALSE),K1514)</f>
        <v>0</v>
      </c>
      <c r="L1515" s="5">
        <f t="shared" si="93"/>
        <v>0</v>
      </c>
    </row>
    <row r="1516" spans="1:12" x14ac:dyDescent="0.25">
      <c r="A1516" s="2">
        <v>45951</v>
      </c>
      <c r="B1516" s="3">
        <v>17.87</v>
      </c>
      <c r="C1516" s="3">
        <f t="shared" si="94"/>
        <v>17.87</v>
      </c>
      <c r="D1516" s="3">
        <v>6735.35</v>
      </c>
      <c r="E1516" s="3">
        <f t="shared" si="95"/>
        <v>6735.35</v>
      </c>
      <c r="F1516" s="3">
        <f>MAX($E$2:E1516)</f>
        <v>6753.72</v>
      </c>
      <c r="G1516" s="3">
        <f t="shared" si="92"/>
        <v>-0.27199824689208157</v>
      </c>
      <c r="I1516" s="2">
        <v>45345</v>
      </c>
      <c r="J1516" s="3">
        <f>IFERROR(VLOOKUP(I1516,$A$1:$G$1610,3,FALSE),J1515)</f>
        <v>13.75</v>
      </c>
      <c r="K1516" s="3">
        <f>IFERROR(VLOOKUP(I1516,$A$1:$G$1610,7,FALSE),K1515)</f>
        <v>0</v>
      </c>
      <c r="L1516" s="5">
        <f t="shared" si="93"/>
        <v>0</v>
      </c>
    </row>
    <row r="1517" spans="1:12" x14ac:dyDescent="0.25">
      <c r="A1517" s="2">
        <v>45952</v>
      </c>
      <c r="B1517" s="3">
        <v>18.600000000000001</v>
      </c>
      <c r="C1517" s="3">
        <f t="shared" si="94"/>
        <v>18.600000000000001</v>
      </c>
      <c r="D1517" s="3">
        <v>6699.4</v>
      </c>
      <c r="E1517" s="3">
        <f t="shared" si="95"/>
        <v>6699.4</v>
      </c>
      <c r="F1517" s="3">
        <f>MAX($E$2:E1517)</f>
        <v>6753.72</v>
      </c>
      <c r="G1517" s="3">
        <f t="shared" si="92"/>
        <v>-0.80429748346097574</v>
      </c>
      <c r="I1517" s="2">
        <v>45346</v>
      </c>
      <c r="J1517" s="3">
        <f>IFERROR(VLOOKUP(I1517,$A$1:$G$1610,3,FALSE),J1516)</f>
        <v>13.75</v>
      </c>
      <c r="K1517" s="3">
        <f>IFERROR(VLOOKUP(I1517,$A$1:$G$1610,7,FALSE),K1516)</f>
        <v>0</v>
      </c>
      <c r="L1517" s="5">
        <f t="shared" si="93"/>
        <v>0</v>
      </c>
    </row>
    <row r="1518" spans="1:12" x14ac:dyDescent="0.25">
      <c r="A1518" s="2">
        <v>45953</v>
      </c>
      <c r="B1518" s="3">
        <v>17.3</v>
      </c>
      <c r="C1518" s="3">
        <f t="shared" si="94"/>
        <v>17.3</v>
      </c>
      <c r="D1518" s="3">
        <v>6738.44</v>
      </c>
      <c r="E1518" s="3">
        <f t="shared" si="95"/>
        <v>6738.44</v>
      </c>
      <c r="F1518" s="3">
        <f>MAX($E$2:E1518)</f>
        <v>6753.72</v>
      </c>
      <c r="G1518" s="3">
        <f t="shared" si="92"/>
        <v>-0.2262456838601638</v>
      </c>
      <c r="I1518" s="2">
        <v>45347</v>
      </c>
      <c r="J1518" s="3">
        <f>IFERROR(VLOOKUP(I1518,$A$1:$G$1610,3,FALSE),J1517)</f>
        <v>13.75</v>
      </c>
      <c r="K1518" s="3">
        <f>IFERROR(VLOOKUP(I1518,$A$1:$G$1610,7,FALSE),K1517)</f>
        <v>0</v>
      </c>
      <c r="L1518" s="5">
        <f t="shared" si="93"/>
        <v>0</v>
      </c>
    </row>
    <row r="1519" spans="1:12" x14ac:dyDescent="0.25">
      <c r="A1519" s="2">
        <v>45954</v>
      </c>
      <c r="B1519" s="3">
        <v>16.37</v>
      </c>
      <c r="C1519" s="3">
        <f t="shared" si="94"/>
        <v>16.37</v>
      </c>
      <c r="D1519" s="3">
        <v>6791.69</v>
      </c>
      <c r="E1519" s="3">
        <f t="shared" si="95"/>
        <v>6791.69</v>
      </c>
      <c r="F1519" s="3">
        <f>MAX($E$2:E1519)</f>
        <v>6791.69</v>
      </c>
      <c r="G1519" s="3">
        <f t="shared" si="92"/>
        <v>0</v>
      </c>
      <c r="I1519" s="2">
        <v>45348</v>
      </c>
      <c r="J1519" s="3">
        <f>IFERROR(VLOOKUP(I1519,$A$1:$G$1610,3,FALSE),J1518)</f>
        <v>13.74</v>
      </c>
      <c r="K1519" s="3">
        <f>IFERROR(VLOOKUP(I1519,$A$1:$G$1610,7,FALSE),K1518)</f>
        <v>-0.37867473667663176</v>
      </c>
      <c r="L1519" s="5">
        <f t="shared" si="93"/>
        <v>0</v>
      </c>
    </row>
    <row r="1520" spans="1:12" x14ac:dyDescent="0.25">
      <c r="A1520" s="2">
        <v>45957</v>
      </c>
      <c r="B1520" s="3">
        <v>15.79</v>
      </c>
      <c r="C1520" s="3">
        <f t="shared" si="94"/>
        <v>15.79</v>
      </c>
      <c r="D1520" s="3">
        <v>6875.16</v>
      </c>
      <c r="E1520" s="3">
        <f t="shared" si="95"/>
        <v>6875.16</v>
      </c>
      <c r="F1520" s="3">
        <f>MAX($E$2:E1520)</f>
        <v>6875.16</v>
      </c>
      <c r="G1520" s="3">
        <f t="shared" si="92"/>
        <v>0</v>
      </c>
      <c r="I1520" s="2">
        <v>45349</v>
      </c>
      <c r="J1520" s="3">
        <f>IFERROR(VLOOKUP(I1520,$A$1:$G$1610,3,FALSE),J1519)</f>
        <v>13.43</v>
      </c>
      <c r="K1520" s="3">
        <f>IFERROR(VLOOKUP(I1520,$A$1:$G$1610,7,FALSE),K1519)</f>
        <v>-0.2086936016349609</v>
      </c>
      <c r="L1520" s="5">
        <f t="shared" si="93"/>
        <v>0</v>
      </c>
    </row>
    <row r="1521" spans="1:12" x14ac:dyDescent="0.25">
      <c r="A1521" s="2">
        <v>45958</v>
      </c>
      <c r="B1521" s="3">
        <v>16.420000000000002</v>
      </c>
      <c r="C1521" s="3">
        <f t="shared" si="94"/>
        <v>16.420000000000002</v>
      </c>
      <c r="D1521" s="3">
        <v>6890.89</v>
      </c>
      <c r="E1521" s="3">
        <f t="shared" si="95"/>
        <v>6890.89</v>
      </c>
      <c r="F1521" s="3">
        <f>MAX($E$2:E1521)</f>
        <v>6890.89</v>
      </c>
      <c r="G1521" s="3">
        <f t="shared" si="92"/>
        <v>0</v>
      </c>
      <c r="I1521" s="2">
        <v>45350</v>
      </c>
      <c r="J1521" s="3">
        <f>IFERROR(VLOOKUP(I1521,$A$1:$G$1610,3,FALSE),J1520)</f>
        <v>13.84</v>
      </c>
      <c r="K1521" s="3">
        <f>IFERROR(VLOOKUP(I1521,$A$1:$G$1610,7,FALSE),K1520)</f>
        <v>-0.37415500707435867</v>
      </c>
      <c r="L1521" s="5">
        <f t="shared" si="93"/>
        <v>0</v>
      </c>
    </row>
    <row r="1522" spans="1:12" x14ac:dyDescent="0.25">
      <c r="A1522" s="2">
        <v>45959</v>
      </c>
      <c r="B1522" s="3">
        <v>16.920000000000002</v>
      </c>
      <c r="C1522" s="3">
        <f t="shared" si="94"/>
        <v>16.920000000000002</v>
      </c>
      <c r="D1522" s="3">
        <v>6890.59</v>
      </c>
      <c r="E1522" s="3">
        <f t="shared" si="95"/>
        <v>6890.59</v>
      </c>
      <c r="F1522" s="3">
        <f>MAX($E$2:E1522)</f>
        <v>6890.89</v>
      </c>
      <c r="G1522" s="3">
        <f t="shared" si="92"/>
        <v>-4.3535740666326393E-3</v>
      </c>
      <c r="I1522" s="2">
        <v>45351</v>
      </c>
      <c r="J1522" s="3">
        <f>IFERROR(VLOOKUP(I1522,$A$1:$G$1610,3,FALSE),J1521)</f>
        <v>13.4</v>
      </c>
      <c r="K1522" s="3">
        <f>IFERROR(VLOOKUP(I1522,$A$1:$G$1610,7,FALSE),K1521)</f>
        <v>0</v>
      </c>
      <c r="L1522" s="5">
        <f t="shared" si="93"/>
        <v>0</v>
      </c>
    </row>
    <row r="1523" spans="1:12" x14ac:dyDescent="0.25">
      <c r="A1523" s="2">
        <v>45960</v>
      </c>
      <c r="B1523" s="3">
        <v>16.91</v>
      </c>
      <c r="C1523" s="3">
        <f t="shared" si="94"/>
        <v>16.91</v>
      </c>
      <c r="D1523" s="3">
        <v>6822.34</v>
      </c>
      <c r="E1523" s="3">
        <f t="shared" si="95"/>
        <v>6822.34</v>
      </c>
      <c r="F1523" s="3">
        <f>MAX($E$2:E1523)</f>
        <v>6890.89</v>
      </c>
      <c r="G1523" s="3">
        <f t="shared" si="92"/>
        <v>-0.99479167422495751</v>
      </c>
      <c r="I1523" s="2">
        <v>45352</v>
      </c>
      <c r="J1523" s="3">
        <f>IFERROR(VLOOKUP(I1523,$A$1:$G$1610,3,FALSE),J1522)</f>
        <v>13.11</v>
      </c>
      <c r="K1523" s="3">
        <f>IFERROR(VLOOKUP(I1523,$A$1:$G$1610,7,FALSE),K1522)</f>
        <v>0</v>
      </c>
      <c r="L1523" s="5">
        <f t="shared" si="93"/>
        <v>0</v>
      </c>
    </row>
    <row r="1524" spans="1:12" x14ac:dyDescent="0.25">
      <c r="A1524" s="2">
        <v>45961</v>
      </c>
      <c r="B1524" s="3">
        <v>17.440000000000001</v>
      </c>
      <c r="C1524" s="3">
        <f t="shared" si="94"/>
        <v>17.440000000000001</v>
      </c>
      <c r="D1524" s="3">
        <v>6840.2</v>
      </c>
      <c r="E1524" s="3">
        <f t="shared" si="95"/>
        <v>6840.2</v>
      </c>
      <c r="F1524" s="3">
        <f>MAX($E$2:E1524)</f>
        <v>6890.89</v>
      </c>
      <c r="G1524" s="3">
        <f t="shared" si="92"/>
        <v>-0.73560889812492292</v>
      </c>
      <c r="I1524" s="2">
        <v>45353</v>
      </c>
      <c r="J1524" s="3">
        <f>IFERROR(VLOOKUP(I1524,$A$1:$G$1610,3,FALSE),J1523)</f>
        <v>13.11</v>
      </c>
      <c r="K1524" s="3">
        <f>IFERROR(VLOOKUP(I1524,$A$1:$G$1610,7,FALSE),K1523)</f>
        <v>0</v>
      </c>
      <c r="L1524" s="5">
        <f t="shared" si="93"/>
        <v>0</v>
      </c>
    </row>
    <row r="1525" spans="1:12" x14ac:dyDescent="0.25">
      <c r="A1525" s="2">
        <v>45964</v>
      </c>
      <c r="B1525" s="3">
        <v>17.170000000000002</v>
      </c>
      <c r="C1525" s="3">
        <f t="shared" si="94"/>
        <v>17.170000000000002</v>
      </c>
      <c r="D1525" s="3">
        <v>6851.97</v>
      </c>
      <c r="E1525" s="3">
        <f t="shared" si="95"/>
        <v>6851.97</v>
      </c>
      <c r="F1525" s="3">
        <f>MAX($E$2:E1525)</f>
        <v>6890.89</v>
      </c>
      <c r="G1525" s="3">
        <f t="shared" si="92"/>
        <v>-0.56480367557746636</v>
      </c>
      <c r="I1525" s="2">
        <v>45354</v>
      </c>
      <c r="J1525" s="3">
        <f>IFERROR(VLOOKUP(I1525,$A$1:$G$1610,3,FALSE),J1524)</f>
        <v>13.11</v>
      </c>
      <c r="K1525" s="3">
        <f>IFERROR(VLOOKUP(I1525,$A$1:$G$1610,7,FALSE),K1524)</f>
        <v>0</v>
      </c>
      <c r="L1525" s="5">
        <f t="shared" si="93"/>
        <v>0</v>
      </c>
    </row>
    <row r="1526" spans="1:12" x14ac:dyDescent="0.25">
      <c r="A1526" s="2">
        <v>45965</v>
      </c>
      <c r="B1526" s="3">
        <v>19</v>
      </c>
      <c r="C1526" s="3">
        <f t="shared" si="94"/>
        <v>19</v>
      </c>
      <c r="D1526" s="3">
        <v>6771.55</v>
      </c>
      <c r="E1526" s="3">
        <f t="shared" si="95"/>
        <v>6771.55</v>
      </c>
      <c r="F1526" s="3">
        <f>MAX($E$2:E1526)</f>
        <v>6890.89</v>
      </c>
      <c r="G1526" s="3">
        <f t="shared" si="92"/>
        <v>-1.731851763705416</v>
      </c>
      <c r="I1526" s="2">
        <v>45355</v>
      </c>
      <c r="J1526" s="3">
        <f>IFERROR(VLOOKUP(I1526,$A$1:$G$1610,3,FALSE),J1525)</f>
        <v>13.49</v>
      </c>
      <c r="K1526" s="3">
        <f>IFERROR(VLOOKUP(I1526,$A$1:$G$1610,7,FALSE),K1525)</f>
        <v>-0.11932849011500909</v>
      </c>
      <c r="L1526" s="5">
        <f t="shared" si="93"/>
        <v>0</v>
      </c>
    </row>
    <row r="1527" spans="1:12" x14ac:dyDescent="0.25">
      <c r="A1527" s="2">
        <v>45966</v>
      </c>
      <c r="B1527" s="3">
        <v>18.010000000000002</v>
      </c>
      <c r="C1527" s="3">
        <f t="shared" si="94"/>
        <v>18.010000000000002</v>
      </c>
      <c r="D1527" s="3">
        <v>6796.29</v>
      </c>
      <c r="E1527" s="3">
        <f t="shared" si="95"/>
        <v>6796.29</v>
      </c>
      <c r="F1527" s="3">
        <f>MAX($E$2:E1527)</f>
        <v>6890.89</v>
      </c>
      <c r="G1527" s="3">
        <f t="shared" si="92"/>
        <v>-1.3728270223439987</v>
      </c>
      <c r="I1527" s="2">
        <v>45356</v>
      </c>
      <c r="J1527" s="3">
        <f>IFERROR(VLOOKUP(I1527,$A$1:$G$1610,3,FALSE),J1526)</f>
        <v>14.46</v>
      </c>
      <c r="K1527" s="3">
        <f>IFERROR(VLOOKUP(I1527,$A$1:$G$1610,7,FALSE),K1526)</f>
        <v>-1.1374165868547947</v>
      </c>
      <c r="L1527" s="5">
        <f t="shared" si="93"/>
        <v>0</v>
      </c>
    </row>
    <row r="1528" spans="1:12" x14ac:dyDescent="0.25">
      <c r="A1528" s="2">
        <v>45967</v>
      </c>
      <c r="B1528" s="3">
        <v>19.5</v>
      </c>
      <c r="C1528" s="3">
        <f t="shared" si="94"/>
        <v>19.5</v>
      </c>
      <c r="D1528" s="3">
        <v>6720.32</v>
      </c>
      <c r="E1528" s="3">
        <f t="shared" si="95"/>
        <v>6720.32</v>
      </c>
      <c r="F1528" s="3">
        <f>MAX($E$2:E1528)</f>
        <v>6890.89</v>
      </c>
      <c r="G1528" s="3">
        <f t="shared" si="92"/>
        <v>-2.4752970951502724</v>
      </c>
      <c r="I1528" s="2">
        <v>45357</v>
      </c>
      <c r="J1528" s="3">
        <f>IFERROR(VLOOKUP(I1528,$A$1:$G$1610,3,FALSE),J1527)</f>
        <v>14.5</v>
      </c>
      <c r="K1528" s="3">
        <f>IFERROR(VLOOKUP(I1528,$A$1:$G$1610,7,FALSE),K1527)</f>
        <v>-0.62915119094893812</v>
      </c>
      <c r="L1528" s="5">
        <f t="shared" si="93"/>
        <v>0</v>
      </c>
    </row>
    <row r="1529" spans="1:12" x14ac:dyDescent="0.25">
      <c r="A1529" s="2">
        <v>45968</v>
      </c>
      <c r="B1529" s="3">
        <v>19.079999999999998</v>
      </c>
      <c r="C1529" s="3">
        <f t="shared" si="94"/>
        <v>19.079999999999998</v>
      </c>
      <c r="D1529" s="3">
        <v>6728.8</v>
      </c>
      <c r="E1529" s="3">
        <f t="shared" si="95"/>
        <v>6728.8</v>
      </c>
      <c r="F1529" s="3">
        <f>MAX($E$2:E1529)</f>
        <v>6890.89</v>
      </c>
      <c r="G1529" s="3">
        <f t="shared" si="92"/>
        <v>-2.3522360682001908</v>
      </c>
      <c r="I1529" s="2">
        <v>45358</v>
      </c>
      <c r="J1529" s="3">
        <f>IFERROR(VLOOKUP(I1529,$A$1:$G$1610,3,FALSE),J1528)</f>
        <v>14.44</v>
      </c>
      <c r="K1529" s="3">
        <f>IFERROR(VLOOKUP(I1529,$A$1:$G$1610,7,FALSE),K1528)</f>
        <v>0</v>
      </c>
      <c r="L1529" s="5">
        <f t="shared" si="93"/>
        <v>0</v>
      </c>
    </row>
    <row r="1530" spans="1:12" x14ac:dyDescent="0.25">
      <c r="A1530" s="2">
        <v>45971</v>
      </c>
      <c r="B1530" s="3">
        <v>17.600000000000001</v>
      </c>
      <c r="C1530" s="3">
        <f t="shared" si="94"/>
        <v>17.600000000000001</v>
      </c>
      <c r="D1530" s="3">
        <v>6832.43</v>
      </c>
      <c r="E1530" s="3">
        <f t="shared" si="95"/>
        <v>6832.43</v>
      </c>
      <c r="F1530" s="3">
        <f>MAX($E$2:E1530)</f>
        <v>6890.89</v>
      </c>
      <c r="G1530" s="3">
        <f t="shared" si="92"/>
        <v>-0.84836646645063318</v>
      </c>
      <c r="I1530" s="2">
        <v>45359</v>
      </c>
      <c r="J1530" s="3">
        <f>IFERROR(VLOOKUP(I1530,$A$1:$G$1610,3,FALSE),J1529)</f>
        <v>14.74</v>
      </c>
      <c r="K1530" s="3">
        <f>IFERROR(VLOOKUP(I1530,$A$1:$G$1610,7,FALSE),K1529)</f>
        <v>-0.65285339786247376</v>
      </c>
      <c r="L1530" s="5">
        <f t="shared" si="93"/>
        <v>0</v>
      </c>
    </row>
    <row r="1531" spans="1:12" x14ac:dyDescent="0.25">
      <c r="A1531" s="2">
        <v>45972</v>
      </c>
      <c r="B1531" s="3">
        <v>17.28</v>
      </c>
      <c r="C1531" s="3">
        <f t="shared" si="94"/>
        <v>17.28</v>
      </c>
      <c r="D1531" s="3">
        <v>6846.61</v>
      </c>
      <c r="E1531" s="3">
        <f t="shared" si="95"/>
        <v>6846.61</v>
      </c>
      <c r="F1531" s="3">
        <f>MAX($E$2:E1531)</f>
        <v>6890.89</v>
      </c>
      <c r="G1531" s="3">
        <f t="shared" si="92"/>
        <v>-0.64258753223459752</v>
      </c>
      <c r="I1531" s="2">
        <v>45360</v>
      </c>
      <c r="J1531" s="3">
        <f>IFERROR(VLOOKUP(I1531,$A$1:$G$1610,3,FALSE),J1530)</f>
        <v>14.74</v>
      </c>
      <c r="K1531" s="3">
        <f>IFERROR(VLOOKUP(I1531,$A$1:$G$1610,7,FALSE),K1530)</f>
        <v>-0.65285339786247376</v>
      </c>
      <c r="L1531" s="5">
        <f t="shared" si="93"/>
        <v>0</v>
      </c>
    </row>
    <row r="1532" spans="1:12" x14ac:dyDescent="0.25">
      <c r="A1532" s="2">
        <v>45973</v>
      </c>
      <c r="B1532" s="3">
        <v>17.510000000000002</v>
      </c>
      <c r="C1532" s="3">
        <f t="shared" si="94"/>
        <v>17.510000000000002</v>
      </c>
      <c r="D1532" s="3">
        <v>6850.92</v>
      </c>
      <c r="E1532" s="3">
        <f t="shared" si="95"/>
        <v>6850.92</v>
      </c>
      <c r="F1532" s="3">
        <f>MAX($E$2:E1532)</f>
        <v>6890.89</v>
      </c>
      <c r="G1532" s="3">
        <f t="shared" si="92"/>
        <v>-0.5800411848106739</v>
      </c>
      <c r="I1532" s="2">
        <v>45361</v>
      </c>
      <c r="J1532" s="3">
        <f>IFERROR(VLOOKUP(I1532,$A$1:$G$1610,3,FALSE),J1531)</f>
        <v>14.74</v>
      </c>
      <c r="K1532" s="3">
        <f>IFERROR(VLOOKUP(I1532,$A$1:$G$1610,7,FALSE),K1531)</f>
        <v>-0.65285339786247376</v>
      </c>
      <c r="L1532" s="5">
        <f t="shared" si="93"/>
        <v>0</v>
      </c>
    </row>
    <row r="1533" spans="1:12" x14ac:dyDescent="0.25">
      <c r="A1533" s="2">
        <v>45974</v>
      </c>
      <c r="B1533" s="3">
        <v>20</v>
      </c>
      <c r="C1533" s="3">
        <f t="shared" si="94"/>
        <v>20</v>
      </c>
      <c r="D1533" s="3">
        <v>6737.49</v>
      </c>
      <c r="E1533" s="3">
        <f t="shared" si="95"/>
        <v>6737.49</v>
      </c>
      <c r="F1533" s="3">
        <f>MAX($E$2:E1533)</f>
        <v>6890.89</v>
      </c>
      <c r="G1533" s="3">
        <f t="shared" si="92"/>
        <v>-2.2261275394034814</v>
      </c>
      <c r="I1533" s="2">
        <v>45362</v>
      </c>
      <c r="J1533" s="3">
        <f>IFERROR(VLOOKUP(I1533,$A$1:$G$1610,3,FALSE),J1532)</f>
        <v>15.22</v>
      </c>
      <c r="K1533" s="3">
        <f>IFERROR(VLOOKUP(I1533,$A$1:$G$1610,7,FALSE),K1532)</f>
        <v>-0.7643445483735879</v>
      </c>
      <c r="L1533" s="5">
        <f t="shared" si="93"/>
        <v>0</v>
      </c>
    </row>
    <row r="1534" spans="1:12" x14ac:dyDescent="0.25">
      <c r="A1534" s="2">
        <v>45975</v>
      </c>
      <c r="B1534" s="3">
        <v>19.829999999999998</v>
      </c>
      <c r="C1534" s="3">
        <f t="shared" si="94"/>
        <v>19.829999999999998</v>
      </c>
      <c r="D1534" s="3">
        <v>6734.11</v>
      </c>
      <c r="E1534" s="3">
        <f t="shared" si="95"/>
        <v>6734.11</v>
      </c>
      <c r="F1534" s="3">
        <f>MAX($E$2:E1534)</f>
        <v>6890.89</v>
      </c>
      <c r="G1534" s="3">
        <f t="shared" si="92"/>
        <v>-2.2751778072208473</v>
      </c>
      <c r="I1534" s="2">
        <v>45363</v>
      </c>
      <c r="J1534" s="3">
        <f>IFERROR(VLOOKUP(I1534,$A$1:$G$1610,3,FALSE),J1533)</f>
        <v>13.84</v>
      </c>
      <c r="K1534" s="3">
        <f>IFERROR(VLOOKUP(I1534,$A$1:$G$1610,7,FALSE),K1533)</f>
        <v>0</v>
      </c>
      <c r="L1534" s="5">
        <f t="shared" si="93"/>
        <v>0</v>
      </c>
    </row>
    <row r="1535" spans="1:12" x14ac:dyDescent="0.25">
      <c r="A1535" s="2">
        <v>45978</v>
      </c>
      <c r="B1535" s="3">
        <v>22.38</v>
      </c>
      <c r="C1535" s="3">
        <f t="shared" si="94"/>
        <v>22.38</v>
      </c>
      <c r="D1535" s="3">
        <v>6672.41</v>
      </c>
      <c r="E1535" s="3">
        <f t="shared" si="95"/>
        <v>6672.41</v>
      </c>
      <c r="F1535" s="3">
        <f>MAX($E$2:E1535)</f>
        <v>6890.89</v>
      </c>
      <c r="G1535" s="3">
        <f t="shared" si="92"/>
        <v>-3.1705628735910811</v>
      </c>
      <c r="I1535" s="2">
        <v>45364</v>
      </c>
      <c r="J1535" s="3">
        <f>IFERROR(VLOOKUP(I1535,$A$1:$G$1610,3,FALSE),J1534)</f>
        <v>13.75</v>
      </c>
      <c r="K1535" s="3">
        <f>IFERROR(VLOOKUP(I1535,$A$1:$G$1610,7,FALSE),K1534)</f>
        <v>-0.19245372705192262</v>
      </c>
      <c r="L1535" s="5">
        <f t="shared" si="93"/>
        <v>0</v>
      </c>
    </row>
    <row r="1536" spans="1:12" x14ac:dyDescent="0.25">
      <c r="A1536" s="2">
        <v>45979</v>
      </c>
      <c r="B1536" s="3">
        <v>24.69</v>
      </c>
      <c r="C1536" s="3">
        <f t="shared" si="94"/>
        <v>24.69</v>
      </c>
      <c r="D1536" s="3">
        <v>6617.32</v>
      </c>
      <c r="E1536" s="3">
        <f t="shared" si="95"/>
        <v>6617.32</v>
      </c>
      <c r="F1536" s="3">
        <f>MAX($E$2:E1536)</f>
        <v>6890.89</v>
      </c>
      <c r="G1536" s="3">
        <f t="shared" si="92"/>
        <v>-3.9700241913599053</v>
      </c>
      <c r="I1536" s="2">
        <v>45365</v>
      </c>
      <c r="J1536" s="3">
        <f>IFERROR(VLOOKUP(I1536,$A$1:$G$1610,3,FALSE),J1535)</f>
        <v>14.4</v>
      </c>
      <c r="K1536" s="3">
        <f>IFERROR(VLOOKUP(I1536,$A$1:$G$1610,7,FALSE),K1535)</f>
        <v>-0.47900882466037276</v>
      </c>
      <c r="L1536" s="5">
        <f t="shared" si="93"/>
        <v>0</v>
      </c>
    </row>
    <row r="1537" spans="1:12" x14ac:dyDescent="0.25">
      <c r="A1537" s="2">
        <v>45980</v>
      </c>
      <c r="B1537" s="3">
        <v>23.66</v>
      </c>
      <c r="C1537" s="3">
        <f t="shared" si="94"/>
        <v>23.66</v>
      </c>
      <c r="D1537" s="3">
        <v>6642.16</v>
      </c>
      <c r="E1537" s="3">
        <f t="shared" si="95"/>
        <v>6642.16</v>
      </c>
      <c r="F1537" s="3">
        <f>MAX($E$2:E1537)</f>
        <v>6890.89</v>
      </c>
      <c r="G1537" s="3">
        <f t="shared" si="92"/>
        <v>-3.6095482586429397</v>
      </c>
      <c r="I1537" s="2">
        <v>45366</v>
      </c>
      <c r="J1537" s="3">
        <f>IFERROR(VLOOKUP(I1537,$A$1:$G$1610,3,FALSE),J1536)</f>
        <v>14.41</v>
      </c>
      <c r="K1537" s="3">
        <f>IFERROR(VLOOKUP(I1537,$A$1:$G$1610,7,FALSE),K1536)</f>
        <v>-1.1241925542049069</v>
      </c>
      <c r="L1537" s="5">
        <f t="shared" si="93"/>
        <v>0</v>
      </c>
    </row>
    <row r="1538" spans="1:12" x14ac:dyDescent="0.25">
      <c r="A1538" s="2">
        <v>45981</v>
      </c>
      <c r="B1538" s="3">
        <v>26.42</v>
      </c>
      <c r="C1538" s="3">
        <f t="shared" si="94"/>
        <v>26.42</v>
      </c>
      <c r="D1538" s="3">
        <v>6538.76</v>
      </c>
      <c r="E1538" s="3">
        <f t="shared" si="95"/>
        <v>6538.76</v>
      </c>
      <c r="F1538" s="3">
        <f>MAX($E$2:E1538)</f>
        <v>6890.89</v>
      </c>
      <c r="G1538" s="3">
        <f t="shared" ref="G1538:G1601" si="96">(E1538-F1538)/F1538*100</f>
        <v>-5.1100801202747412</v>
      </c>
      <c r="I1538" s="2">
        <v>45367</v>
      </c>
      <c r="J1538" s="3">
        <f>IFERROR(VLOOKUP(I1538,$A$1:$G$1610,3,FALSE),J1537)</f>
        <v>14.41</v>
      </c>
      <c r="K1538" s="3">
        <f>IFERROR(VLOOKUP(I1538,$A$1:$G$1610,7,FALSE),K1537)</f>
        <v>-1.1241925542049069</v>
      </c>
      <c r="L1538" s="5">
        <f t="shared" ref="L1538:L1601" si="97">IF(OR(J1538&gt;=30,K1538&lt;-10),1,0)</f>
        <v>0</v>
      </c>
    </row>
    <row r="1539" spans="1:12" x14ac:dyDescent="0.25">
      <c r="A1539" s="2">
        <v>45982</v>
      </c>
      <c r="B1539" s="3">
        <v>23.43</v>
      </c>
      <c r="C1539" s="3">
        <f t="shared" ref="C1539:C1602" si="98">IF(B1539="",B1538,B1539)</f>
        <v>23.43</v>
      </c>
      <c r="D1539" s="3">
        <v>6602.99</v>
      </c>
      <c r="E1539" s="3">
        <f t="shared" si="95"/>
        <v>6602.99</v>
      </c>
      <c r="F1539" s="3">
        <f>MAX($E$2:E1539)</f>
        <v>6890.89</v>
      </c>
      <c r="G1539" s="3">
        <f t="shared" si="96"/>
        <v>-4.1779799126092643</v>
      </c>
      <c r="I1539" s="2">
        <v>45368</v>
      </c>
      <c r="J1539" s="3">
        <f>IFERROR(VLOOKUP(I1539,$A$1:$G$1610,3,FALSE),J1538)</f>
        <v>14.41</v>
      </c>
      <c r="K1539" s="3">
        <f>IFERROR(VLOOKUP(I1539,$A$1:$G$1610,7,FALSE),K1538)</f>
        <v>-1.1241925542049069</v>
      </c>
      <c r="L1539" s="5">
        <f t="shared" si="97"/>
        <v>0</v>
      </c>
    </row>
    <row r="1540" spans="1:12" x14ac:dyDescent="0.25">
      <c r="A1540" s="2">
        <v>45985</v>
      </c>
      <c r="B1540" s="3">
        <v>20.52</v>
      </c>
      <c r="C1540" s="3">
        <f t="shared" si="98"/>
        <v>20.52</v>
      </c>
      <c r="D1540" s="3">
        <v>6705.12</v>
      </c>
      <c r="E1540" s="3">
        <f t="shared" si="95"/>
        <v>6705.12</v>
      </c>
      <c r="F1540" s="3">
        <f>MAX($E$2:E1540)</f>
        <v>6890.89</v>
      </c>
      <c r="G1540" s="3">
        <f t="shared" si="96"/>
        <v>-2.6958781811928563</v>
      </c>
      <c r="I1540" s="2">
        <v>45369</v>
      </c>
      <c r="J1540" s="3">
        <f>IFERROR(VLOOKUP(I1540,$A$1:$G$1610,3,FALSE),J1539)</f>
        <v>14.33</v>
      </c>
      <c r="K1540" s="3">
        <f>IFERROR(VLOOKUP(I1540,$A$1:$G$1610,7,FALSE),K1539)</f>
        <v>-0.49949084782050723</v>
      </c>
      <c r="L1540" s="5">
        <f t="shared" si="97"/>
        <v>0</v>
      </c>
    </row>
    <row r="1541" spans="1:12" x14ac:dyDescent="0.25">
      <c r="A1541" s="2">
        <v>45986</v>
      </c>
      <c r="B1541" s="3">
        <v>18.559999999999999</v>
      </c>
      <c r="C1541" s="3">
        <f t="shared" si="98"/>
        <v>18.559999999999999</v>
      </c>
      <c r="D1541" s="3">
        <v>6765.88</v>
      </c>
      <c r="E1541" s="3">
        <f t="shared" ref="E1541:E1604" si="99">IF(D1541="",D1540,D1541)</f>
        <v>6765.88</v>
      </c>
      <c r="F1541" s="3">
        <f>MAX($E$2:E1541)</f>
        <v>6890.89</v>
      </c>
      <c r="G1541" s="3">
        <f t="shared" si="96"/>
        <v>-1.8141343135647241</v>
      </c>
      <c r="I1541" s="2">
        <v>45370</v>
      </c>
      <c r="J1541" s="3">
        <f>IFERROR(VLOOKUP(I1541,$A$1:$G$1610,3,FALSE),J1540)</f>
        <v>13.82</v>
      </c>
      <c r="K1541" s="3">
        <f>IFERROR(VLOOKUP(I1541,$A$1:$G$1610,7,FALSE),K1540)</f>
        <v>0</v>
      </c>
      <c r="L1541" s="5">
        <f t="shared" si="97"/>
        <v>0</v>
      </c>
    </row>
    <row r="1542" spans="1:12" x14ac:dyDescent="0.25">
      <c r="A1542" s="2">
        <v>45987</v>
      </c>
      <c r="B1542" s="3">
        <v>17.190000000000001</v>
      </c>
      <c r="C1542" s="3">
        <f t="shared" si="98"/>
        <v>17.190000000000001</v>
      </c>
      <c r="D1542" s="3">
        <v>6812.61</v>
      </c>
      <c r="E1542" s="3">
        <f t="shared" si="99"/>
        <v>6812.61</v>
      </c>
      <c r="F1542" s="3">
        <f>MAX($E$2:E1542)</f>
        <v>6890.89</v>
      </c>
      <c r="G1542" s="3">
        <f t="shared" si="96"/>
        <v>-1.1359925931193309</v>
      </c>
      <c r="I1542" s="2">
        <v>45371</v>
      </c>
      <c r="J1542" s="3">
        <f>IFERROR(VLOOKUP(I1542,$A$1:$G$1610,3,FALSE),J1541)</f>
        <v>13.04</v>
      </c>
      <c r="K1542" s="3">
        <f>IFERROR(VLOOKUP(I1542,$A$1:$G$1610,7,FALSE),K1541)</f>
        <v>0</v>
      </c>
      <c r="L1542" s="5">
        <f t="shared" si="97"/>
        <v>0</v>
      </c>
    </row>
    <row r="1543" spans="1:12" x14ac:dyDescent="0.25">
      <c r="A1543" s="2">
        <v>45988</v>
      </c>
      <c r="B1543" s="3">
        <v>17.21</v>
      </c>
      <c r="C1543" s="3">
        <f t="shared" si="98"/>
        <v>17.21</v>
      </c>
      <c r="E1543" s="3">
        <f t="shared" si="99"/>
        <v>6812.61</v>
      </c>
      <c r="F1543" s="3">
        <f>MAX($E$2:E1543)</f>
        <v>6890.89</v>
      </c>
      <c r="G1543" s="3">
        <f t="shared" si="96"/>
        <v>-1.1359925931193309</v>
      </c>
      <c r="I1543" s="2">
        <v>45372</v>
      </c>
      <c r="J1543" s="3">
        <f>IFERROR(VLOOKUP(I1543,$A$1:$G$1610,3,FALSE),J1542)</f>
        <v>12.92</v>
      </c>
      <c r="K1543" s="3">
        <f>IFERROR(VLOOKUP(I1543,$A$1:$G$1610,7,FALSE),K1542)</f>
        <v>0</v>
      </c>
      <c r="L1543" s="5">
        <f t="shared" si="97"/>
        <v>0</v>
      </c>
    </row>
    <row r="1544" spans="1:12" x14ac:dyDescent="0.25">
      <c r="A1544" s="2">
        <v>45989</v>
      </c>
      <c r="B1544" s="3">
        <v>16.350000000000001</v>
      </c>
      <c r="C1544" s="3">
        <f t="shared" si="98"/>
        <v>16.350000000000001</v>
      </c>
      <c r="D1544" s="3">
        <v>6849.09</v>
      </c>
      <c r="E1544" s="3">
        <f t="shared" si="99"/>
        <v>6849.09</v>
      </c>
      <c r="F1544" s="3">
        <f>MAX($E$2:E1544)</f>
        <v>6890.89</v>
      </c>
      <c r="G1544" s="3">
        <f t="shared" si="96"/>
        <v>-0.60659798661711595</v>
      </c>
      <c r="I1544" s="2">
        <v>45373</v>
      </c>
      <c r="J1544" s="3">
        <f>IFERROR(VLOOKUP(I1544,$A$1:$G$1610,3,FALSE),J1543)</f>
        <v>13.06</v>
      </c>
      <c r="K1544" s="3">
        <f>IFERROR(VLOOKUP(I1544,$A$1:$G$1610,7,FALSE),K1543)</f>
        <v>-0.14022623165372428</v>
      </c>
      <c r="L1544" s="5">
        <f t="shared" si="97"/>
        <v>0</v>
      </c>
    </row>
    <row r="1545" spans="1:12" x14ac:dyDescent="0.25">
      <c r="A1545" s="2">
        <v>45992</v>
      </c>
      <c r="B1545" s="3">
        <v>17.239999999999998</v>
      </c>
      <c r="C1545" s="3">
        <f t="shared" si="98"/>
        <v>17.239999999999998</v>
      </c>
      <c r="D1545" s="3">
        <v>6812.63</v>
      </c>
      <c r="E1545" s="3">
        <f t="shared" si="99"/>
        <v>6812.63</v>
      </c>
      <c r="F1545" s="3">
        <f>MAX($E$2:E1545)</f>
        <v>6890.89</v>
      </c>
      <c r="G1545" s="3">
        <f t="shared" si="96"/>
        <v>-1.1357023548482159</v>
      </c>
      <c r="I1545" s="2">
        <v>45374</v>
      </c>
      <c r="J1545" s="3">
        <f>IFERROR(VLOOKUP(I1545,$A$1:$G$1610,3,FALSE),J1544)</f>
        <v>13.06</v>
      </c>
      <c r="K1545" s="3">
        <f>IFERROR(VLOOKUP(I1545,$A$1:$G$1610,7,FALSE),K1544)</f>
        <v>-0.14022623165372428</v>
      </c>
      <c r="L1545" s="5">
        <f t="shared" si="97"/>
        <v>0</v>
      </c>
    </row>
    <row r="1546" spans="1:12" x14ac:dyDescent="0.25">
      <c r="A1546" s="2">
        <v>45993</v>
      </c>
      <c r="B1546" s="3">
        <v>16.59</v>
      </c>
      <c r="C1546" s="3">
        <f t="shared" si="98"/>
        <v>16.59</v>
      </c>
      <c r="D1546" s="3">
        <v>6829.37</v>
      </c>
      <c r="E1546" s="3">
        <f t="shared" si="99"/>
        <v>6829.37</v>
      </c>
      <c r="F1546" s="3">
        <f>MAX($E$2:E1546)</f>
        <v>6890.89</v>
      </c>
      <c r="G1546" s="3">
        <f t="shared" si="96"/>
        <v>-0.89277292193026492</v>
      </c>
      <c r="I1546" s="2">
        <v>45375</v>
      </c>
      <c r="J1546" s="3">
        <f>IFERROR(VLOOKUP(I1546,$A$1:$G$1610,3,FALSE),J1545)</f>
        <v>13.06</v>
      </c>
      <c r="K1546" s="3">
        <f>IFERROR(VLOOKUP(I1546,$A$1:$G$1610,7,FALSE),K1545)</f>
        <v>-0.14022623165372428</v>
      </c>
      <c r="L1546" s="5">
        <f t="shared" si="97"/>
        <v>0</v>
      </c>
    </row>
    <row r="1547" spans="1:12" x14ac:dyDescent="0.25">
      <c r="A1547" s="2">
        <v>45994</v>
      </c>
      <c r="B1547" s="3">
        <v>16.079999999999998</v>
      </c>
      <c r="C1547" s="3">
        <f t="shared" si="98"/>
        <v>16.079999999999998</v>
      </c>
      <c r="D1547" s="3">
        <v>6849.72</v>
      </c>
      <c r="E1547" s="3">
        <f t="shared" si="99"/>
        <v>6849.72</v>
      </c>
      <c r="F1547" s="3">
        <f>MAX($E$2:E1547)</f>
        <v>6890.89</v>
      </c>
      <c r="G1547" s="3">
        <f t="shared" si="96"/>
        <v>-0.59745548107719126</v>
      </c>
      <c r="I1547" s="2">
        <v>45376</v>
      </c>
      <c r="J1547" s="3">
        <f>IFERROR(VLOOKUP(I1547,$A$1:$G$1610,3,FALSE),J1546)</f>
        <v>13.19</v>
      </c>
      <c r="K1547" s="3">
        <f>IFERROR(VLOOKUP(I1547,$A$1:$G$1610,7,FALSE),K1546)</f>
        <v>-0.44528982949635215</v>
      </c>
      <c r="L1547" s="5">
        <f t="shared" si="97"/>
        <v>0</v>
      </c>
    </row>
    <row r="1548" spans="1:12" x14ac:dyDescent="0.25">
      <c r="A1548" s="2">
        <v>45995</v>
      </c>
      <c r="B1548" s="3">
        <v>15.78</v>
      </c>
      <c r="C1548" s="3">
        <f t="shared" si="98"/>
        <v>15.78</v>
      </c>
      <c r="D1548" s="3">
        <v>6857.12</v>
      </c>
      <c r="E1548" s="3">
        <f t="shared" si="99"/>
        <v>6857.12</v>
      </c>
      <c r="F1548" s="3">
        <f>MAX($E$2:E1548)</f>
        <v>6890.89</v>
      </c>
      <c r="G1548" s="3">
        <f t="shared" si="96"/>
        <v>-0.49006732076699</v>
      </c>
      <c r="I1548" s="2">
        <v>45377</v>
      </c>
      <c r="J1548" s="3">
        <f>IFERROR(VLOOKUP(I1548,$A$1:$G$1610,3,FALSE),J1547)</f>
        <v>13.24</v>
      </c>
      <c r="K1548" s="3">
        <f>IFERROR(VLOOKUP(I1548,$A$1:$G$1610,7,FALSE),K1547)</f>
        <v>-0.72402523690601439</v>
      </c>
      <c r="L1548" s="5">
        <f t="shared" si="97"/>
        <v>0</v>
      </c>
    </row>
    <row r="1549" spans="1:12" x14ac:dyDescent="0.25">
      <c r="A1549" s="2">
        <v>45996</v>
      </c>
      <c r="B1549" s="3">
        <v>15.41</v>
      </c>
      <c r="C1549" s="3">
        <f t="shared" si="98"/>
        <v>15.41</v>
      </c>
      <c r="D1549" s="3">
        <v>6870.4</v>
      </c>
      <c r="E1549" s="3">
        <f t="shared" si="99"/>
        <v>6870.4</v>
      </c>
      <c r="F1549" s="3">
        <f>MAX($E$2:E1549)</f>
        <v>6890.89</v>
      </c>
      <c r="G1549" s="3">
        <f t="shared" si="96"/>
        <v>-0.29734910875083903</v>
      </c>
      <c r="I1549" s="2">
        <v>45378</v>
      </c>
      <c r="J1549" s="3">
        <f>IFERROR(VLOOKUP(I1549,$A$1:$G$1610,3,FALSE),J1548)</f>
        <v>12.78</v>
      </c>
      <c r="K1549" s="3">
        <f>IFERROR(VLOOKUP(I1549,$A$1:$G$1610,7,FALSE),K1548)</f>
        <v>0</v>
      </c>
      <c r="L1549" s="5">
        <f t="shared" si="97"/>
        <v>0</v>
      </c>
    </row>
    <row r="1550" spans="1:12" x14ac:dyDescent="0.25">
      <c r="A1550" s="2">
        <v>45999</v>
      </c>
      <c r="B1550" s="3">
        <v>16.66</v>
      </c>
      <c r="C1550" s="3">
        <f t="shared" si="98"/>
        <v>16.66</v>
      </c>
      <c r="D1550" s="3">
        <v>6846.51</v>
      </c>
      <c r="E1550" s="3">
        <f t="shared" si="99"/>
        <v>6846.51</v>
      </c>
      <c r="F1550" s="3">
        <f>MAX($E$2:E1550)</f>
        <v>6890.89</v>
      </c>
      <c r="G1550" s="3">
        <f t="shared" si="96"/>
        <v>-0.64403872359013281</v>
      </c>
      <c r="I1550" s="2">
        <v>45379</v>
      </c>
      <c r="J1550" s="3">
        <f>IFERROR(VLOOKUP(I1550,$A$1:$G$1610,3,FALSE),J1549)</f>
        <v>13.01</v>
      </c>
      <c r="K1550" s="3">
        <f>IFERROR(VLOOKUP(I1550,$A$1:$G$1610,7,FALSE),K1549)</f>
        <v>0</v>
      </c>
      <c r="L1550" s="5">
        <f t="shared" si="97"/>
        <v>0</v>
      </c>
    </row>
    <row r="1551" spans="1:12" x14ac:dyDescent="0.25">
      <c r="A1551" s="2">
        <v>46000</v>
      </c>
      <c r="B1551" s="3">
        <v>16.93</v>
      </c>
      <c r="C1551" s="3">
        <f t="shared" si="98"/>
        <v>16.93</v>
      </c>
      <c r="D1551" s="3">
        <v>6840.51</v>
      </c>
      <c r="E1551" s="3">
        <f t="shared" si="99"/>
        <v>6840.51</v>
      </c>
      <c r="F1551" s="3">
        <f>MAX($E$2:E1551)</f>
        <v>6890.89</v>
      </c>
      <c r="G1551" s="3">
        <f t="shared" si="96"/>
        <v>-0.73111020492273282</v>
      </c>
      <c r="I1551" s="2">
        <v>45380</v>
      </c>
      <c r="J1551" s="3">
        <f>IFERROR(VLOOKUP(I1551,$A$1:$G$1610,3,FALSE),J1550)</f>
        <v>13.01</v>
      </c>
      <c r="K1551" s="3">
        <f>IFERROR(VLOOKUP(I1551,$A$1:$G$1610,7,FALSE),K1550)</f>
        <v>0</v>
      </c>
      <c r="L1551" s="5">
        <f t="shared" si="97"/>
        <v>0</v>
      </c>
    </row>
    <row r="1552" spans="1:12" x14ac:dyDescent="0.25">
      <c r="A1552" s="2">
        <v>46001</v>
      </c>
      <c r="B1552" s="3">
        <v>15.77</v>
      </c>
      <c r="C1552" s="3">
        <f t="shared" si="98"/>
        <v>15.77</v>
      </c>
      <c r="D1552" s="3">
        <v>6886.68</v>
      </c>
      <c r="E1552" s="3">
        <f t="shared" si="99"/>
        <v>6886.68</v>
      </c>
      <c r="F1552" s="3">
        <f>MAX($E$2:E1552)</f>
        <v>6890.89</v>
      </c>
      <c r="G1552" s="3">
        <f t="shared" si="96"/>
        <v>-6.1095156068374852E-2</v>
      </c>
      <c r="I1552" s="2">
        <v>45381</v>
      </c>
      <c r="J1552" s="3">
        <f>IFERROR(VLOOKUP(I1552,$A$1:$G$1610,3,FALSE),J1551)</f>
        <v>13.01</v>
      </c>
      <c r="K1552" s="3">
        <f>IFERROR(VLOOKUP(I1552,$A$1:$G$1610,7,FALSE),K1551)</f>
        <v>0</v>
      </c>
      <c r="L1552" s="5">
        <f t="shared" si="97"/>
        <v>0</v>
      </c>
    </row>
    <row r="1553" spans="1:12" x14ac:dyDescent="0.25">
      <c r="A1553" s="2">
        <v>46002</v>
      </c>
      <c r="B1553" s="3">
        <v>14.85</v>
      </c>
      <c r="C1553" s="3">
        <f t="shared" si="98"/>
        <v>14.85</v>
      </c>
      <c r="D1553" s="3">
        <v>6901</v>
      </c>
      <c r="E1553" s="3">
        <f t="shared" si="99"/>
        <v>6901</v>
      </c>
      <c r="F1553" s="3">
        <f>MAX($E$2:E1553)</f>
        <v>6901</v>
      </c>
      <c r="G1553" s="3">
        <f t="shared" si="96"/>
        <v>0</v>
      </c>
      <c r="I1553" s="2">
        <v>45382</v>
      </c>
      <c r="J1553" s="3">
        <f>IFERROR(VLOOKUP(I1553,$A$1:$G$1610,3,FALSE),J1552)</f>
        <v>13.01</v>
      </c>
      <c r="K1553" s="3">
        <f>IFERROR(VLOOKUP(I1553,$A$1:$G$1610,7,FALSE),K1552)</f>
        <v>0</v>
      </c>
      <c r="L1553" s="5">
        <f t="shared" si="97"/>
        <v>0</v>
      </c>
    </row>
    <row r="1554" spans="1:12" x14ac:dyDescent="0.25">
      <c r="A1554" s="2">
        <v>46003</v>
      </c>
      <c r="B1554" s="3">
        <v>15.74</v>
      </c>
      <c r="C1554" s="3">
        <f t="shared" si="98"/>
        <v>15.74</v>
      </c>
      <c r="D1554" s="3">
        <v>6827.41</v>
      </c>
      <c r="E1554" s="3">
        <f t="shared" si="99"/>
        <v>6827.41</v>
      </c>
      <c r="F1554" s="3">
        <f>MAX($E$2:E1554)</f>
        <v>6901</v>
      </c>
      <c r="G1554" s="3">
        <f t="shared" si="96"/>
        <v>-1.0663671931604137</v>
      </c>
      <c r="I1554" s="2">
        <v>45383</v>
      </c>
      <c r="J1554" s="3">
        <f>IFERROR(VLOOKUP(I1554,$A$1:$G$1610,3,FALSE),J1553)</f>
        <v>13.65</v>
      </c>
      <c r="K1554" s="3">
        <f>IFERROR(VLOOKUP(I1554,$A$1:$G$1610,7,FALSE),K1553)</f>
        <v>-0.20135697089078433</v>
      </c>
      <c r="L1554" s="5">
        <f t="shared" si="97"/>
        <v>0</v>
      </c>
    </row>
    <row r="1555" spans="1:12" x14ac:dyDescent="0.25">
      <c r="A1555" s="2">
        <v>46006</v>
      </c>
      <c r="B1555" s="3">
        <v>16.5</v>
      </c>
      <c r="C1555" s="3">
        <f t="shared" si="98"/>
        <v>16.5</v>
      </c>
      <c r="D1555" s="3">
        <v>6816.51</v>
      </c>
      <c r="E1555" s="3">
        <f t="shared" si="99"/>
        <v>6816.51</v>
      </c>
      <c r="F1555" s="3">
        <f>MAX($E$2:E1555)</f>
        <v>6901</v>
      </c>
      <c r="G1555" s="3">
        <f t="shared" si="96"/>
        <v>-1.2243153166207765</v>
      </c>
      <c r="I1555" s="2">
        <v>45384</v>
      </c>
      <c r="J1555" s="3">
        <f>IFERROR(VLOOKUP(I1555,$A$1:$G$1610,3,FALSE),J1554)</f>
        <v>14.61</v>
      </c>
      <c r="K1555" s="3">
        <f>IFERROR(VLOOKUP(I1555,$A$1:$G$1610,7,FALSE),K1554)</f>
        <v>-0.92380598932313152</v>
      </c>
      <c r="L1555" s="5">
        <f t="shared" si="97"/>
        <v>0</v>
      </c>
    </row>
    <row r="1556" spans="1:12" x14ac:dyDescent="0.25">
      <c r="A1556" s="2">
        <v>46007</v>
      </c>
      <c r="B1556" s="3">
        <v>16.48</v>
      </c>
      <c r="C1556" s="3">
        <f t="shared" si="98"/>
        <v>16.48</v>
      </c>
      <c r="D1556" s="3">
        <v>6800.26</v>
      </c>
      <c r="E1556" s="3">
        <f t="shared" si="99"/>
        <v>6800.26</v>
      </c>
      <c r="F1556" s="3">
        <f>MAX($E$2:E1556)</f>
        <v>6901</v>
      </c>
      <c r="G1556" s="3">
        <f t="shared" si="96"/>
        <v>-1.459788436458481</v>
      </c>
      <c r="I1556" s="2">
        <v>45385</v>
      </c>
      <c r="J1556" s="3">
        <f>IFERROR(VLOOKUP(I1556,$A$1:$G$1610,3,FALSE),J1555)</f>
        <v>14.33</v>
      </c>
      <c r="K1556" s="3">
        <f>IFERROR(VLOOKUP(I1556,$A$1:$G$1610,7,FALSE),K1555)</f>
        <v>-0.81570508245550033</v>
      </c>
      <c r="L1556" s="5">
        <f t="shared" si="97"/>
        <v>0</v>
      </c>
    </row>
    <row r="1557" spans="1:12" x14ac:dyDescent="0.25">
      <c r="A1557" s="2">
        <v>46008</v>
      </c>
      <c r="B1557" s="3">
        <v>17.62</v>
      </c>
      <c r="C1557" s="3">
        <f t="shared" si="98"/>
        <v>17.62</v>
      </c>
      <c r="D1557" s="3">
        <v>6721.43</v>
      </c>
      <c r="E1557" s="3">
        <f t="shared" si="99"/>
        <v>6721.43</v>
      </c>
      <c r="F1557" s="3">
        <f>MAX($E$2:E1557)</f>
        <v>6901</v>
      </c>
      <c r="G1557" s="3">
        <f t="shared" si="96"/>
        <v>-2.602086654108096</v>
      </c>
      <c r="I1557" s="2">
        <v>45386</v>
      </c>
      <c r="J1557" s="3">
        <f>IFERROR(VLOOKUP(I1557,$A$1:$G$1610,3,FALSE),J1556)</f>
        <v>16.350000000000001</v>
      </c>
      <c r="K1557" s="3">
        <f>IFERROR(VLOOKUP(I1557,$A$1:$G$1610,7,FALSE),K1556)</f>
        <v>-2.0390723876407226</v>
      </c>
      <c r="L1557" s="5">
        <f t="shared" si="97"/>
        <v>0</v>
      </c>
    </row>
    <row r="1558" spans="1:12" x14ac:dyDescent="0.25">
      <c r="A1558" s="2">
        <v>46009</v>
      </c>
      <c r="B1558" s="3">
        <v>16.87</v>
      </c>
      <c r="C1558" s="3">
        <f t="shared" si="98"/>
        <v>16.87</v>
      </c>
      <c r="D1558" s="3">
        <v>6774.76</v>
      </c>
      <c r="E1558" s="3">
        <f t="shared" si="99"/>
        <v>6774.76</v>
      </c>
      <c r="F1558" s="3">
        <f>MAX($E$2:E1558)</f>
        <v>6901</v>
      </c>
      <c r="G1558" s="3">
        <f t="shared" si="96"/>
        <v>-1.8293001014345716</v>
      </c>
      <c r="I1558" s="2">
        <v>45387</v>
      </c>
      <c r="J1558" s="3">
        <f>IFERROR(VLOOKUP(I1558,$A$1:$G$1610,3,FALSE),J1557)</f>
        <v>16.03</v>
      </c>
      <c r="K1558" s="3">
        <f>IFERROR(VLOOKUP(I1558,$A$1:$G$1610,7,FALSE),K1557)</f>
        <v>-0.95178280853007913</v>
      </c>
      <c r="L1558" s="5">
        <f t="shared" si="97"/>
        <v>0</v>
      </c>
    </row>
    <row r="1559" spans="1:12" x14ac:dyDescent="0.25">
      <c r="A1559" s="2">
        <v>46010</v>
      </c>
      <c r="B1559" s="3">
        <v>14.91</v>
      </c>
      <c r="C1559" s="3">
        <f t="shared" si="98"/>
        <v>14.91</v>
      </c>
      <c r="D1559" s="3">
        <v>6834.5</v>
      </c>
      <c r="E1559" s="3">
        <f t="shared" si="99"/>
        <v>6834.5</v>
      </c>
      <c r="F1559" s="3">
        <f>MAX($E$2:E1559)</f>
        <v>6901</v>
      </c>
      <c r="G1559" s="3">
        <f t="shared" si="96"/>
        <v>-0.96362845964352983</v>
      </c>
      <c r="I1559" s="2">
        <v>45388</v>
      </c>
      <c r="J1559" s="3">
        <f>IFERROR(VLOOKUP(I1559,$A$1:$G$1610,3,FALSE),J1558)</f>
        <v>16.03</v>
      </c>
      <c r="K1559" s="3">
        <f>IFERROR(VLOOKUP(I1559,$A$1:$G$1610,7,FALSE),K1558)</f>
        <v>-0.95178280853007913</v>
      </c>
      <c r="L1559" s="5">
        <f t="shared" si="97"/>
        <v>0</v>
      </c>
    </row>
    <row r="1560" spans="1:12" x14ac:dyDescent="0.25">
      <c r="A1560" s="2">
        <v>46013</v>
      </c>
      <c r="B1560" s="3">
        <v>14.08</v>
      </c>
      <c r="C1560" s="3">
        <f t="shared" si="98"/>
        <v>14.08</v>
      </c>
      <c r="D1560" s="3">
        <v>6878.49</v>
      </c>
      <c r="E1560" s="3">
        <f t="shared" si="99"/>
        <v>6878.49</v>
      </c>
      <c r="F1560" s="3">
        <f>MAX($E$2:E1560)</f>
        <v>6901</v>
      </c>
      <c r="G1560" s="3">
        <f t="shared" si="96"/>
        <v>-0.32618461092595596</v>
      </c>
      <c r="I1560" s="2">
        <v>45389</v>
      </c>
      <c r="J1560" s="3">
        <f>IFERROR(VLOOKUP(I1560,$A$1:$G$1610,3,FALSE),J1559)</f>
        <v>16.03</v>
      </c>
      <c r="K1560" s="3">
        <f>IFERROR(VLOOKUP(I1560,$A$1:$G$1610,7,FALSE),K1559)</f>
        <v>-0.95178280853007913</v>
      </c>
      <c r="L1560" s="5">
        <f t="shared" si="97"/>
        <v>0</v>
      </c>
    </row>
    <row r="1561" spans="1:12" x14ac:dyDescent="0.25">
      <c r="A1561" s="2">
        <v>46014</v>
      </c>
      <c r="B1561" s="3">
        <v>14</v>
      </c>
      <c r="C1561" s="3">
        <f t="shared" si="98"/>
        <v>14</v>
      </c>
      <c r="D1561" s="3">
        <v>6909.79</v>
      </c>
      <c r="E1561" s="3">
        <f t="shared" si="99"/>
        <v>6909.79</v>
      </c>
      <c r="F1561" s="3">
        <f>MAX($E$2:E1561)</f>
        <v>6909.79</v>
      </c>
      <c r="G1561" s="3">
        <f t="shared" si="96"/>
        <v>0</v>
      </c>
      <c r="I1561" s="2">
        <v>45390</v>
      </c>
      <c r="J1561" s="3">
        <f>IFERROR(VLOOKUP(I1561,$A$1:$G$1610,3,FALSE),J1560)</f>
        <v>15.19</v>
      </c>
      <c r="K1561" s="3">
        <f>IFERROR(VLOOKUP(I1561,$A$1:$G$1610,7,FALSE),K1560)</f>
        <v>-0.98889491564132637</v>
      </c>
      <c r="L1561" s="5">
        <f t="shared" si="97"/>
        <v>0</v>
      </c>
    </row>
    <row r="1562" spans="1:12" x14ac:dyDescent="0.25">
      <c r="A1562" s="2">
        <v>46015</v>
      </c>
      <c r="B1562" s="3">
        <v>13.47</v>
      </c>
      <c r="C1562" s="3">
        <f t="shared" si="98"/>
        <v>13.47</v>
      </c>
      <c r="D1562" s="3">
        <v>6932.05</v>
      </c>
      <c r="E1562" s="3">
        <f t="shared" si="99"/>
        <v>6932.05</v>
      </c>
      <c r="F1562" s="3">
        <f>MAX($E$2:E1562)</f>
        <v>6932.05</v>
      </c>
      <c r="G1562" s="3">
        <f t="shared" si="96"/>
        <v>0</v>
      </c>
      <c r="I1562" s="2">
        <v>45391</v>
      </c>
      <c r="J1562" s="3">
        <f>IFERROR(VLOOKUP(I1562,$A$1:$G$1610,3,FALSE),J1561)</f>
        <v>14.98</v>
      </c>
      <c r="K1562" s="3">
        <f>IFERROR(VLOOKUP(I1562,$A$1:$G$1610,7,FALSE),K1561)</f>
        <v>-0.8457754051405123</v>
      </c>
      <c r="L1562" s="5">
        <f t="shared" si="97"/>
        <v>0</v>
      </c>
    </row>
    <row r="1563" spans="1:12" x14ac:dyDescent="0.25">
      <c r="A1563" s="2">
        <v>46016</v>
      </c>
      <c r="C1563" s="3">
        <f t="shared" si="98"/>
        <v>13.47</v>
      </c>
      <c r="E1563" s="3">
        <f t="shared" si="99"/>
        <v>6932.05</v>
      </c>
      <c r="F1563" s="3">
        <f>MAX($E$2:E1563)</f>
        <v>6932.05</v>
      </c>
      <c r="G1563" s="3">
        <f t="shared" si="96"/>
        <v>0</v>
      </c>
      <c r="I1563" s="2">
        <v>45392</v>
      </c>
      <c r="J1563" s="3">
        <f>IFERROR(VLOOKUP(I1563,$A$1:$G$1610,3,FALSE),J1562)</f>
        <v>15.8</v>
      </c>
      <c r="K1563" s="3">
        <f>IFERROR(VLOOKUP(I1563,$A$1:$G$1610,7,FALSE),K1562)</f>
        <v>-1.7834746448181036</v>
      </c>
      <c r="L1563" s="5">
        <f t="shared" si="97"/>
        <v>0</v>
      </c>
    </row>
    <row r="1564" spans="1:12" x14ac:dyDescent="0.25">
      <c r="A1564" s="2">
        <v>46017</v>
      </c>
      <c r="B1564" s="3">
        <v>13.6</v>
      </c>
      <c r="C1564" s="3">
        <f t="shared" si="98"/>
        <v>13.6</v>
      </c>
      <c r="D1564" s="3">
        <v>6929.94</v>
      </c>
      <c r="E1564" s="3">
        <f t="shared" si="99"/>
        <v>6929.94</v>
      </c>
      <c r="F1564" s="3">
        <f>MAX($E$2:E1564)</f>
        <v>6932.05</v>
      </c>
      <c r="G1564" s="3">
        <f t="shared" si="96"/>
        <v>-3.043832632483294E-2</v>
      </c>
      <c r="I1564" s="2">
        <v>45393</v>
      </c>
      <c r="J1564" s="3">
        <f>IFERROR(VLOOKUP(I1564,$A$1:$G$1610,3,FALSE),J1563)</f>
        <v>14.91</v>
      </c>
      <c r="K1564" s="3">
        <f>IFERROR(VLOOKUP(I1564,$A$1:$G$1610,7,FALSE),K1563)</f>
        <v>-1.0522709754774606</v>
      </c>
      <c r="L1564" s="5">
        <f t="shared" si="97"/>
        <v>0</v>
      </c>
    </row>
    <row r="1565" spans="1:12" x14ac:dyDescent="0.25">
      <c r="A1565" s="2">
        <v>46020</v>
      </c>
      <c r="B1565" s="3">
        <v>14.2</v>
      </c>
      <c r="C1565" s="3">
        <f t="shared" si="98"/>
        <v>14.2</v>
      </c>
      <c r="D1565" s="3">
        <v>6905.74</v>
      </c>
      <c r="E1565" s="3">
        <f t="shared" si="99"/>
        <v>6905.74</v>
      </c>
      <c r="F1565" s="3">
        <f>MAX($E$2:E1565)</f>
        <v>6932.05</v>
      </c>
      <c r="G1565" s="3">
        <f t="shared" si="96"/>
        <v>-0.37954140550054311</v>
      </c>
      <c r="I1565" s="2">
        <v>45394</v>
      </c>
      <c r="J1565" s="3">
        <f>IFERROR(VLOOKUP(I1565,$A$1:$G$1610,3,FALSE),J1564)</f>
        <v>17.309999999999999</v>
      </c>
      <c r="K1565" s="3">
        <f>IFERROR(VLOOKUP(I1565,$A$1:$G$1610,7,FALSE),K1564)</f>
        <v>-2.4920304128959909</v>
      </c>
      <c r="L1565" s="5">
        <f t="shared" si="97"/>
        <v>0</v>
      </c>
    </row>
    <row r="1566" spans="1:12" x14ac:dyDescent="0.25">
      <c r="A1566" s="2">
        <v>46021</v>
      </c>
      <c r="B1566" s="3">
        <v>14.33</v>
      </c>
      <c r="C1566" s="3">
        <f t="shared" si="98"/>
        <v>14.33</v>
      </c>
      <c r="D1566" s="3">
        <v>6896.24</v>
      </c>
      <c r="E1566" s="3">
        <f t="shared" si="99"/>
        <v>6896.24</v>
      </c>
      <c r="F1566" s="3">
        <f>MAX($E$2:E1566)</f>
        <v>6932.05</v>
      </c>
      <c r="G1566" s="3">
        <f t="shared" si="96"/>
        <v>-0.51658600269762045</v>
      </c>
      <c r="I1566" s="2">
        <v>45395</v>
      </c>
      <c r="J1566" s="3">
        <f>IFERROR(VLOOKUP(I1566,$A$1:$G$1610,3,FALSE),J1565)</f>
        <v>17.309999999999999</v>
      </c>
      <c r="K1566" s="3">
        <f>IFERROR(VLOOKUP(I1566,$A$1:$G$1610,7,FALSE),K1565)</f>
        <v>-2.4920304128959909</v>
      </c>
      <c r="L1566" s="5">
        <f t="shared" si="97"/>
        <v>0</v>
      </c>
    </row>
    <row r="1567" spans="1:12" x14ac:dyDescent="0.25">
      <c r="A1567" s="2">
        <v>46022</v>
      </c>
      <c r="B1567" s="3">
        <v>14.95</v>
      </c>
      <c r="C1567" s="3">
        <f t="shared" si="98"/>
        <v>14.95</v>
      </c>
      <c r="D1567" s="3">
        <v>6845.5</v>
      </c>
      <c r="E1567" s="3">
        <f t="shared" si="99"/>
        <v>6845.5</v>
      </c>
      <c r="F1567" s="3">
        <f>MAX($E$2:E1567)</f>
        <v>6932.05</v>
      </c>
      <c r="G1567" s="3">
        <f t="shared" si="96"/>
        <v>-1.2485484092007442</v>
      </c>
      <c r="I1567" s="2">
        <v>45396</v>
      </c>
      <c r="J1567" s="3">
        <f>IFERROR(VLOOKUP(I1567,$A$1:$G$1610,3,FALSE),J1566)</f>
        <v>17.309999999999999</v>
      </c>
      <c r="K1567" s="3">
        <f>IFERROR(VLOOKUP(I1567,$A$1:$G$1610,7,FALSE),K1566)</f>
        <v>-2.4920304128959909</v>
      </c>
      <c r="L1567" s="5">
        <f t="shared" si="97"/>
        <v>0</v>
      </c>
    </row>
    <row r="1568" spans="1:12" x14ac:dyDescent="0.25">
      <c r="A1568" s="2">
        <v>46023</v>
      </c>
      <c r="C1568" s="3">
        <f t="shared" si="98"/>
        <v>14.95</v>
      </c>
      <c r="E1568" s="3">
        <f t="shared" si="99"/>
        <v>6845.5</v>
      </c>
      <c r="F1568" s="3">
        <f>MAX($E$2:E1568)</f>
        <v>6932.05</v>
      </c>
      <c r="G1568" s="3">
        <f t="shared" si="96"/>
        <v>-1.2485484092007442</v>
      </c>
      <c r="I1568" s="2">
        <v>45397</v>
      </c>
      <c r="J1568" s="3">
        <f>IFERROR(VLOOKUP(I1568,$A$1:$G$1610,3,FALSE),J1567)</f>
        <v>19.23</v>
      </c>
      <c r="K1568" s="3">
        <f>IFERROR(VLOOKUP(I1568,$A$1:$G$1610,7,FALSE),K1567)</f>
        <v>-3.6642020421174961</v>
      </c>
      <c r="L1568" s="5">
        <f t="shared" si="97"/>
        <v>0</v>
      </c>
    </row>
    <row r="1569" spans="1:12" x14ac:dyDescent="0.25">
      <c r="A1569" s="2">
        <v>46024</v>
      </c>
      <c r="B1569" s="3">
        <v>14.51</v>
      </c>
      <c r="C1569" s="3">
        <f t="shared" si="98"/>
        <v>14.51</v>
      </c>
      <c r="D1569" s="3">
        <v>6858.47</v>
      </c>
      <c r="E1569" s="3">
        <f t="shared" si="99"/>
        <v>6858.47</v>
      </c>
      <c r="F1569" s="3">
        <f>MAX($E$2:E1569)</f>
        <v>6932.05</v>
      </c>
      <c r="G1569" s="3">
        <f t="shared" si="96"/>
        <v>-1.0614464696590464</v>
      </c>
      <c r="I1569" s="2">
        <v>45398</v>
      </c>
      <c r="J1569" s="3">
        <f>IFERROR(VLOOKUP(I1569,$A$1:$G$1610,3,FALSE),J1568)</f>
        <v>18.399999999999999</v>
      </c>
      <c r="K1569" s="3">
        <f>IFERROR(VLOOKUP(I1569,$A$1:$G$1610,7,FALSE),K1568)</f>
        <v>-3.8623235985421696</v>
      </c>
      <c r="L1569" s="5">
        <f t="shared" si="97"/>
        <v>0</v>
      </c>
    </row>
    <row r="1570" spans="1:12" x14ac:dyDescent="0.25">
      <c r="A1570" s="2">
        <v>46027</v>
      </c>
      <c r="B1570" s="3">
        <v>14.9</v>
      </c>
      <c r="C1570" s="3">
        <f t="shared" si="98"/>
        <v>14.9</v>
      </c>
      <c r="D1570" s="3">
        <v>6902.05</v>
      </c>
      <c r="E1570" s="3">
        <f t="shared" si="99"/>
        <v>6902.05</v>
      </c>
      <c r="F1570" s="3">
        <f>MAX($E$2:E1570)</f>
        <v>6932.05</v>
      </c>
      <c r="G1570" s="3">
        <f t="shared" si="96"/>
        <v>-0.43277241220129692</v>
      </c>
      <c r="I1570" s="2">
        <v>45399</v>
      </c>
      <c r="J1570" s="3">
        <f>IFERROR(VLOOKUP(I1570,$A$1:$G$1610,3,FALSE),J1569)</f>
        <v>18.21</v>
      </c>
      <c r="K1570" s="3">
        <f>IFERROR(VLOOKUP(I1570,$A$1:$G$1610,7,FALSE),K1569)</f>
        <v>-4.418053612720894</v>
      </c>
      <c r="L1570" s="5">
        <f t="shared" si="97"/>
        <v>0</v>
      </c>
    </row>
    <row r="1571" spans="1:12" x14ac:dyDescent="0.25">
      <c r="A1571" s="2">
        <v>46028</v>
      </c>
      <c r="B1571" s="3">
        <v>14.75</v>
      </c>
      <c r="C1571" s="3">
        <f t="shared" si="98"/>
        <v>14.75</v>
      </c>
      <c r="D1571" s="3">
        <v>6944.82</v>
      </c>
      <c r="E1571" s="3">
        <f t="shared" si="99"/>
        <v>6944.82</v>
      </c>
      <c r="F1571" s="3">
        <f>MAX($E$2:E1571)</f>
        <v>6944.82</v>
      </c>
      <c r="G1571" s="3">
        <f t="shared" si="96"/>
        <v>0</v>
      </c>
      <c r="I1571" s="2">
        <v>45400</v>
      </c>
      <c r="J1571" s="3">
        <f>IFERROR(VLOOKUP(I1571,$A$1:$G$1610,3,FALSE),J1570)</f>
        <v>18</v>
      </c>
      <c r="K1571" s="3">
        <f>IFERROR(VLOOKUP(I1571,$A$1:$G$1610,7,FALSE),K1570)</f>
        <v>-4.6291168270100105</v>
      </c>
      <c r="L1571" s="5">
        <f t="shared" si="97"/>
        <v>0</v>
      </c>
    </row>
    <row r="1572" spans="1:12" x14ac:dyDescent="0.25">
      <c r="A1572" s="2">
        <v>46029</v>
      </c>
      <c r="B1572" s="3">
        <v>15.38</v>
      </c>
      <c r="C1572" s="3">
        <f t="shared" si="98"/>
        <v>15.38</v>
      </c>
      <c r="D1572" s="3">
        <v>6920.93</v>
      </c>
      <c r="E1572" s="3">
        <f t="shared" si="99"/>
        <v>6920.93</v>
      </c>
      <c r="F1572" s="3">
        <f>MAX($E$2:E1572)</f>
        <v>6944.82</v>
      </c>
      <c r="G1572" s="3">
        <f t="shared" si="96"/>
        <v>-0.34399739662078238</v>
      </c>
      <c r="I1572" s="2">
        <v>45401</v>
      </c>
      <c r="J1572" s="3">
        <f>IFERROR(VLOOKUP(I1572,$A$1:$G$1610,3,FALSE),J1571)</f>
        <v>18.71</v>
      </c>
      <c r="K1572" s="3">
        <f>IFERROR(VLOOKUP(I1572,$A$1:$G$1610,7,FALSE),K1571)</f>
        <v>-5.4644247147601659</v>
      </c>
      <c r="L1572" s="5">
        <f t="shared" si="97"/>
        <v>0</v>
      </c>
    </row>
    <row r="1573" spans="1:12" x14ac:dyDescent="0.25">
      <c r="A1573" s="2">
        <v>46030</v>
      </c>
      <c r="B1573" s="3">
        <v>15.45</v>
      </c>
      <c r="C1573" s="3">
        <f t="shared" si="98"/>
        <v>15.45</v>
      </c>
      <c r="D1573" s="3">
        <v>6921.46</v>
      </c>
      <c r="E1573" s="3">
        <f t="shared" si="99"/>
        <v>6921.46</v>
      </c>
      <c r="F1573" s="3">
        <f>MAX($E$2:E1573)</f>
        <v>6944.82</v>
      </c>
      <c r="G1573" s="3">
        <f t="shared" si="96"/>
        <v>-0.33636580933702637</v>
      </c>
      <c r="I1573" s="2">
        <v>45402</v>
      </c>
      <c r="J1573" s="3">
        <f>IFERROR(VLOOKUP(I1573,$A$1:$G$1610,3,FALSE),J1572)</f>
        <v>18.71</v>
      </c>
      <c r="K1573" s="3">
        <f>IFERROR(VLOOKUP(I1573,$A$1:$G$1610,7,FALSE),K1572)</f>
        <v>-5.4644247147601659</v>
      </c>
      <c r="L1573" s="5">
        <f t="shared" si="97"/>
        <v>0</v>
      </c>
    </row>
    <row r="1574" spans="1:12" x14ac:dyDescent="0.25">
      <c r="A1574" s="2">
        <v>46031</v>
      </c>
      <c r="B1574" s="3">
        <v>14.49</v>
      </c>
      <c r="C1574" s="3">
        <f t="shared" si="98"/>
        <v>14.49</v>
      </c>
      <c r="D1574" s="3">
        <v>6966.28</v>
      </c>
      <c r="E1574" s="3">
        <f t="shared" si="99"/>
        <v>6966.28</v>
      </c>
      <c r="F1574" s="3">
        <f>MAX($E$2:E1574)</f>
        <v>6966.28</v>
      </c>
      <c r="G1574" s="3">
        <f t="shared" si="96"/>
        <v>0</v>
      </c>
      <c r="I1574" s="2">
        <v>45403</v>
      </c>
      <c r="J1574" s="3">
        <f>IFERROR(VLOOKUP(I1574,$A$1:$G$1610,3,FALSE),J1573)</f>
        <v>18.71</v>
      </c>
      <c r="K1574" s="3">
        <f>IFERROR(VLOOKUP(I1574,$A$1:$G$1610,7,FALSE),K1573)</f>
        <v>-5.4644247147601659</v>
      </c>
      <c r="L1574" s="5">
        <f t="shared" si="97"/>
        <v>0</v>
      </c>
    </row>
    <row r="1575" spans="1:12" x14ac:dyDescent="0.25">
      <c r="A1575" s="2">
        <v>46034</v>
      </c>
      <c r="B1575" s="3">
        <v>15.12</v>
      </c>
      <c r="C1575" s="3">
        <f t="shared" si="98"/>
        <v>15.12</v>
      </c>
      <c r="D1575" s="3">
        <v>6977.27</v>
      </c>
      <c r="E1575" s="3">
        <f t="shared" si="99"/>
        <v>6977.27</v>
      </c>
      <c r="F1575" s="3">
        <f>MAX($E$2:E1575)</f>
        <v>6977.27</v>
      </c>
      <c r="G1575" s="3">
        <f t="shared" si="96"/>
        <v>0</v>
      </c>
      <c r="I1575" s="2">
        <v>45404</v>
      </c>
      <c r="J1575" s="3">
        <f>IFERROR(VLOOKUP(I1575,$A$1:$G$1610,3,FALSE),J1574)</f>
        <v>16.940000000000001</v>
      </c>
      <c r="K1575" s="3">
        <f>IFERROR(VLOOKUP(I1575,$A$1:$G$1610,7,FALSE),K1574)</f>
        <v>-4.6390133889063341</v>
      </c>
      <c r="L1575" s="5">
        <f t="shared" si="97"/>
        <v>0</v>
      </c>
    </row>
    <row r="1576" spans="1:12" x14ac:dyDescent="0.25">
      <c r="A1576" s="2">
        <v>46035</v>
      </c>
      <c r="B1576" s="3">
        <v>15.98</v>
      </c>
      <c r="C1576" s="3">
        <f t="shared" si="98"/>
        <v>15.98</v>
      </c>
      <c r="D1576" s="3">
        <v>6963.74</v>
      </c>
      <c r="E1576" s="3">
        <f t="shared" si="99"/>
        <v>6963.74</v>
      </c>
      <c r="F1576" s="3">
        <f>MAX($E$2:E1576)</f>
        <v>6977.27</v>
      </c>
      <c r="G1576" s="3">
        <f t="shared" si="96"/>
        <v>-0.19391538524380816</v>
      </c>
      <c r="I1576" s="2">
        <v>45405</v>
      </c>
      <c r="J1576" s="3">
        <f>IFERROR(VLOOKUP(I1576,$A$1:$G$1610,3,FALSE),J1575)</f>
        <v>15.69</v>
      </c>
      <c r="K1576" s="3">
        <f>IFERROR(VLOOKUP(I1576,$A$1:$G$1610,7,FALSE),K1575)</f>
        <v>-3.498053993357888</v>
      </c>
      <c r="L1576" s="5">
        <f t="shared" si="97"/>
        <v>0</v>
      </c>
    </row>
    <row r="1577" spans="1:12" x14ac:dyDescent="0.25">
      <c r="A1577" s="2">
        <v>46036</v>
      </c>
      <c r="B1577" s="3">
        <v>16.75</v>
      </c>
      <c r="C1577" s="3">
        <f t="shared" si="98"/>
        <v>16.75</v>
      </c>
      <c r="D1577" s="3">
        <v>6926.6</v>
      </c>
      <c r="E1577" s="3">
        <f t="shared" si="99"/>
        <v>6926.6</v>
      </c>
      <c r="F1577" s="3">
        <f>MAX($E$2:E1577)</f>
        <v>6977.27</v>
      </c>
      <c r="G1577" s="3">
        <f t="shared" si="96"/>
        <v>-0.72621526757600141</v>
      </c>
      <c r="I1577" s="2">
        <v>45406</v>
      </c>
      <c r="J1577" s="3">
        <f>IFERROR(VLOOKUP(I1577,$A$1:$G$1610,3,FALSE),J1576)</f>
        <v>15.97</v>
      </c>
      <c r="K1577" s="3">
        <f>IFERROR(VLOOKUP(I1577,$A$1:$G$1610,7,FALSE),K1576)</f>
        <v>-3.477499595573196</v>
      </c>
      <c r="L1577" s="5">
        <f t="shared" si="97"/>
        <v>0</v>
      </c>
    </row>
    <row r="1578" spans="1:12" x14ac:dyDescent="0.25">
      <c r="A1578" s="2">
        <v>46037</v>
      </c>
      <c r="B1578" s="3">
        <v>15.84</v>
      </c>
      <c r="C1578" s="3">
        <f t="shared" si="98"/>
        <v>15.84</v>
      </c>
      <c r="D1578" s="3">
        <v>6944.47</v>
      </c>
      <c r="E1578" s="3">
        <f t="shared" si="99"/>
        <v>6944.47</v>
      </c>
      <c r="F1578" s="3">
        <f>MAX($E$2:E1578)</f>
        <v>6977.27</v>
      </c>
      <c r="G1578" s="3">
        <f t="shared" si="96"/>
        <v>-0.47009790362133302</v>
      </c>
      <c r="I1578" s="2">
        <v>45407</v>
      </c>
      <c r="J1578" s="3">
        <f>IFERROR(VLOOKUP(I1578,$A$1:$G$1610,3,FALSE),J1577)</f>
        <v>15.37</v>
      </c>
      <c r="K1578" s="3">
        <f>IFERROR(VLOOKUP(I1578,$A$1:$G$1610,7,FALSE),K1577)</f>
        <v>-3.9192288294460829</v>
      </c>
      <c r="L1578" s="5">
        <f t="shared" si="97"/>
        <v>0</v>
      </c>
    </row>
    <row r="1579" spans="1:12" x14ac:dyDescent="0.25">
      <c r="A1579" s="2">
        <v>46038</v>
      </c>
      <c r="B1579" s="3">
        <v>15.86</v>
      </c>
      <c r="C1579" s="3">
        <f t="shared" si="98"/>
        <v>15.86</v>
      </c>
      <c r="D1579" s="3">
        <v>6940.01</v>
      </c>
      <c r="E1579" s="3">
        <f t="shared" si="99"/>
        <v>6940.01</v>
      </c>
      <c r="F1579" s="3">
        <f>MAX($E$2:E1579)</f>
        <v>6977.27</v>
      </c>
      <c r="G1579" s="3">
        <f t="shared" si="96"/>
        <v>-0.53401975271130708</v>
      </c>
      <c r="I1579" s="2">
        <v>45408</v>
      </c>
      <c r="J1579" s="3">
        <f>IFERROR(VLOOKUP(I1579,$A$1:$G$1610,3,FALSE),J1578)</f>
        <v>15.03</v>
      </c>
      <c r="K1579" s="3">
        <f>IFERROR(VLOOKUP(I1579,$A$1:$G$1610,7,FALSE),K1578)</f>
        <v>-2.9383272907210278</v>
      </c>
      <c r="L1579" s="5">
        <f t="shared" si="97"/>
        <v>0</v>
      </c>
    </row>
    <row r="1580" spans="1:12" x14ac:dyDescent="0.25">
      <c r="A1580" s="2">
        <v>46041</v>
      </c>
      <c r="B1580" s="3">
        <v>18.84</v>
      </c>
      <c r="C1580" s="3">
        <f t="shared" si="98"/>
        <v>18.84</v>
      </c>
      <c r="E1580" s="3">
        <f t="shared" si="99"/>
        <v>6940.01</v>
      </c>
      <c r="F1580" s="3">
        <f>MAX($E$2:E1580)</f>
        <v>6977.27</v>
      </c>
      <c r="G1580" s="3">
        <f t="shared" si="96"/>
        <v>-0.53401975271130708</v>
      </c>
      <c r="I1580" s="2">
        <v>45409</v>
      </c>
      <c r="J1580" s="3">
        <f>IFERROR(VLOOKUP(I1580,$A$1:$G$1610,3,FALSE),J1579)</f>
        <v>15.03</v>
      </c>
      <c r="K1580" s="3">
        <f>IFERROR(VLOOKUP(I1580,$A$1:$G$1610,7,FALSE),K1579)</f>
        <v>-2.9383272907210278</v>
      </c>
      <c r="L1580" s="5">
        <f t="shared" si="97"/>
        <v>0</v>
      </c>
    </row>
    <row r="1581" spans="1:12" x14ac:dyDescent="0.25">
      <c r="A1581" s="2">
        <v>46042</v>
      </c>
      <c r="B1581" s="3">
        <v>20.09</v>
      </c>
      <c r="C1581" s="3">
        <f t="shared" si="98"/>
        <v>20.09</v>
      </c>
      <c r="D1581" s="3">
        <v>6796.86</v>
      </c>
      <c r="E1581" s="3">
        <f t="shared" si="99"/>
        <v>6796.86</v>
      </c>
      <c r="F1581" s="3">
        <f>MAX($E$2:E1581)</f>
        <v>6977.27</v>
      </c>
      <c r="G1581" s="3">
        <f t="shared" si="96"/>
        <v>-2.5856817924489199</v>
      </c>
      <c r="I1581" s="2">
        <v>45410</v>
      </c>
      <c r="J1581" s="3">
        <f>IFERROR(VLOOKUP(I1581,$A$1:$G$1610,3,FALSE),J1580)</f>
        <v>15.03</v>
      </c>
      <c r="K1581" s="3">
        <f>IFERROR(VLOOKUP(I1581,$A$1:$G$1610,7,FALSE),K1580)</f>
        <v>-2.9383272907210278</v>
      </c>
      <c r="L1581" s="5">
        <f t="shared" si="97"/>
        <v>0</v>
      </c>
    </row>
    <row r="1582" spans="1:12" x14ac:dyDescent="0.25">
      <c r="A1582" s="2">
        <v>46043</v>
      </c>
      <c r="B1582" s="3">
        <v>16.899999999999999</v>
      </c>
      <c r="C1582" s="3">
        <f t="shared" si="98"/>
        <v>16.899999999999999</v>
      </c>
      <c r="D1582" s="3">
        <v>6875.62</v>
      </c>
      <c r="E1582" s="3">
        <f t="shared" si="99"/>
        <v>6875.62</v>
      </c>
      <c r="F1582" s="3">
        <f>MAX($E$2:E1582)</f>
        <v>6977.27</v>
      </c>
      <c r="G1582" s="3">
        <f t="shared" si="96"/>
        <v>-1.4568735336313563</v>
      </c>
      <c r="I1582" s="2">
        <v>45411</v>
      </c>
      <c r="J1582" s="3">
        <f>IFERROR(VLOOKUP(I1582,$A$1:$G$1610,3,FALSE),J1581)</f>
        <v>14.67</v>
      </c>
      <c r="K1582" s="3">
        <f>IFERROR(VLOOKUP(I1582,$A$1:$G$1610,7,FALSE),K1581)</f>
        <v>-2.6298210054526301</v>
      </c>
      <c r="L1582" s="5">
        <f t="shared" si="97"/>
        <v>0</v>
      </c>
    </row>
    <row r="1583" spans="1:12" x14ac:dyDescent="0.25">
      <c r="A1583" s="2">
        <v>46044</v>
      </c>
      <c r="B1583" s="3">
        <v>15.64</v>
      </c>
      <c r="C1583" s="3">
        <f t="shared" si="98"/>
        <v>15.64</v>
      </c>
      <c r="D1583" s="3">
        <v>6913.35</v>
      </c>
      <c r="E1583" s="3">
        <f t="shared" si="99"/>
        <v>6913.35</v>
      </c>
      <c r="F1583" s="3">
        <f>MAX($E$2:E1583)</f>
        <v>6977.27</v>
      </c>
      <c r="G1583" s="3">
        <f t="shared" si="96"/>
        <v>-0.91611762193522772</v>
      </c>
      <c r="I1583" s="2">
        <v>45412</v>
      </c>
      <c r="J1583" s="3">
        <f>IFERROR(VLOOKUP(I1583,$A$1:$G$1610,3,FALSE),J1582)</f>
        <v>15.65</v>
      </c>
      <c r="K1583" s="3">
        <f>IFERROR(VLOOKUP(I1583,$A$1:$G$1610,7,FALSE),K1582)</f>
        <v>-4.1615042774082571</v>
      </c>
      <c r="L1583" s="5">
        <f t="shared" si="97"/>
        <v>0</v>
      </c>
    </row>
    <row r="1584" spans="1:12" x14ac:dyDescent="0.25">
      <c r="A1584" s="2">
        <v>46045</v>
      </c>
      <c r="B1584" s="3">
        <v>16.09</v>
      </c>
      <c r="C1584" s="3">
        <f t="shared" si="98"/>
        <v>16.09</v>
      </c>
      <c r="D1584" s="3">
        <v>6915.61</v>
      </c>
      <c r="E1584" s="3">
        <f t="shared" si="99"/>
        <v>6915.61</v>
      </c>
      <c r="F1584" s="3">
        <f>MAX($E$2:E1584)</f>
        <v>6977.27</v>
      </c>
      <c r="G1584" s="3">
        <f t="shared" si="96"/>
        <v>-0.88372672979547517</v>
      </c>
      <c r="I1584" s="2">
        <v>45413</v>
      </c>
      <c r="J1584" s="3">
        <f>IFERROR(VLOOKUP(I1584,$A$1:$G$1610,3,FALSE),J1583)</f>
        <v>15.39</v>
      </c>
      <c r="K1584" s="3">
        <f>IFERROR(VLOOKUP(I1584,$A$1:$G$1610,7,FALSE),K1583)</f>
        <v>-4.4907552789593383</v>
      </c>
      <c r="L1584" s="5">
        <f t="shared" si="97"/>
        <v>0</v>
      </c>
    </row>
    <row r="1585" spans="1:12" x14ac:dyDescent="0.25">
      <c r="A1585" s="2">
        <v>46048</v>
      </c>
      <c r="B1585" s="3">
        <v>16.149999999999999</v>
      </c>
      <c r="C1585" s="3">
        <f t="shared" si="98"/>
        <v>16.149999999999999</v>
      </c>
      <c r="D1585" s="3">
        <v>6950.23</v>
      </c>
      <c r="E1585" s="3">
        <f t="shared" si="99"/>
        <v>6950.23</v>
      </c>
      <c r="F1585" s="3">
        <f>MAX($E$2:E1585)</f>
        <v>6977.27</v>
      </c>
      <c r="G1585" s="3">
        <f t="shared" si="96"/>
        <v>-0.38754412542442634</v>
      </c>
      <c r="I1585" s="2">
        <v>45414</v>
      </c>
      <c r="J1585" s="3">
        <f>IFERROR(VLOOKUP(I1585,$A$1:$G$1610,3,FALSE),J1584)</f>
        <v>14.68</v>
      </c>
      <c r="K1585" s="3">
        <f>IFERROR(VLOOKUP(I1585,$A$1:$G$1610,7,FALSE),K1584)</f>
        <v>-3.6189062395919671</v>
      </c>
      <c r="L1585" s="5">
        <f t="shared" si="97"/>
        <v>0</v>
      </c>
    </row>
    <row r="1586" spans="1:12" x14ac:dyDescent="0.25">
      <c r="A1586" s="2">
        <v>46049</v>
      </c>
      <c r="B1586" s="3">
        <v>16.350000000000001</v>
      </c>
      <c r="C1586" s="3">
        <f t="shared" si="98"/>
        <v>16.350000000000001</v>
      </c>
      <c r="D1586" s="3">
        <v>6978.6</v>
      </c>
      <c r="E1586" s="3">
        <f t="shared" si="99"/>
        <v>6978.6</v>
      </c>
      <c r="F1586" s="3">
        <f>MAX($E$2:E1586)</f>
        <v>6978.6</v>
      </c>
      <c r="G1586" s="3">
        <f t="shared" si="96"/>
        <v>0</v>
      </c>
      <c r="I1586" s="2">
        <v>45415</v>
      </c>
      <c r="J1586" s="3">
        <f>IFERROR(VLOOKUP(I1586,$A$1:$G$1610,3,FALSE),J1585)</f>
        <v>13.49</v>
      </c>
      <c r="K1586" s="3">
        <f>IFERROR(VLOOKUP(I1586,$A$1:$G$1610,7,FALSE),K1585)</f>
        <v>-2.4086709107691799</v>
      </c>
      <c r="L1586" s="5">
        <f t="shared" si="97"/>
        <v>0</v>
      </c>
    </row>
    <row r="1587" spans="1:12" x14ac:dyDescent="0.25">
      <c r="A1587" s="2">
        <v>46050</v>
      </c>
      <c r="B1587" s="3">
        <v>16.350000000000001</v>
      </c>
      <c r="C1587" s="3">
        <f t="shared" si="98"/>
        <v>16.350000000000001</v>
      </c>
      <c r="D1587" s="3">
        <v>6978.03</v>
      </c>
      <c r="E1587" s="3">
        <f t="shared" si="99"/>
        <v>6978.03</v>
      </c>
      <c r="F1587" s="3">
        <f>MAX($E$2:E1587)</f>
        <v>6978.6</v>
      </c>
      <c r="G1587" s="3">
        <f t="shared" si="96"/>
        <v>-8.1678273579316556E-3</v>
      </c>
      <c r="I1587" s="2">
        <v>45416</v>
      </c>
      <c r="J1587" s="3">
        <f>IFERROR(VLOOKUP(I1587,$A$1:$G$1610,3,FALSE),J1586)</f>
        <v>13.49</v>
      </c>
      <c r="K1587" s="3">
        <f>IFERROR(VLOOKUP(I1587,$A$1:$G$1610,7,FALSE),K1586)</f>
        <v>-2.4086709107691799</v>
      </c>
      <c r="L1587" s="5">
        <f t="shared" si="97"/>
        <v>0</v>
      </c>
    </row>
    <row r="1588" spans="1:12" x14ac:dyDescent="0.25">
      <c r="A1588" s="2">
        <v>46051</v>
      </c>
      <c r="B1588" s="3">
        <v>16.88</v>
      </c>
      <c r="C1588" s="3">
        <f t="shared" si="98"/>
        <v>16.88</v>
      </c>
      <c r="D1588" s="3">
        <v>6969.01</v>
      </c>
      <c r="E1588" s="3">
        <f t="shared" si="99"/>
        <v>6969.01</v>
      </c>
      <c r="F1588" s="3">
        <f>MAX($E$2:E1588)</f>
        <v>6978.6</v>
      </c>
      <c r="G1588" s="3">
        <f t="shared" si="96"/>
        <v>-0.13742011291663292</v>
      </c>
      <c r="I1588" s="2">
        <v>45417</v>
      </c>
      <c r="J1588" s="3">
        <f>IFERROR(VLOOKUP(I1588,$A$1:$G$1610,3,FALSE),J1587)</f>
        <v>13.49</v>
      </c>
      <c r="K1588" s="3">
        <f>IFERROR(VLOOKUP(I1588,$A$1:$G$1610,7,FALSE),K1587)</f>
        <v>-2.4086709107691799</v>
      </c>
      <c r="L1588" s="5">
        <f t="shared" si="97"/>
        <v>0</v>
      </c>
    </row>
    <row r="1589" spans="1:12" x14ac:dyDescent="0.25">
      <c r="A1589" s="2">
        <v>46052</v>
      </c>
      <c r="B1589" s="3">
        <v>17.440000000000001</v>
      </c>
      <c r="C1589" s="3">
        <f t="shared" si="98"/>
        <v>17.440000000000001</v>
      </c>
      <c r="D1589" s="3">
        <v>6939.03</v>
      </c>
      <c r="E1589" s="3">
        <f t="shared" si="99"/>
        <v>6939.03</v>
      </c>
      <c r="F1589" s="3">
        <f>MAX($E$2:E1589)</f>
        <v>6978.6</v>
      </c>
      <c r="G1589" s="3">
        <f t="shared" si="96"/>
        <v>-0.56701917290001747</v>
      </c>
      <c r="I1589" s="2">
        <v>45418</v>
      </c>
      <c r="J1589" s="3">
        <f>IFERROR(VLOOKUP(I1589,$A$1:$G$1610,3,FALSE),J1588)</f>
        <v>13.49</v>
      </c>
      <c r="K1589" s="3">
        <f>IFERROR(VLOOKUP(I1589,$A$1:$G$1610,7,FALSE),K1588)</f>
        <v>-1.4009344638252226</v>
      </c>
      <c r="L1589" s="5">
        <f t="shared" si="97"/>
        <v>0</v>
      </c>
    </row>
    <row r="1590" spans="1:12" x14ac:dyDescent="0.25">
      <c r="A1590" s="2">
        <v>46055</v>
      </c>
      <c r="B1590" s="3">
        <v>16.34</v>
      </c>
      <c r="C1590" s="3">
        <f t="shared" si="98"/>
        <v>16.34</v>
      </c>
      <c r="D1590" s="3">
        <v>6976.44</v>
      </c>
      <c r="E1590" s="3">
        <f t="shared" si="99"/>
        <v>6976.44</v>
      </c>
      <c r="F1590" s="3">
        <f>MAX($E$2:E1590)</f>
        <v>6978.6</v>
      </c>
      <c r="G1590" s="3">
        <f t="shared" si="96"/>
        <v>-3.0951766830034158E-2</v>
      </c>
      <c r="I1590" s="2">
        <v>45419</v>
      </c>
      <c r="J1590" s="3">
        <f>IFERROR(VLOOKUP(I1590,$A$1:$G$1610,3,FALSE),J1589)</f>
        <v>13.23</v>
      </c>
      <c r="K1590" s="3">
        <f>IFERROR(VLOOKUP(I1590,$A$1:$G$1610,7,FALSE),K1589)</f>
        <v>-1.2684727892127579</v>
      </c>
      <c r="L1590" s="5">
        <f t="shared" si="97"/>
        <v>0</v>
      </c>
    </row>
    <row r="1591" spans="1:12" x14ac:dyDescent="0.25">
      <c r="A1591" s="2">
        <v>46056</v>
      </c>
      <c r="B1591" s="3">
        <v>18</v>
      </c>
      <c r="C1591" s="3">
        <f t="shared" si="98"/>
        <v>18</v>
      </c>
      <c r="D1591" s="3">
        <v>6917.81</v>
      </c>
      <c r="E1591" s="3">
        <f t="shared" si="99"/>
        <v>6917.81</v>
      </c>
      <c r="F1591" s="3">
        <f>MAX($E$2:E1591)</f>
        <v>6978.6</v>
      </c>
      <c r="G1591" s="3">
        <f t="shared" si="96"/>
        <v>-0.87109162296162501</v>
      </c>
      <c r="I1591" s="2">
        <v>45420</v>
      </c>
      <c r="J1591" s="3">
        <f>IFERROR(VLOOKUP(I1591,$A$1:$G$1610,3,FALSE),J1590)</f>
        <v>13</v>
      </c>
      <c r="K1591" s="3">
        <f>IFERROR(VLOOKUP(I1591,$A$1:$G$1610,7,FALSE),K1590)</f>
        <v>-1.2690437447067722</v>
      </c>
      <c r="L1591" s="5">
        <f t="shared" si="97"/>
        <v>0</v>
      </c>
    </row>
    <row r="1592" spans="1:12" x14ac:dyDescent="0.25">
      <c r="A1592" s="2">
        <v>46057</v>
      </c>
      <c r="B1592" s="3">
        <v>18.64</v>
      </c>
      <c r="C1592" s="3">
        <f t="shared" si="98"/>
        <v>18.64</v>
      </c>
      <c r="D1592" s="3">
        <v>6882.72</v>
      </c>
      <c r="E1592" s="3">
        <f t="shared" si="99"/>
        <v>6882.72</v>
      </c>
      <c r="F1592" s="3">
        <f>MAX($E$2:E1592)</f>
        <v>6978.6</v>
      </c>
      <c r="G1592" s="3">
        <f t="shared" si="96"/>
        <v>-1.3739145387326985</v>
      </c>
      <c r="I1592" s="2">
        <v>45421</v>
      </c>
      <c r="J1592" s="3">
        <f>IFERROR(VLOOKUP(I1592,$A$1:$G$1610,3,FALSE),J1591)</f>
        <v>12.69</v>
      </c>
      <c r="K1592" s="3">
        <f>IFERROR(VLOOKUP(I1592,$A$1:$G$1610,7,FALSE),K1591)</f>
        <v>-0.76641259147183638</v>
      </c>
      <c r="L1592" s="5">
        <f t="shared" si="97"/>
        <v>0</v>
      </c>
    </row>
    <row r="1593" spans="1:12" x14ac:dyDescent="0.25">
      <c r="A1593" s="2">
        <v>46058</v>
      </c>
      <c r="B1593" s="3">
        <v>21.77</v>
      </c>
      <c r="C1593" s="3">
        <f t="shared" si="98"/>
        <v>21.77</v>
      </c>
      <c r="D1593" s="3">
        <v>6798.4</v>
      </c>
      <c r="E1593" s="3">
        <f t="shared" si="99"/>
        <v>6798.4</v>
      </c>
      <c r="F1593" s="3">
        <f>MAX($E$2:E1593)</f>
        <v>6978.6</v>
      </c>
      <c r="G1593" s="3">
        <f t="shared" si="96"/>
        <v>-2.5821798068380577</v>
      </c>
      <c r="I1593" s="2">
        <v>45422</v>
      </c>
      <c r="J1593" s="3">
        <f>IFERROR(VLOOKUP(I1593,$A$1:$G$1610,3,FALSE),J1592)</f>
        <v>12.55</v>
      </c>
      <c r="K1593" s="3">
        <f>IFERROR(VLOOKUP(I1593,$A$1:$G$1610,7,FALSE),K1592)</f>
        <v>-0.60273868318631363</v>
      </c>
      <c r="L1593" s="5">
        <f t="shared" si="97"/>
        <v>0</v>
      </c>
    </row>
    <row r="1594" spans="1:12" x14ac:dyDescent="0.25">
      <c r="A1594" s="2">
        <v>46059</v>
      </c>
      <c r="B1594" s="3">
        <v>17.760000000000002</v>
      </c>
      <c r="C1594" s="3">
        <f t="shared" si="98"/>
        <v>17.760000000000002</v>
      </c>
      <c r="D1594" s="3">
        <v>6932.3</v>
      </c>
      <c r="E1594" s="3">
        <f t="shared" si="99"/>
        <v>6932.3</v>
      </c>
      <c r="F1594" s="3">
        <f>MAX($E$2:E1594)</f>
        <v>6978.6</v>
      </c>
      <c r="G1594" s="3">
        <f t="shared" si="96"/>
        <v>-0.66345685381022235</v>
      </c>
      <c r="I1594" s="2">
        <v>45423</v>
      </c>
      <c r="J1594" s="3">
        <f>IFERROR(VLOOKUP(I1594,$A$1:$G$1610,3,FALSE),J1593)</f>
        <v>12.55</v>
      </c>
      <c r="K1594" s="3">
        <f>IFERROR(VLOOKUP(I1594,$A$1:$G$1610,7,FALSE),K1593)</f>
        <v>-0.60273868318631363</v>
      </c>
      <c r="L1594" s="5">
        <f t="shared" si="97"/>
        <v>0</v>
      </c>
    </row>
    <row r="1595" spans="1:12" x14ac:dyDescent="0.25">
      <c r="A1595" s="2">
        <v>46062</v>
      </c>
      <c r="B1595" s="3">
        <v>17.36</v>
      </c>
      <c r="C1595" s="3">
        <f t="shared" si="98"/>
        <v>17.36</v>
      </c>
      <c r="D1595" s="3">
        <v>6964.82</v>
      </c>
      <c r="E1595" s="3">
        <f t="shared" si="99"/>
        <v>6964.82</v>
      </c>
      <c r="F1595" s="3">
        <f>MAX($E$2:E1595)</f>
        <v>6978.6</v>
      </c>
      <c r="G1595" s="3">
        <f t="shared" si="96"/>
        <v>-0.19746080875821304</v>
      </c>
      <c r="I1595" s="2">
        <v>45424</v>
      </c>
      <c r="J1595" s="3">
        <f>IFERROR(VLOOKUP(I1595,$A$1:$G$1610,3,FALSE),J1594)</f>
        <v>12.55</v>
      </c>
      <c r="K1595" s="3">
        <f>IFERROR(VLOOKUP(I1595,$A$1:$G$1610,7,FALSE),K1594)</f>
        <v>-0.60273868318631363</v>
      </c>
      <c r="L1595" s="5">
        <f t="shared" si="97"/>
        <v>0</v>
      </c>
    </row>
    <row r="1596" spans="1:12" x14ac:dyDescent="0.25">
      <c r="A1596" s="2">
        <v>46063</v>
      </c>
      <c r="B1596" s="3">
        <v>17.79</v>
      </c>
      <c r="C1596" s="3">
        <f t="shared" si="98"/>
        <v>17.79</v>
      </c>
      <c r="D1596" s="3">
        <v>6941.81</v>
      </c>
      <c r="E1596" s="3">
        <f t="shared" si="99"/>
        <v>6941.81</v>
      </c>
      <c r="F1596" s="3">
        <f>MAX($E$2:E1596)</f>
        <v>6978.6</v>
      </c>
      <c r="G1596" s="3">
        <f t="shared" si="96"/>
        <v>-0.52718310262803381</v>
      </c>
      <c r="I1596" s="2">
        <v>45425</v>
      </c>
      <c r="J1596" s="3">
        <f>IFERROR(VLOOKUP(I1596,$A$1:$G$1610,3,FALSE),J1595)</f>
        <v>13.6</v>
      </c>
      <c r="K1596" s="3">
        <f>IFERROR(VLOOKUP(I1596,$A$1:$G$1610,7,FALSE),K1595)</f>
        <v>-0.62671881393512596</v>
      </c>
      <c r="L1596" s="5">
        <f t="shared" si="97"/>
        <v>0</v>
      </c>
    </row>
    <row r="1597" spans="1:12" x14ac:dyDescent="0.25">
      <c r="A1597" s="2">
        <v>46064</v>
      </c>
      <c r="B1597" s="3">
        <v>17.649999999999999</v>
      </c>
      <c r="C1597" s="3">
        <f t="shared" si="98"/>
        <v>17.649999999999999</v>
      </c>
      <c r="D1597" s="3">
        <v>6941.47</v>
      </c>
      <c r="E1597" s="3">
        <f t="shared" si="99"/>
        <v>6941.47</v>
      </c>
      <c r="F1597" s="3">
        <f>MAX($E$2:E1597)</f>
        <v>6978.6</v>
      </c>
      <c r="G1597" s="3">
        <f t="shared" si="96"/>
        <v>-0.53205513999942844</v>
      </c>
      <c r="I1597" s="2">
        <v>45426</v>
      </c>
      <c r="J1597" s="3">
        <f>IFERROR(VLOOKUP(I1597,$A$1:$G$1610,3,FALSE),J1596)</f>
        <v>13.42</v>
      </c>
      <c r="K1597" s="3">
        <f>IFERROR(VLOOKUP(I1597,$A$1:$G$1610,7,FALSE),K1596)</f>
        <v>-0.14597428797092071</v>
      </c>
      <c r="L1597" s="5">
        <f t="shared" si="97"/>
        <v>0</v>
      </c>
    </row>
    <row r="1598" spans="1:12" x14ac:dyDescent="0.25">
      <c r="A1598" s="2">
        <v>46065</v>
      </c>
      <c r="B1598" s="3">
        <v>20.82</v>
      </c>
      <c r="C1598" s="3">
        <f t="shared" si="98"/>
        <v>20.82</v>
      </c>
      <c r="D1598" s="3">
        <v>6832.76</v>
      </c>
      <c r="E1598" s="3">
        <f t="shared" si="99"/>
        <v>6832.76</v>
      </c>
      <c r="F1598" s="3">
        <f>MAX($E$2:E1598)</f>
        <v>6978.6</v>
      </c>
      <c r="G1598" s="3">
        <f t="shared" si="96"/>
        <v>-2.0898174418937914</v>
      </c>
      <c r="I1598" s="2">
        <v>45427</v>
      </c>
      <c r="J1598" s="3">
        <f>IFERROR(VLOOKUP(I1598,$A$1:$G$1610,3,FALSE),J1597)</f>
        <v>12.45</v>
      </c>
      <c r="K1598" s="3">
        <f>IFERROR(VLOOKUP(I1598,$A$1:$G$1610,7,FALSE),K1597)</f>
        <v>0</v>
      </c>
      <c r="L1598" s="5">
        <f t="shared" si="97"/>
        <v>0</v>
      </c>
    </row>
    <row r="1599" spans="1:12" x14ac:dyDescent="0.25">
      <c r="A1599" s="2">
        <v>46066</v>
      </c>
      <c r="B1599" s="3">
        <v>20.6</v>
      </c>
      <c r="C1599" s="3">
        <f t="shared" si="98"/>
        <v>20.6</v>
      </c>
      <c r="D1599" s="3">
        <v>6836.17</v>
      </c>
      <c r="E1599" s="3">
        <f t="shared" si="99"/>
        <v>6836.17</v>
      </c>
      <c r="F1599" s="3">
        <f>MAX($E$2:E1599)</f>
        <v>6978.6</v>
      </c>
      <c r="G1599" s="3">
        <f t="shared" si="96"/>
        <v>-2.0409537729630625</v>
      </c>
      <c r="I1599" s="2">
        <v>45428</v>
      </c>
      <c r="J1599" s="3">
        <f>IFERROR(VLOOKUP(I1599,$A$1:$G$1610,3,FALSE),J1598)</f>
        <v>12.42</v>
      </c>
      <c r="K1599" s="3">
        <f>IFERROR(VLOOKUP(I1599,$A$1:$G$1610,7,FALSE),K1598)</f>
        <v>-0.20817045486655941</v>
      </c>
      <c r="L1599" s="5">
        <f t="shared" si="97"/>
        <v>0</v>
      </c>
    </row>
    <row r="1600" spans="1:12" x14ac:dyDescent="0.25">
      <c r="A1600" s="2">
        <v>46069</v>
      </c>
      <c r="B1600" s="3">
        <v>21.2</v>
      </c>
      <c r="C1600" s="3">
        <f t="shared" si="98"/>
        <v>21.2</v>
      </c>
      <c r="E1600" s="3">
        <f t="shared" si="99"/>
        <v>6836.17</v>
      </c>
      <c r="F1600" s="3">
        <f>MAX($E$2:E1600)</f>
        <v>6978.6</v>
      </c>
      <c r="G1600" s="3">
        <f t="shared" si="96"/>
        <v>-2.0409537729630625</v>
      </c>
      <c r="I1600" s="2">
        <v>45429</v>
      </c>
      <c r="J1600" s="3">
        <f>IFERROR(VLOOKUP(I1600,$A$1:$G$1610,3,FALSE),J1599)</f>
        <v>11.99</v>
      </c>
      <c r="K1600" s="3">
        <f>IFERROR(VLOOKUP(I1600,$A$1:$G$1610,7,FALSE),K1599)</f>
        <v>-9.1934101334724905E-2</v>
      </c>
      <c r="L1600" s="5">
        <f t="shared" si="97"/>
        <v>0</v>
      </c>
    </row>
    <row r="1601" spans="1:12" x14ac:dyDescent="0.25">
      <c r="A1601" s="2">
        <v>46070</v>
      </c>
      <c r="B1601" s="3">
        <v>20.29</v>
      </c>
      <c r="C1601" s="3">
        <f t="shared" si="98"/>
        <v>20.29</v>
      </c>
      <c r="D1601" s="3">
        <v>6843.22</v>
      </c>
      <c r="E1601" s="3">
        <f t="shared" si="99"/>
        <v>6843.22</v>
      </c>
      <c r="F1601" s="3">
        <f>MAX($E$2:E1601)</f>
        <v>6978.6</v>
      </c>
      <c r="G1601" s="3">
        <f t="shared" si="96"/>
        <v>-1.9399306451150673</v>
      </c>
      <c r="I1601" s="2">
        <v>45430</v>
      </c>
      <c r="J1601" s="3">
        <f>IFERROR(VLOOKUP(I1601,$A$1:$G$1610,3,FALSE),J1600)</f>
        <v>11.99</v>
      </c>
      <c r="K1601" s="3">
        <f>IFERROR(VLOOKUP(I1601,$A$1:$G$1610,7,FALSE),K1600)</f>
        <v>-9.1934101334724905E-2</v>
      </c>
      <c r="L1601" s="5">
        <f t="shared" si="97"/>
        <v>0</v>
      </c>
    </row>
    <row r="1602" spans="1:12" x14ac:dyDescent="0.25">
      <c r="A1602" s="2">
        <v>46071</v>
      </c>
      <c r="B1602" s="3">
        <v>19.62</v>
      </c>
      <c r="C1602" s="3">
        <f t="shared" si="98"/>
        <v>19.62</v>
      </c>
      <c r="D1602" s="3">
        <v>6881.31</v>
      </c>
      <c r="E1602" s="3">
        <f t="shared" si="99"/>
        <v>6881.31</v>
      </c>
      <c r="F1602" s="3">
        <f>MAX($E$2:E1602)</f>
        <v>6978.6</v>
      </c>
      <c r="G1602" s="3">
        <f t="shared" ref="G1602:G1610" si="100">(E1602-F1602)/F1602*100</f>
        <v>-1.394119164302295</v>
      </c>
      <c r="I1602" s="2">
        <v>45431</v>
      </c>
      <c r="J1602" s="3">
        <f>IFERROR(VLOOKUP(I1602,$A$1:$G$1610,3,FALSE),J1601)</f>
        <v>11.99</v>
      </c>
      <c r="K1602" s="3">
        <f>IFERROR(VLOOKUP(I1602,$A$1:$G$1610,7,FALSE),K1601)</f>
        <v>-9.1934101334724905E-2</v>
      </c>
      <c r="L1602" s="5">
        <f t="shared" ref="L1602:L1665" si="101">IF(OR(J1602&gt;=30,K1602&lt;-10),1,0)</f>
        <v>0</v>
      </c>
    </row>
    <row r="1603" spans="1:12" x14ac:dyDescent="0.25">
      <c r="A1603" s="2">
        <v>46072</v>
      </c>
      <c r="B1603" s="3">
        <v>20.23</v>
      </c>
      <c r="C1603" s="3">
        <f t="shared" ref="C1603:C1609" si="102">IF(B1603="",B1602,B1603)</f>
        <v>20.23</v>
      </c>
      <c r="D1603" s="3">
        <v>6861.89</v>
      </c>
      <c r="E1603" s="3">
        <f t="shared" si="99"/>
        <v>6861.89</v>
      </c>
      <c r="F1603" s="3">
        <f>MAX($E$2:E1603)</f>
        <v>6978.6</v>
      </c>
      <c r="G1603" s="3">
        <f t="shared" si="100"/>
        <v>-1.6723984753388936</v>
      </c>
      <c r="I1603" s="2">
        <v>45432</v>
      </c>
      <c r="J1603" s="3">
        <f>IFERROR(VLOOKUP(I1603,$A$1:$G$1610,3,FALSE),J1602)</f>
        <v>12.15</v>
      </c>
      <c r="K1603" s="3">
        <f>IFERROR(VLOOKUP(I1603,$A$1:$G$1610,7,FALSE),K1602)</f>
        <v>-3.767791038219919E-4</v>
      </c>
      <c r="L1603" s="5">
        <f t="shared" si="101"/>
        <v>0</v>
      </c>
    </row>
    <row r="1604" spans="1:12" x14ac:dyDescent="0.25">
      <c r="A1604" s="2">
        <v>46073</v>
      </c>
      <c r="B1604" s="3">
        <v>19.09</v>
      </c>
      <c r="C1604" s="3">
        <f t="shared" si="102"/>
        <v>19.09</v>
      </c>
      <c r="D1604" s="3">
        <v>6909.51</v>
      </c>
      <c r="E1604" s="3">
        <f t="shared" si="99"/>
        <v>6909.51</v>
      </c>
      <c r="F1604" s="3">
        <f>MAX($E$2:E1604)</f>
        <v>6978.6</v>
      </c>
      <c r="G1604" s="3">
        <f t="shared" si="100"/>
        <v>-0.99002665291032776</v>
      </c>
      <c r="I1604" s="2">
        <v>45433</v>
      </c>
      <c r="J1604" s="3">
        <f>IFERROR(VLOOKUP(I1604,$A$1:$G$1610,3,FALSE),J1603)</f>
        <v>11.86</v>
      </c>
      <c r="K1604" s="3">
        <f>IFERROR(VLOOKUP(I1604,$A$1:$G$1610,7,FALSE),K1603)</f>
        <v>0</v>
      </c>
      <c r="L1604" s="5">
        <f t="shared" si="101"/>
        <v>0</v>
      </c>
    </row>
    <row r="1605" spans="1:12" x14ac:dyDescent="0.25">
      <c r="A1605" s="2">
        <v>46076</v>
      </c>
      <c r="B1605" s="3">
        <v>21.01</v>
      </c>
      <c r="C1605" s="3">
        <f t="shared" si="102"/>
        <v>21.01</v>
      </c>
      <c r="D1605" s="3">
        <v>6837.75</v>
      </c>
      <c r="E1605" s="3">
        <f t="shared" ref="E1605:E1610" si="103">IF(D1605="",D1604,D1605)</f>
        <v>6837.75</v>
      </c>
      <c r="F1605" s="3">
        <f>MAX($E$2:E1605)</f>
        <v>6978.6</v>
      </c>
      <c r="G1605" s="3">
        <f t="shared" si="100"/>
        <v>-2.0183131287077689</v>
      </c>
      <c r="I1605" s="2">
        <v>45434</v>
      </c>
      <c r="J1605" s="3">
        <f>IFERROR(VLOOKUP(I1605,$A$1:$G$1610,3,FALSE),J1604)</f>
        <v>12.29</v>
      </c>
      <c r="K1605" s="3">
        <f>IFERROR(VLOOKUP(I1605,$A$1:$G$1610,7,FALSE),K1604)</f>
        <v>-0.27060497123881894</v>
      </c>
      <c r="L1605" s="5">
        <f t="shared" si="101"/>
        <v>0</v>
      </c>
    </row>
    <row r="1606" spans="1:12" x14ac:dyDescent="0.25">
      <c r="A1606" s="2">
        <v>46077</v>
      </c>
      <c r="B1606" s="3">
        <v>19.55</v>
      </c>
      <c r="C1606" s="3">
        <f t="shared" si="102"/>
        <v>19.55</v>
      </c>
      <c r="D1606" s="3">
        <v>6890.07</v>
      </c>
      <c r="E1606" s="3">
        <f t="shared" si="103"/>
        <v>6890.07</v>
      </c>
      <c r="F1606" s="3">
        <f>MAX($E$2:E1606)</f>
        <v>6978.6</v>
      </c>
      <c r="G1606" s="3">
        <f t="shared" si="100"/>
        <v>-1.2685925543805441</v>
      </c>
      <c r="I1606" s="2">
        <v>45435</v>
      </c>
      <c r="J1606" s="3">
        <f>IFERROR(VLOOKUP(I1606,$A$1:$G$1610,3,FALSE),J1605)</f>
        <v>12.77</v>
      </c>
      <c r="K1606" s="3">
        <f>IFERROR(VLOOKUP(I1606,$A$1:$G$1610,7,FALSE),K1605)</f>
        <v>-1.0066880770322095</v>
      </c>
      <c r="L1606" s="5">
        <f t="shared" si="101"/>
        <v>0</v>
      </c>
    </row>
    <row r="1607" spans="1:12" x14ac:dyDescent="0.25">
      <c r="A1607" s="2">
        <v>46078</v>
      </c>
      <c r="B1607" s="3">
        <v>17.93</v>
      </c>
      <c r="C1607" s="3">
        <f t="shared" si="102"/>
        <v>17.93</v>
      </c>
      <c r="D1607" s="3">
        <v>6946.13</v>
      </c>
      <c r="E1607" s="3">
        <f t="shared" si="103"/>
        <v>6946.13</v>
      </c>
      <c r="F1607" s="3">
        <f>MAX($E$2:E1607)</f>
        <v>6978.6</v>
      </c>
      <c r="G1607" s="3">
        <f t="shared" si="100"/>
        <v>-0.4652795689679915</v>
      </c>
      <c r="I1607" s="2">
        <v>45436</v>
      </c>
      <c r="J1607" s="3">
        <f>IFERROR(VLOOKUP(I1607,$A$1:$G$1610,3,FALSE),J1606)</f>
        <v>11.93</v>
      </c>
      <c r="K1607" s="3">
        <f>IFERROR(VLOOKUP(I1607,$A$1:$G$1610,7,FALSE),K1606)</f>
        <v>-0.31363867847054822</v>
      </c>
      <c r="L1607" s="5">
        <f t="shared" si="101"/>
        <v>0</v>
      </c>
    </row>
    <row r="1608" spans="1:12" x14ac:dyDescent="0.25">
      <c r="A1608" s="2">
        <v>46079</v>
      </c>
      <c r="B1608" s="3">
        <v>18.63</v>
      </c>
      <c r="C1608" s="3">
        <f t="shared" si="102"/>
        <v>18.63</v>
      </c>
      <c r="D1608" s="3">
        <v>6908.86</v>
      </c>
      <c r="E1608" s="3">
        <f t="shared" si="103"/>
        <v>6908.86</v>
      </c>
      <c r="F1608" s="3">
        <f>MAX($E$2:E1608)</f>
        <v>6978.6</v>
      </c>
      <c r="G1608" s="3">
        <f t="shared" si="100"/>
        <v>-0.99934084200270379</v>
      </c>
      <c r="I1608" s="2">
        <v>45437</v>
      </c>
      <c r="J1608" s="3">
        <f>IFERROR(VLOOKUP(I1608,$A$1:$G$1610,3,FALSE),J1607)</f>
        <v>11.93</v>
      </c>
      <c r="K1608" s="3">
        <f>IFERROR(VLOOKUP(I1608,$A$1:$G$1610,7,FALSE),K1607)</f>
        <v>-0.31363867847054822</v>
      </c>
      <c r="L1608" s="5">
        <f t="shared" si="101"/>
        <v>0</v>
      </c>
    </row>
    <row r="1609" spans="1:12" x14ac:dyDescent="0.25">
      <c r="A1609" s="2">
        <v>46080</v>
      </c>
      <c r="B1609" s="3">
        <v>19.86</v>
      </c>
      <c r="C1609" s="3">
        <f t="shared" si="102"/>
        <v>19.86</v>
      </c>
      <c r="D1609" s="3">
        <v>6878.88</v>
      </c>
      <c r="E1609" s="3">
        <f t="shared" si="103"/>
        <v>6878.88</v>
      </c>
      <c r="F1609" s="3">
        <f>MAX($E$2:E1609)</f>
        <v>6978.6</v>
      </c>
      <c r="G1609" s="3">
        <f t="shared" si="100"/>
        <v>-1.4289399019860753</v>
      </c>
      <c r="I1609" s="2">
        <v>45438</v>
      </c>
      <c r="J1609" s="3">
        <f>IFERROR(VLOOKUP(I1609,$A$1:$G$1610,3,FALSE),J1608)</f>
        <v>11.93</v>
      </c>
      <c r="K1609" s="3">
        <f>IFERROR(VLOOKUP(I1609,$A$1:$G$1610,7,FALSE),K1608)</f>
        <v>-0.31363867847054822</v>
      </c>
      <c r="L1609" s="5">
        <f t="shared" si="101"/>
        <v>0</v>
      </c>
    </row>
    <row r="1610" spans="1:12" x14ac:dyDescent="0.25">
      <c r="A1610" s="2">
        <v>46081</v>
      </c>
      <c r="C1610" s="3">
        <f>IF(B1610="",B1609,B1610)</f>
        <v>19.86</v>
      </c>
      <c r="D1610" s="3">
        <v>6878.88</v>
      </c>
      <c r="E1610" s="3">
        <f t="shared" si="103"/>
        <v>6878.88</v>
      </c>
      <c r="F1610" s="3">
        <f>MAX($E$2:E1610)</f>
        <v>6978.6</v>
      </c>
      <c r="G1610" s="3">
        <f t="shared" si="100"/>
        <v>-1.4289399019860753</v>
      </c>
      <c r="I1610" s="2">
        <v>45439</v>
      </c>
      <c r="J1610" s="3">
        <f>IFERROR(VLOOKUP(I1610,$A$1:$G$1610,3,FALSE),J1609)</f>
        <v>12.36</v>
      </c>
      <c r="K1610" s="3">
        <f>IFERROR(VLOOKUP(I1610,$A$1:$G$1610,7,FALSE),K1609)</f>
        <v>-0.31363867847054822</v>
      </c>
      <c r="L1610" s="5">
        <f t="shared" si="101"/>
        <v>0</v>
      </c>
    </row>
    <row r="1611" spans="1:12" x14ac:dyDescent="0.25">
      <c r="I1611" s="2">
        <v>45440</v>
      </c>
      <c r="J1611" s="3">
        <f>IFERROR(VLOOKUP(I1611,$A$1:$G$1610,3,FALSE),J1610)</f>
        <v>12.92</v>
      </c>
      <c r="K1611" s="3">
        <f>IFERROR(VLOOKUP(I1611,$A$1:$G$1610,7,FALSE),K1610)</f>
        <v>-0.28883322277366136</v>
      </c>
      <c r="L1611" s="5">
        <f t="shared" si="101"/>
        <v>0</v>
      </c>
    </row>
    <row r="1612" spans="1:12" x14ac:dyDescent="0.25">
      <c r="I1612" s="2">
        <v>45441</v>
      </c>
      <c r="J1612" s="3">
        <f>IFERROR(VLOOKUP(I1612,$A$1:$G$1610,3,FALSE),J1611)</f>
        <v>14.28</v>
      </c>
      <c r="K1612" s="3">
        <f>IFERROR(VLOOKUP(I1612,$A$1:$G$1610,7,FALSE),K1611)</f>
        <v>-1.0234129676157266</v>
      </c>
      <c r="L1612" s="5">
        <f t="shared" si="101"/>
        <v>0</v>
      </c>
    </row>
    <row r="1613" spans="1:12" x14ac:dyDescent="0.25">
      <c r="I1613" s="2">
        <v>45442</v>
      </c>
      <c r="J1613" s="3">
        <f>IFERROR(VLOOKUP(I1613,$A$1:$G$1610,3,FALSE),J1612)</f>
        <v>14.47</v>
      </c>
      <c r="K1613" s="3">
        <f>IFERROR(VLOOKUP(I1613,$A$1:$G$1610,7,FALSE),K1612)</f>
        <v>-1.6147975818439151</v>
      </c>
      <c r="L1613" s="5">
        <f t="shared" si="101"/>
        <v>0</v>
      </c>
    </row>
    <row r="1614" spans="1:12" x14ac:dyDescent="0.25">
      <c r="I1614" s="2">
        <v>45443</v>
      </c>
      <c r="J1614" s="3">
        <f>IFERROR(VLOOKUP(I1614,$A$1:$G$1610,3,FALSE),J1613)</f>
        <v>12.92</v>
      </c>
      <c r="K1614" s="3">
        <f>IFERROR(VLOOKUP(I1614,$A$1:$G$1610,7,FALSE),K1613)</f>
        <v>-0.82496932204058016</v>
      </c>
      <c r="L1614" s="5">
        <f t="shared" si="101"/>
        <v>0</v>
      </c>
    </row>
    <row r="1615" spans="1:12" x14ac:dyDescent="0.25">
      <c r="I1615" s="2">
        <v>45444</v>
      </c>
      <c r="J1615" s="3">
        <f>IFERROR(VLOOKUP(I1615,$A$1:$G$1610,3,FALSE),J1614)</f>
        <v>12.92</v>
      </c>
      <c r="K1615" s="3">
        <f>IFERROR(VLOOKUP(I1615,$A$1:$G$1610,7,FALSE),K1614)</f>
        <v>-0.82496932204058016</v>
      </c>
      <c r="L1615" s="5">
        <f t="shared" si="101"/>
        <v>0</v>
      </c>
    </row>
    <row r="1616" spans="1:12" x14ac:dyDescent="0.25">
      <c r="I1616" s="2">
        <v>45445</v>
      </c>
      <c r="J1616" s="3">
        <f>IFERROR(VLOOKUP(I1616,$A$1:$G$1610,3,FALSE),J1615)</f>
        <v>12.92</v>
      </c>
      <c r="K1616" s="3">
        <f>IFERROR(VLOOKUP(I1616,$A$1:$G$1610,7,FALSE),K1615)</f>
        <v>-0.82496932204058016</v>
      </c>
      <c r="L1616" s="5">
        <f t="shared" si="101"/>
        <v>0</v>
      </c>
    </row>
    <row r="1617" spans="9:12" x14ac:dyDescent="0.25">
      <c r="I1617" s="2">
        <v>45446</v>
      </c>
      <c r="J1617" s="3">
        <f>IFERROR(VLOOKUP(I1617,$A$1:$G$1610,3,FALSE),J1616)</f>
        <v>13.11</v>
      </c>
      <c r="K1617" s="3">
        <f>IFERROR(VLOOKUP(I1617,$A$1:$G$1610,7,FALSE),K1616)</f>
        <v>-0.71428437199915473</v>
      </c>
      <c r="L1617" s="5">
        <f t="shared" si="101"/>
        <v>0</v>
      </c>
    </row>
    <row r="1618" spans="9:12" x14ac:dyDescent="0.25">
      <c r="I1618" s="2">
        <v>45447</v>
      </c>
      <c r="J1618" s="3">
        <f>IFERROR(VLOOKUP(I1618,$A$1:$G$1610,3,FALSE),J1617)</f>
        <v>13.16</v>
      </c>
      <c r="K1618" s="3">
        <f>IFERROR(VLOOKUP(I1618,$A$1:$G$1610,7,FALSE),K1617)</f>
        <v>-0.56507579757995918</v>
      </c>
      <c r="L1618" s="5">
        <f t="shared" si="101"/>
        <v>0</v>
      </c>
    </row>
    <row r="1619" spans="9:12" x14ac:dyDescent="0.25">
      <c r="I1619" s="2">
        <v>45448</v>
      </c>
      <c r="J1619" s="3">
        <f>IFERROR(VLOOKUP(I1619,$A$1:$G$1610,3,FALSE),J1618)</f>
        <v>12.63</v>
      </c>
      <c r="K1619" s="3">
        <f>IFERROR(VLOOKUP(I1619,$A$1:$G$1610,7,FALSE),K1618)</f>
        <v>0</v>
      </c>
      <c r="L1619" s="5">
        <f t="shared" si="101"/>
        <v>0</v>
      </c>
    </row>
    <row r="1620" spans="9:12" x14ac:dyDescent="0.25">
      <c r="I1620" s="2">
        <v>45449</v>
      </c>
      <c r="J1620" s="3">
        <f>IFERROR(VLOOKUP(I1620,$A$1:$G$1610,3,FALSE),J1619)</f>
        <v>12.58</v>
      </c>
      <c r="K1620" s="3">
        <f>IFERROR(VLOOKUP(I1620,$A$1:$G$1610,7,FALSE),K1619)</f>
        <v>-1.9984945919236705E-2</v>
      </c>
      <c r="L1620" s="5">
        <f t="shared" si="101"/>
        <v>0</v>
      </c>
    </row>
    <row r="1621" spans="9:12" x14ac:dyDescent="0.25">
      <c r="I1621" s="2">
        <v>45450</v>
      </c>
      <c r="J1621" s="3">
        <f>IFERROR(VLOOKUP(I1621,$A$1:$G$1610,3,FALSE),J1620)</f>
        <v>12.22</v>
      </c>
      <c r="K1621" s="3">
        <f>IFERROR(VLOOKUP(I1621,$A$1:$G$1610,7,FALSE),K1620)</f>
        <v>-0.13148973763688218</v>
      </c>
      <c r="L1621" s="5">
        <f t="shared" si="101"/>
        <v>0</v>
      </c>
    </row>
    <row r="1622" spans="9:12" x14ac:dyDescent="0.25">
      <c r="I1622" s="2">
        <v>45451</v>
      </c>
      <c r="J1622" s="3">
        <f>IFERROR(VLOOKUP(I1622,$A$1:$G$1610,3,FALSE),J1621)</f>
        <v>12.22</v>
      </c>
      <c r="K1622" s="3">
        <f>IFERROR(VLOOKUP(I1622,$A$1:$G$1610,7,FALSE),K1621)</f>
        <v>-0.13148973763688218</v>
      </c>
      <c r="L1622" s="5">
        <f t="shared" si="101"/>
        <v>0</v>
      </c>
    </row>
    <row r="1623" spans="9:12" x14ac:dyDescent="0.25">
      <c r="I1623" s="2">
        <v>45452</v>
      </c>
      <c r="J1623" s="3">
        <f>IFERROR(VLOOKUP(I1623,$A$1:$G$1610,3,FALSE),J1622)</f>
        <v>12.22</v>
      </c>
      <c r="K1623" s="3">
        <f>IFERROR(VLOOKUP(I1623,$A$1:$G$1610,7,FALSE),K1622)</f>
        <v>-0.13148973763688218</v>
      </c>
      <c r="L1623" s="5">
        <f t="shared" si="101"/>
        <v>0</v>
      </c>
    </row>
    <row r="1624" spans="9:12" x14ac:dyDescent="0.25">
      <c r="I1624" s="2">
        <v>45453</v>
      </c>
      <c r="J1624" s="3">
        <f>IFERROR(VLOOKUP(I1624,$A$1:$G$1610,3,FALSE),J1623)</f>
        <v>12.74</v>
      </c>
      <c r="K1624" s="3">
        <f>IFERROR(VLOOKUP(I1624,$A$1:$G$1610,7,FALSE),K1623)</f>
        <v>0</v>
      </c>
      <c r="L1624" s="5">
        <f t="shared" si="101"/>
        <v>0</v>
      </c>
    </row>
    <row r="1625" spans="9:12" x14ac:dyDescent="0.25">
      <c r="I1625" s="2">
        <v>45454</v>
      </c>
      <c r="J1625" s="3">
        <f>IFERROR(VLOOKUP(I1625,$A$1:$G$1610,3,FALSE),J1624)</f>
        <v>12.85</v>
      </c>
      <c r="K1625" s="3">
        <f>IFERROR(VLOOKUP(I1625,$A$1:$G$1610,7,FALSE),K1624)</f>
        <v>0</v>
      </c>
      <c r="L1625" s="5">
        <f t="shared" si="101"/>
        <v>0</v>
      </c>
    </row>
    <row r="1626" spans="9:12" x14ac:dyDescent="0.25">
      <c r="I1626" s="2">
        <v>45455</v>
      </c>
      <c r="J1626" s="3">
        <f>IFERROR(VLOOKUP(I1626,$A$1:$G$1610,3,FALSE),J1625)</f>
        <v>12.04</v>
      </c>
      <c r="K1626" s="3">
        <f>IFERROR(VLOOKUP(I1626,$A$1:$G$1610,7,FALSE),K1625)</f>
        <v>0</v>
      </c>
      <c r="L1626" s="5">
        <f t="shared" si="101"/>
        <v>0</v>
      </c>
    </row>
    <row r="1627" spans="9:12" x14ac:dyDescent="0.25">
      <c r="I1627" s="2">
        <v>45456</v>
      </c>
      <c r="J1627" s="3">
        <f>IFERROR(VLOOKUP(I1627,$A$1:$G$1610,3,FALSE),J1626)</f>
        <v>11.94</v>
      </c>
      <c r="K1627" s="3">
        <f>IFERROR(VLOOKUP(I1627,$A$1:$G$1610,7,FALSE),K1626)</f>
        <v>0</v>
      </c>
      <c r="L1627" s="5">
        <f t="shared" si="101"/>
        <v>0</v>
      </c>
    </row>
    <row r="1628" spans="9:12" x14ac:dyDescent="0.25">
      <c r="I1628" s="2">
        <v>45457</v>
      </c>
      <c r="J1628" s="3">
        <f>IFERROR(VLOOKUP(I1628,$A$1:$G$1610,3,FALSE),J1627)</f>
        <v>12.66</v>
      </c>
      <c r="K1628" s="3">
        <f>IFERROR(VLOOKUP(I1628,$A$1:$G$1610,7,FALSE),K1627)</f>
        <v>-3.9383555341245956E-2</v>
      </c>
      <c r="L1628" s="5">
        <f t="shared" si="101"/>
        <v>0</v>
      </c>
    </row>
    <row r="1629" spans="9:12" x14ac:dyDescent="0.25">
      <c r="I1629" s="2">
        <v>45458</v>
      </c>
      <c r="J1629" s="3">
        <f>IFERROR(VLOOKUP(I1629,$A$1:$G$1610,3,FALSE),J1628)</f>
        <v>12.66</v>
      </c>
      <c r="K1629" s="3">
        <f>IFERROR(VLOOKUP(I1629,$A$1:$G$1610,7,FALSE),K1628)</f>
        <v>-3.9383555341245956E-2</v>
      </c>
      <c r="L1629" s="5">
        <f t="shared" si="101"/>
        <v>0</v>
      </c>
    </row>
    <row r="1630" spans="9:12" x14ac:dyDescent="0.25">
      <c r="I1630" s="2">
        <v>45459</v>
      </c>
      <c r="J1630" s="3">
        <f>IFERROR(VLOOKUP(I1630,$A$1:$G$1610,3,FALSE),J1629)</f>
        <v>12.66</v>
      </c>
      <c r="K1630" s="3">
        <f>IFERROR(VLOOKUP(I1630,$A$1:$G$1610,7,FALSE),K1629)</f>
        <v>-3.9383555341245956E-2</v>
      </c>
      <c r="L1630" s="5">
        <f t="shared" si="101"/>
        <v>0</v>
      </c>
    </row>
    <row r="1631" spans="9:12" x14ac:dyDescent="0.25">
      <c r="I1631" s="2">
        <v>45460</v>
      </c>
      <c r="J1631" s="3">
        <f>IFERROR(VLOOKUP(I1631,$A$1:$G$1610,3,FALSE),J1630)</f>
        <v>12.75</v>
      </c>
      <c r="K1631" s="3">
        <f>IFERROR(VLOOKUP(I1631,$A$1:$G$1610,7,FALSE),K1630)</f>
        <v>0</v>
      </c>
      <c r="L1631" s="5">
        <f t="shared" si="101"/>
        <v>0</v>
      </c>
    </row>
    <row r="1632" spans="9:12" x14ac:dyDescent="0.25">
      <c r="I1632" s="2">
        <v>45461</v>
      </c>
      <c r="J1632" s="3">
        <f>IFERROR(VLOOKUP(I1632,$A$1:$G$1610,3,FALSE),J1631)</f>
        <v>12.3</v>
      </c>
      <c r="K1632" s="3">
        <f>IFERROR(VLOOKUP(I1632,$A$1:$G$1610,7,FALSE),K1631)</f>
        <v>0</v>
      </c>
      <c r="L1632" s="5">
        <f t="shared" si="101"/>
        <v>0</v>
      </c>
    </row>
    <row r="1633" spans="9:12" x14ac:dyDescent="0.25">
      <c r="I1633" s="2">
        <v>45462</v>
      </c>
      <c r="J1633" s="3">
        <f>IFERROR(VLOOKUP(I1633,$A$1:$G$1610,3,FALSE),J1632)</f>
        <v>12.48</v>
      </c>
      <c r="K1633" s="3">
        <f>IFERROR(VLOOKUP(I1633,$A$1:$G$1610,7,FALSE),K1632)</f>
        <v>0</v>
      </c>
      <c r="L1633" s="5">
        <f t="shared" si="101"/>
        <v>0</v>
      </c>
    </row>
    <row r="1634" spans="9:12" x14ac:dyDescent="0.25">
      <c r="I1634" s="2">
        <v>45463</v>
      </c>
      <c r="J1634" s="3">
        <f>IFERROR(VLOOKUP(I1634,$A$1:$G$1610,3,FALSE),J1633)</f>
        <v>13.28</v>
      </c>
      <c r="K1634" s="3">
        <f>IFERROR(VLOOKUP(I1634,$A$1:$G$1610,7,FALSE),K1633)</f>
        <v>-0.252595666508105</v>
      </c>
      <c r="L1634" s="5">
        <f t="shared" si="101"/>
        <v>0</v>
      </c>
    </row>
    <row r="1635" spans="9:12" x14ac:dyDescent="0.25">
      <c r="I1635" s="2">
        <v>45464</v>
      </c>
      <c r="J1635" s="3">
        <f>IFERROR(VLOOKUP(I1635,$A$1:$G$1610,3,FALSE),J1634)</f>
        <v>13.2</v>
      </c>
      <c r="K1635" s="3">
        <f>IFERROR(VLOOKUP(I1635,$A$1:$G$1610,7,FALSE),K1634)</f>
        <v>-0.40841766857480011</v>
      </c>
      <c r="L1635" s="5">
        <f t="shared" si="101"/>
        <v>0</v>
      </c>
    </row>
    <row r="1636" spans="9:12" x14ac:dyDescent="0.25">
      <c r="I1636" s="2">
        <v>45465</v>
      </c>
      <c r="J1636" s="3">
        <f>IFERROR(VLOOKUP(I1636,$A$1:$G$1610,3,FALSE),J1635)</f>
        <v>13.2</v>
      </c>
      <c r="K1636" s="3">
        <f>IFERROR(VLOOKUP(I1636,$A$1:$G$1610,7,FALSE),K1635)</f>
        <v>-0.40841766857480011</v>
      </c>
      <c r="L1636" s="5">
        <f t="shared" si="101"/>
        <v>0</v>
      </c>
    </row>
    <row r="1637" spans="9:12" x14ac:dyDescent="0.25">
      <c r="I1637" s="2">
        <v>45466</v>
      </c>
      <c r="J1637" s="3">
        <f>IFERROR(VLOOKUP(I1637,$A$1:$G$1610,3,FALSE),J1636)</f>
        <v>13.2</v>
      </c>
      <c r="K1637" s="3">
        <f>IFERROR(VLOOKUP(I1637,$A$1:$G$1610,7,FALSE),K1636)</f>
        <v>-0.40841766857480011</v>
      </c>
      <c r="L1637" s="5">
        <f t="shared" si="101"/>
        <v>0</v>
      </c>
    </row>
    <row r="1638" spans="9:12" x14ac:dyDescent="0.25">
      <c r="I1638" s="2">
        <v>45467</v>
      </c>
      <c r="J1638" s="3">
        <f>IFERROR(VLOOKUP(I1638,$A$1:$G$1610,3,FALSE),J1637)</f>
        <v>13.33</v>
      </c>
      <c r="K1638" s="3">
        <f>IFERROR(VLOOKUP(I1638,$A$1:$G$1610,7,FALSE),K1637)</f>
        <v>-0.71368299426100923</v>
      </c>
      <c r="L1638" s="5">
        <f t="shared" si="101"/>
        <v>0</v>
      </c>
    </row>
    <row r="1639" spans="9:12" x14ac:dyDescent="0.25">
      <c r="I1639" s="2">
        <v>45468</v>
      </c>
      <c r="J1639" s="3">
        <f>IFERROR(VLOOKUP(I1639,$A$1:$G$1610,3,FALSE),J1638)</f>
        <v>12.84</v>
      </c>
      <c r="K1639" s="3">
        <f>IFERROR(VLOOKUP(I1639,$A$1:$G$1610,7,FALSE),K1638)</f>
        <v>-0.32312562533828981</v>
      </c>
      <c r="L1639" s="5">
        <f t="shared" si="101"/>
        <v>0</v>
      </c>
    </row>
    <row r="1640" spans="9:12" x14ac:dyDescent="0.25">
      <c r="I1640" s="2">
        <v>45469</v>
      </c>
      <c r="J1640" s="3">
        <f>IFERROR(VLOOKUP(I1640,$A$1:$G$1610,3,FALSE),J1639)</f>
        <v>12.55</v>
      </c>
      <c r="K1640" s="3">
        <f>IFERROR(VLOOKUP(I1640,$A$1:$G$1610,7,FALSE),K1639)</f>
        <v>-0.16639238349344015</v>
      </c>
      <c r="L1640" s="5">
        <f t="shared" si="101"/>
        <v>0</v>
      </c>
    </row>
    <row r="1641" spans="9:12" x14ac:dyDescent="0.25">
      <c r="I1641" s="2">
        <v>45470</v>
      </c>
      <c r="J1641" s="3">
        <f>IFERROR(VLOOKUP(I1641,$A$1:$G$1610,3,FALSE),J1640)</f>
        <v>12.24</v>
      </c>
      <c r="K1641" s="3">
        <f>IFERROR(VLOOKUP(I1641,$A$1:$G$1610,7,FALSE),K1640)</f>
        <v>-7.581514954355735E-2</v>
      </c>
      <c r="L1641" s="5">
        <f t="shared" si="101"/>
        <v>0</v>
      </c>
    </row>
    <row r="1642" spans="9:12" x14ac:dyDescent="0.25">
      <c r="I1642" s="2">
        <v>45471</v>
      </c>
      <c r="J1642" s="3">
        <f>IFERROR(VLOOKUP(I1642,$A$1:$G$1610,3,FALSE),J1641)</f>
        <v>12.44</v>
      </c>
      <c r="K1642" s="3">
        <f>IFERROR(VLOOKUP(I1642,$A$1:$G$1610,7,FALSE),K1641)</f>
        <v>-0.48386832220709897</v>
      </c>
      <c r="L1642" s="5">
        <f t="shared" si="101"/>
        <v>0</v>
      </c>
    </row>
    <row r="1643" spans="9:12" x14ac:dyDescent="0.25">
      <c r="I1643" s="2">
        <v>45472</v>
      </c>
      <c r="J1643" s="3">
        <f>IFERROR(VLOOKUP(I1643,$A$1:$G$1610,3,FALSE),J1642)</f>
        <v>12.44</v>
      </c>
      <c r="K1643" s="3">
        <f>IFERROR(VLOOKUP(I1643,$A$1:$G$1610,7,FALSE),K1642)</f>
        <v>-0.48386832220709897</v>
      </c>
      <c r="L1643" s="5">
        <f t="shared" si="101"/>
        <v>0</v>
      </c>
    </row>
    <row r="1644" spans="9:12" x14ac:dyDescent="0.25">
      <c r="I1644" s="2">
        <v>45473</v>
      </c>
      <c r="J1644" s="3">
        <f>IFERROR(VLOOKUP(I1644,$A$1:$G$1610,3,FALSE),J1643)</f>
        <v>12.44</v>
      </c>
      <c r="K1644" s="3">
        <f>IFERROR(VLOOKUP(I1644,$A$1:$G$1610,7,FALSE),K1643)</f>
        <v>-0.48386832220709897</v>
      </c>
      <c r="L1644" s="5">
        <f t="shared" si="101"/>
        <v>0</v>
      </c>
    </row>
    <row r="1645" spans="9:12" x14ac:dyDescent="0.25">
      <c r="I1645" s="2">
        <v>45474</v>
      </c>
      <c r="J1645" s="3">
        <f>IFERROR(VLOOKUP(I1645,$A$1:$G$1610,3,FALSE),J1644)</f>
        <v>12.22</v>
      </c>
      <c r="K1645" s="3">
        <f>IFERROR(VLOOKUP(I1645,$A$1:$G$1610,7,FALSE),K1644)</f>
        <v>-0.2176040590264606</v>
      </c>
      <c r="L1645" s="5">
        <f t="shared" si="101"/>
        <v>0</v>
      </c>
    </row>
    <row r="1646" spans="9:12" x14ac:dyDescent="0.25">
      <c r="I1646" s="2">
        <v>45475</v>
      </c>
      <c r="J1646" s="3">
        <f>IFERROR(VLOOKUP(I1646,$A$1:$G$1610,3,FALSE),J1645)</f>
        <v>12.03</v>
      </c>
      <c r="K1646" s="3">
        <f>IFERROR(VLOOKUP(I1646,$A$1:$G$1610,7,FALSE),K1645)</f>
        <v>0</v>
      </c>
      <c r="L1646" s="5">
        <f t="shared" si="101"/>
        <v>0</v>
      </c>
    </row>
    <row r="1647" spans="9:12" x14ac:dyDescent="0.25">
      <c r="I1647" s="2">
        <v>45476</v>
      </c>
      <c r="J1647" s="3">
        <f>IFERROR(VLOOKUP(I1647,$A$1:$G$1610,3,FALSE),J1646)</f>
        <v>12.09</v>
      </c>
      <c r="K1647" s="3">
        <f>IFERROR(VLOOKUP(I1647,$A$1:$G$1610,7,FALSE),K1646)</f>
        <v>0</v>
      </c>
      <c r="L1647" s="5">
        <f t="shared" si="101"/>
        <v>0</v>
      </c>
    </row>
    <row r="1648" spans="9:12" x14ac:dyDescent="0.25">
      <c r="I1648" s="2">
        <v>45477</v>
      </c>
      <c r="J1648" s="3">
        <f>IFERROR(VLOOKUP(I1648,$A$1:$G$1610,3,FALSE),J1647)</f>
        <v>12.26</v>
      </c>
      <c r="K1648" s="3">
        <f>IFERROR(VLOOKUP(I1648,$A$1:$G$1610,7,FALSE),K1647)</f>
        <v>0</v>
      </c>
      <c r="L1648" s="5">
        <f t="shared" si="101"/>
        <v>0</v>
      </c>
    </row>
    <row r="1649" spans="9:12" x14ac:dyDescent="0.25">
      <c r="I1649" s="2">
        <v>45478</v>
      </c>
      <c r="J1649" s="3">
        <f>IFERROR(VLOOKUP(I1649,$A$1:$G$1610,3,FALSE),J1648)</f>
        <v>12.48</v>
      </c>
      <c r="K1649" s="3">
        <f>IFERROR(VLOOKUP(I1649,$A$1:$G$1610,7,FALSE),K1648)</f>
        <v>0</v>
      </c>
      <c r="L1649" s="5">
        <f t="shared" si="101"/>
        <v>0</v>
      </c>
    </row>
    <row r="1650" spans="9:12" x14ac:dyDescent="0.25">
      <c r="I1650" s="2">
        <v>45479</v>
      </c>
      <c r="J1650" s="3">
        <f>IFERROR(VLOOKUP(I1650,$A$1:$G$1610,3,FALSE),J1649)</f>
        <v>12.48</v>
      </c>
      <c r="K1650" s="3">
        <f>IFERROR(VLOOKUP(I1650,$A$1:$G$1610,7,FALSE),K1649)</f>
        <v>0</v>
      </c>
      <c r="L1650" s="5">
        <f t="shared" si="101"/>
        <v>0</v>
      </c>
    </row>
    <row r="1651" spans="9:12" x14ac:dyDescent="0.25">
      <c r="I1651" s="2">
        <v>45480</v>
      </c>
      <c r="J1651" s="3">
        <f>IFERROR(VLOOKUP(I1651,$A$1:$G$1610,3,FALSE),J1650)</f>
        <v>12.48</v>
      </c>
      <c r="K1651" s="3">
        <f>IFERROR(VLOOKUP(I1651,$A$1:$G$1610,7,FALSE),K1650)</f>
        <v>0</v>
      </c>
      <c r="L1651" s="5">
        <f t="shared" si="101"/>
        <v>0</v>
      </c>
    </row>
    <row r="1652" spans="9:12" x14ac:dyDescent="0.25">
      <c r="I1652" s="2">
        <v>45481</v>
      </c>
      <c r="J1652" s="3">
        <f>IFERROR(VLOOKUP(I1652,$A$1:$G$1610,3,FALSE),J1651)</f>
        <v>12.37</v>
      </c>
      <c r="K1652" s="3">
        <f>IFERROR(VLOOKUP(I1652,$A$1:$G$1610,7,FALSE),K1651)</f>
        <v>0</v>
      </c>
      <c r="L1652" s="5">
        <f t="shared" si="101"/>
        <v>0</v>
      </c>
    </row>
    <row r="1653" spans="9:12" x14ac:dyDescent="0.25">
      <c r="I1653" s="2">
        <v>45482</v>
      </c>
      <c r="J1653" s="3">
        <f>IFERROR(VLOOKUP(I1653,$A$1:$G$1610,3,FALSE),J1652)</f>
        <v>12.51</v>
      </c>
      <c r="K1653" s="3">
        <f>IFERROR(VLOOKUP(I1653,$A$1:$G$1610,7,FALSE),K1652)</f>
        <v>0</v>
      </c>
      <c r="L1653" s="5">
        <f t="shared" si="101"/>
        <v>0</v>
      </c>
    </row>
    <row r="1654" spans="9:12" x14ac:dyDescent="0.25">
      <c r="I1654" s="2">
        <v>45483</v>
      </c>
      <c r="J1654" s="3">
        <f>IFERROR(VLOOKUP(I1654,$A$1:$G$1610,3,FALSE),J1653)</f>
        <v>12.85</v>
      </c>
      <c r="K1654" s="3">
        <f>IFERROR(VLOOKUP(I1654,$A$1:$G$1610,7,FALSE),K1653)</f>
        <v>0</v>
      </c>
      <c r="L1654" s="5">
        <f t="shared" si="101"/>
        <v>0</v>
      </c>
    </row>
    <row r="1655" spans="9:12" x14ac:dyDescent="0.25">
      <c r="I1655" s="2">
        <v>45484</v>
      </c>
      <c r="J1655" s="3">
        <f>IFERROR(VLOOKUP(I1655,$A$1:$G$1610,3,FALSE),J1654)</f>
        <v>12.92</v>
      </c>
      <c r="K1655" s="3">
        <f>IFERROR(VLOOKUP(I1655,$A$1:$G$1610,7,FALSE),K1654)</f>
        <v>-0.87630082837673817</v>
      </c>
      <c r="L1655" s="5">
        <f t="shared" si="101"/>
        <v>0</v>
      </c>
    </row>
    <row r="1656" spans="9:12" x14ac:dyDescent="0.25">
      <c r="I1656" s="2">
        <v>45485</v>
      </c>
      <c r="J1656" s="3">
        <f>IFERROR(VLOOKUP(I1656,$A$1:$G$1610,3,FALSE),J1655)</f>
        <v>12.46</v>
      </c>
      <c r="K1656" s="3">
        <f>IFERROR(VLOOKUP(I1656,$A$1:$G$1610,7,FALSE),K1655)</f>
        <v>-0.32943373252322972</v>
      </c>
      <c r="L1656" s="5">
        <f t="shared" si="101"/>
        <v>0</v>
      </c>
    </row>
    <row r="1657" spans="9:12" x14ac:dyDescent="0.25">
      <c r="I1657" s="2">
        <v>45486</v>
      </c>
      <c r="J1657" s="3">
        <f>IFERROR(VLOOKUP(I1657,$A$1:$G$1610,3,FALSE),J1656)</f>
        <v>12.46</v>
      </c>
      <c r="K1657" s="3">
        <f>IFERROR(VLOOKUP(I1657,$A$1:$G$1610,7,FALSE),K1656)</f>
        <v>-0.32943373252322972</v>
      </c>
      <c r="L1657" s="5">
        <f t="shared" si="101"/>
        <v>0</v>
      </c>
    </row>
    <row r="1658" spans="9:12" x14ac:dyDescent="0.25">
      <c r="I1658" s="2">
        <v>45487</v>
      </c>
      <c r="J1658" s="3">
        <f>IFERROR(VLOOKUP(I1658,$A$1:$G$1610,3,FALSE),J1657)</f>
        <v>12.46</v>
      </c>
      <c r="K1658" s="3">
        <f>IFERROR(VLOOKUP(I1658,$A$1:$G$1610,7,FALSE),K1657)</f>
        <v>-0.32943373252322972</v>
      </c>
      <c r="L1658" s="5">
        <f t="shared" si="101"/>
        <v>0</v>
      </c>
    </row>
    <row r="1659" spans="9:12" x14ac:dyDescent="0.25">
      <c r="I1659" s="2">
        <v>45488</v>
      </c>
      <c r="J1659" s="3">
        <f>IFERROR(VLOOKUP(I1659,$A$1:$G$1610,3,FALSE),J1658)</f>
        <v>13.12</v>
      </c>
      <c r="K1659" s="3">
        <f>IFERROR(VLOOKUP(I1659,$A$1:$G$1610,7,FALSE),K1658)</f>
        <v>-4.7746591621087305E-2</v>
      </c>
      <c r="L1659" s="5">
        <f t="shared" si="101"/>
        <v>0</v>
      </c>
    </row>
    <row r="1660" spans="9:12" x14ac:dyDescent="0.25">
      <c r="I1660" s="2">
        <v>45489</v>
      </c>
      <c r="J1660" s="3">
        <f>IFERROR(VLOOKUP(I1660,$A$1:$G$1610,3,FALSE),J1659)</f>
        <v>13.19</v>
      </c>
      <c r="K1660" s="3">
        <f>IFERROR(VLOOKUP(I1660,$A$1:$G$1610,7,FALSE),K1659)</f>
        <v>0</v>
      </c>
      <c r="L1660" s="5">
        <f t="shared" si="101"/>
        <v>0</v>
      </c>
    </row>
    <row r="1661" spans="9:12" x14ac:dyDescent="0.25">
      <c r="I1661" s="2">
        <v>45490</v>
      </c>
      <c r="J1661" s="3">
        <f>IFERROR(VLOOKUP(I1661,$A$1:$G$1610,3,FALSE),J1660)</f>
        <v>14.48</v>
      </c>
      <c r="K1661" s="3">
        <f>IFERROR(VLOOKUP(I1661,$A$1:$G$1610,7,FALSE),K1660)</f>
        <v>-1.3927512704686509</v>
      </c>
      <c r="L1661" s="5">
        <f t="shared" si="101"/>
        <v>0</v>
      </c>
    </row>
    <row r="1662" spans="9:12" x14ac:dyDescent="0.25">
      <c r="I1662" s="2">
        <v>45491</v>
      </c>
      <c r="J1662" s="3">
        <f>IFERROR(VLOOKUP(I1662,$A$1:$G$1610,3,FALSE),J1661)</f>
        <v>15.93</v>
      </c>
      <c r="K1662" s="3">
        <f>IFERROR(VLOOKUP(I1662,$A$1:$G$1610,7,FALSE),K1661)</f>
        <v>-2.1635022586109485</v>
      </c>
      <c r="L1662" s="5">
        <f t="shared" si="101"/>
        <v>0</v>
      </c>
    </row>
    <row r="1663" spans="9:12" x14ac:dyDescent="0.25">
      <c r="I1663" s="2">
        <v>45492</v>
      </c>
      <c r="J1663" s="3">
        <f>IFERROR(VLOOKUP(I1663,$A$1:$G$1610,3,FALSE),J1662)</f>
        <v>16.52</v>
      </c>
      <c r="K1663" s="3">
        <f>IFERROR(VLOOKUP(I1663,$A$1:$G$1610,7,FALSE),K1662)</f>
        <v>-2.8620835686053043</v>
      </c>
      <c r="L1663" s="5">
        <f t="shared" si="101"/>
        <v>0</v>
      </c>
    </row>
    <row r="1664" spans="9:12" x14ac:dyDescent="0.25">
      <c r="I1664" s="2">
        <v>45493</v>
      </c>
      <c r="J1664" s="3">
        <f>IFERROR(VLOOKUP(I1664,$A$1:$G$1610,3,FALSE),J1663)</f>
        <v>16.52</v>
      </c>
      <c r="K1664" s="3">
        <f>IFERROR(VLOOKUP(I1664,$A$1:$G$1610,7,FALSE),K1663)</f>
        <v>-2.8620835686053043</v>
      </c>
      <c r="L1664" s="5">
        <f t="shared" si="101"/>
        <v>0</v>
      </c>
    </row>
    <row r="1665" spans="9:12" x14ac:dyDescent="0.25">
      <c r="I1665" s="2">
        <v>45494</v>
      </c>
      <c r="J1665" s="3">
        <f>IFERROR(VLOOKUP(I1665,$A$1:$G$1610,3,FALSE),J1664)</f>
        <v>16.52</v>
      </c>
      <c r="K1665" s="3">
        <f>IFERROR(VLOOKUP(I1665,$A$1:$G$1610,7,FALSE),K1664)</f>
        <v>-2.8620835686053043</v>
      </c>
      <c r="L1665" s="5">
        <f t="shared" si="101"/>
        <v>0</v>
      </c>
    </row>
    <row r="1666" spans="9:12" x14ac:dyDescent="0.25">
      <c r="I1666" s="2">
        <v>45495</v>
      </c>
      <c r="J1666" s="3">
        <f>IFERROR(VLOOKUP(I1666,$A$1:$G$1610,3,FALSE),J1665)</f>
        <v>14.91</v>
      </c>
      <c r="K1666" s="3">
        <f>IFERROR(VLOOKUP(I1666,$A$1:$G$1610,7,FALSE),K1665)</f>
        <v>-1.8137704686617726</v>
      </c>
      <c r="L1666" s="5">
        <f t="shared" ref="L1666:L1729" si="104">IF(OR(J1666&gt;=30,K1666&lt;-10),1,0)</f>
        <v>0</v>
      </c>
    </row>
    <row r="1667" spans="9:12" x14ac:dyDescent="0.25">
      <c r="I1667" s="2">
        <v>45496</v>
      </c>
      <c r="J1667" s="3">
        <f>IFERROR(VLOOKUP(I1667,$A$1:$G$1610,3,FALSE),J1666)</f>
        <v>14.72</v>
      </c>
      <c r="K1667" s="3">
        <f>IFERROR(VLOOKUP(I1667,$A$1:$G$1610,7,FALSE),K1666)</f>
        <v>-1.9667560700169402</v>
      </c>
      <c r="L1667" s="5">
        <f t="shared" si="104"/>
        <v>0</v>
      </c>
    </row>
    <row r="1668" spans="9:12" x14ac:dyDescent="0.25">
      <c r="I1668" s="2">
        <v>45497</v>
      </c>
      <c r="J1668" s="3">
        <f>IFERROR(VLOOKUP(I1668,$A$1:$G$1610,3,FALSE),J1667)</f>
        <v>18.04</v>
      </c>
      <c r="K1668" s="3">
        <f>IFERROR(VLOOKUP(I1668,$A$1:$G$1610,7,FALSE),K1667)</f>
        <v>-4.2361307171089724</v>
      </c>
      <c r="L1668" s="5">
        <f t="shared" si="104"/>
        <v>0</v>
      </c>
    </row>
    <row r="1669" spans="9:12" x14ac:dyDescent="0.25">
      <c r="I1669" s="2">
        <v>45498</v>
      </c>
      <c r="J1669" s="3">
        <f>IFERROR(VLOOKUP(I1669,$A$1:$G$1610,3,FALSE),J1668)</f>
        <v>18.46</v>
      </c>
      <c r="K1669" s="3">
        <f>IFERROR(VLOOKUP(I1669,$A$1:$G$1610,7,FALSE),K1668)</f>
        <v>-4.7286137775268138</v>
      </c>
      <c r="L1669" s="5">
        <f t="shared" si="104"/>
        <v>0</v>
      </c>
    </row>
    <row r="1670" spans="9:12" x14ac:dyDescent="0.25">
      <c r="I1670" s="2">
        <v>45499</v>
      </c>
      <c r="J1670" s="3">
        <f>IFERROR(VLOOKUP(I1670,$A$1:$G$1610,3,FALSE),J1669)</f>
        <v>16.39</v>
      </c>
      <c r="K1670" s="3">
        <f>IFERROR(VLOOKUP(I1670,$A$1:$G$1610,7,FALSE),K1669)</f>
        <v>-3.672007340485592</v>
      </c>
      <c r="L1670" s="5">
        <f t="shared" si="104"/>
        <v>0</v>
      </c>
    </row>
    <row r="1671" spans="9:12" x14ac:dyDescent="0.25">
      <c r="I1671" s="2">
        <v>45500</v>
      </c>
      <c r="J1671" s="3">
        <f>IFERROR(VLOOKUP(I1671,$A$1:$G$1610,3,FALSE),J1670)</f>
        <v>16.39</v>
      </c>
      <c r="K1671" s="3">
        <f>IFERROR(VLOOKUP(I1671,$A$1:$G$1610,7,FALSE),K1670)</f>
        <v>-3.672007340485592</v>
      </c>
      <c r="L1671" s="5">
        <f t="shared" si="104"/>
        <v>0</v>
      </c>
    </row>
    <row r="1672" spans="9:12" x14ac:dyDescent="0.25">
      <c r="I1672" s="2">
        <v>45501</v>
      </c>
      <c r="J1672" s="3">
        <f>IFERROR(VLOOKUP(I1672,$A$1:$G$1610,3,FALSE),J1671)</f>
        <v>16.39</v>
      </c>
      <c r="K1672" s="3">
        <f>IFERROR(VLOOKUP(I1672,$A$1:$G$1610,7,FALSE),K1671)</f>
        <v>-3.672007340485592</v>
      </c>
      <c r="L1672" s="5">
        <f t="shared" si="104"/>
        <v>0</v>
      </c>
    </row>
    <row r="1673" spans="9:12" x14ac:dyDescent="0.25">
      <c r="I1673" s="2">
        <v>45502</v>
      </c>
      <c r="J1673" s="3">
        <f>IFERROR(VLOOKUP(I1673,$A$1:$G$1610,3,FALSE),J1672)</f>
        <v>16.600000000000001</v>
      </c>
      <c r="K1673" s="3">
        <f>IFERROR(VLOOKUP(I1673,$A$1:$G$1610,7,FALSE),K1672)</f>
        <v>-3.5936617730095968</v>
      </c>
      <c r="L1673" s="5">
        <f t="shared" si="104"/>
        <v>0</v>
      </c>
    </row>
    <row r="1674" spans="9:12" x14ac:dyDescent="0.25">
      <c r="I1674" s="2">
        <v>45503</v>
      </c>
      <c r="J1674" s="3">
        <f>IFERROR(VLOOKUP(I1674,$A$1:$G$1610,3,FALSE),J1673)</f>
        <v>17.690000000000001</v>
      </c>
      <c r="K1674" s="3">
        <f>IFERROR(VLOOKUP(I1674,$A$1:$G$1610,7,FALSE),K1673)</f>
        <v>-4.0718520609824997</v>
      </c>
      <c r="L1674" s="5">
        <f t="shared" si="104"/>
        <v>0</v>
      </c>
    </row>
    <row r="1675" spans="9:12" x14ac:dyDescent="0.25">
      <c r="I1675" s="2">
        <v>45504</v>
      </c>
      <c r="J1675" s="3">
        <f>IFERROR(VLOOKUP(I1675,$A$1:$G$1610,3,FALSE),J1674)</f>
        <v>16.36</v>
      </c>
      <c r="K1675" s="3">
        <f>IFERROR(VLOOKUP(I1675,$A$1:$G$1610,7,FALSE),K1674)</f>
        <v>-2.5568181818181754</v>
      </c>
      <c r="L1675" s="5">
        <f t="shared" si="104"/>
        <v>0</v>
      </c>
    </row>
    <row r="1676" spans="9:12" x14ac:dyDescent="0.25">
      <c r="I1676" s="2">
        <v>45505</v>
      </c>
      <c r="J1676" s="3">
        <f>IFERROR(VLOOKUP(I1676,$A$1:$G$1610,3,FALSE),J1675)</f>
        <v>18.59</v>
      </c>
      <c r="K1676" s="3">
        <f>IFERROR(VLOOKUP(I1676,$A$1:$G$1610,7,FALSE),K1675)</f>
        <v>-3.891163184641437</v>
      </c>
      <c r="L1676" s="5">
        <f t="shared" si="104"/>
        <v>0</v>
      </c>
    </row>
    <row r="1677" spans="9:12" x14ac:dyDescent="0.25">
      <c r="I1677" s="2">
        <v>45506</v>
      </c>
      <c r="J1677" s="3">
        <f>IFERROR(VLOOKUP(I1677,$A$1:$G$1610,3,FALSE),J1676)</f>
        <v>23.39</v>
      </c>
      <c r="K1677" s="3">
        <f>IFERROR(VLOOKUP(I1677,$A$1:$G$1610,7,FALSE),K1676)</f>
        <v>-5.6578204404291261</v>
      </c>
      <c r="L1677" s="5">
        <f t="shared" si="104"/>
        <v>0</v>
      </c>
    </row>
    <row r="1678" spans="9:12" x14ac:dyDescent="0.25">
      <c r="I1678" s="2">
        <v>45507</v>
      </c>
      <c r="J1678" s="3">
        <f>IFERROR(VLOOKUP(I1678,$A$1:$G$1610,3,FALSE),J1677)</f>
        <v>23.39</v>
      </c>
      <c r="K1678" s="3">
        <f>IFERROR(VLOOKUP(I1678,$A$1:$G$1610,7,FALSE),K1677)</f>
        <v>-5.6578204404291261</v>
      </c>
      <c r="L1678" s="5">
        <f t="shared" si="104"/>
        <v>0</v>
      </c>
    </row>
    <row r="1679" spans="9:12" x14ac:dyDescent="0.25">
      <c r="I1679" s="2">
        <v>45508</v>
      </c>
      <c r="J1679" s="3">
        <f>IFERROR(VLOOKUP(I1679,$A$1:$G$1610,3,FALSE),J1678)</f>
        <v>23.39</v>
      </c>
      <c r="K1679" s="3">
        <f>IFERROR(VLOOKUP(I1679,$A$1:$G$1610,7,FALSE),K1678)</f>
        <v>-5.6578204404291261</v>
      </c>
      <c r="L1679" s="5">
        <f t="shared" si="104"/>
        <v>0</v>
      </c>
    </row>
    <row r="1680" spans="9:12" x14ac:dyDescent="0.25">
      <c r="I1680" s="2">
        <v>45509</v>
      </c>
      <c r="J1680" s="3">
        <f>IFERROR(VLOOKUP(I1680,$A$1:$G$1610,3,FALSE),J1679)</f>
        <v>38.57</v>
      </c>
      <c r="K1680" s="3">
        <f>IFERROR(VLOOKUP(I1680,$A$1:$G$1610,7,FALSE),K1679)</f>
        <v>-8.4851425748164857</v>
      </c>
      <c r="L1680" s="5">
        <f t="shared" si="104"/>
        <v>1</v>
      </c>
    </row>
    <row r="1681" spans="9:12" x14ac:dyDescent="0.25">
      <c r="I1681" s="2">
        <v>45510</v>
      </c>
      <c r="J1681" s="3">
        <f>IFERROR(VLOOKUP(I1681,$A$1:$G$1610,3,FALSE),J1680)</f>
        <v>27.71</v>
      </c>
      <c r="K1681" s="3">
        <f>IFERROR(VLOOKUP(I1681,$A$1:$G$1610,7,FALSE),K1680)</f>
        <v>-7.5375846979107859</v>
      </c>
      <c r="L1681" s="5">
        <f t="shared" si="104"/>
        <v>0</v>
      </c>
    </row>
    <row r="1682" spans="9:12" x14ac:dyDescent="0.25">
      <c r="I1682" s="2">
        <v>45511</v>
      </c>
      <c r="J1682" s="3">
        <f>IFERROR(VLOOKUP(I1682,$A$1:$G$1610,3,FALSE),J1681)</f>
        <v>27.85</v>
      </c>
      <c r="K1682" s="3">
        <f>IFERROR(VLOOKUP(I1682,$A$1:$G$1610,7,FALSE),K1681)</f>
        <v>-8.2527526821005051</v>
      </c>
      <c r="L1682" s="5">
        <f t="shared" si="104"/>
        <v>0</v>
      </c>
    </row>
    <row r="1683" spans="9:12" x14ac:dyDescent="0.25">
      <c r="I1683" s="2">
        <v>45512</v>
      </c>
      <c r="J1683" s="3">
        <f>IFERROR(VLOOKUP(I1683,$A$1:$G$1610,3,FALSE),J1682)</f>
        <v>23.79</v>
      </c>
      <c r="K1683" s="3">
        <f>IFERROR(VLOOKUP(I1683,$A$1:$G$1610,7,FALSE),K1682)</f>
        <v>-6.1386575381140496</v>
      </c>
      <c r="L1683" s="5">
        <f t="shared" si="104"/>
        <v>0</v>
      </c>
    </row>
    <row r="1684" spans="9:12" x14ac:dyDescent="0.25">
      <c r="I1684" s="2">
        <v>45513</v>
      </c>
      <c r="J1684" s="3">
        <f>IFERROR(VLOOKUP(I1684,$A$1:$G$1610,3,FALSE),J1683)</f>
        <v>20.37</v>
      </c>
      <c r="K1684" s="3">
        <f>IFERROR(VLOOKUP(I1684,$A$1:$G$1610,7,FALSE),K1683)</f>
        <v>-5.7001693958215691</v>
      </c>
      <c r="L1684" s="5">
        <f t="shared" si="104"/>
        <v>0</v>
      </c>
    </row>
    <row r="1685" spans="9:12" x14ac:dyDescent="0.25">
      <c r="I1685" s="2">
        <v>45514</v>
      </c>
      <c r="J1685" s="3">
        <f>IFERROR(VLOOKUP(I1685,$A$1:$G$1610,3,FALSE),J1684)</f>
        <v>20.37</v>
      </c>
      <c r="K1685" s="3">
        <f>IFERROR(VLOOKUP(I1685,$A$1:$G$1610,7,FALSE),K1684)</f>
        <v>-5.7001693958215691</v>
      </c>
      <c r="L1685" s="5">
        <f t="shared" si="104"/>
        <v>0</v>
      </c>
    </row>
    <row r="1686" spans="9:12" x14ac:dyDescent="0.25">
      <c r="I1686" s="2">
        <v>45515</v>
      </c>
      <c r="J1686" s="3">
        <f>IFERROR(VLOOKUP(I1686,$A$1:$G$1610,3,FALSE),J1685)</f>
        <v>20.37</v>
      </c>
      <c r="K1686" s="3">
        <f>IFERROR(VLOOKUP(I1686,$A$1:$G$1610,7,FALSE),K1685)</f>
        <v>-5.7001693958215691</v>
      </c>
      <c r="L1686" s="5">
        <f t="shared" si="104"/>
        <v>0</v>
      </c>
    </row>
    <row r="1687" spans="9:12" x14ac:dyDescent="0.25">
      <c r="I1687" s="2">
        <v>45516</v>
      </c>
      <c r="J1687" s="3">
        <f>IFERROR(VLOOKUP(I1687,$A$1:$G$1610,3,FALSE),J1686)</f>
        <v>20.71</v>
      </c>
      <c r="K1687" s="3">
        <f>IFERROR(VLOOKUP(I1687,$A$1:$G$1610,7,FALSE),K1686)</f>
        <v>-5.6961109542631192</v>
      </c>
      <c r="L1687" s="5">
        <f t="shared" si="104"/>
        <v>0</v>
      </c>
    </row>
    <row r="1688" spans="9:12" x14ac:dyDescent="0.25">
      <c r="I1688" s="2">
        <v>45517</v>
      </c>
      <c r="J1688" s="3">
        <f>IFERROR(VLOOKUP(I1688,$A$1:$G$1610,3,FALSE),J1687)</f>
        <v>18.12</v>
      </c>
      <c r="K1688" s="3">
        <f>IFERROR(VLOOKUP(I1688,$A$1:$G$1610,7,FALSE),K1687)</f>
        <v>-4.1073193111236508</v>
      </c>
      <c r="L1688" s="5">
        <f t="shared" si="104"/>
        <v>0</v>
      </c>
    </row>
    <row r="1689" spans="9:12" x14ac:dyDescent="0.25">
      <c r="I1689" s="2">
        <v>45518</v>
      </c>
      <c r="J1689" s="3">
        <f>IFERROR(VLOOKUP(I1689,$A$1:$G$1610,3,FALSE),J1688)</f>
        <v>16.190000000000001</v>
      </c>
      <c r="K1689" s="3">
        <f>IFERROR(VLOOKUP(I1689,$A$1:$G$1610,7,FALSE),K1688)</f>
        <v>-3.7406479390175003</v>
      </c>
      <c r="L1689" s="5">
        <f t="shared" si="104"/>
        <v>0</v>
      </c>
    </row>
    <row r="1690" spans="9:12" x14ac:dyDescent="0.25">
      <c r="I1690" s="2">
        <v>45519</v>
      </c>
      <c r="J1690" s="3">
        <f>IFERROR(VLOOKUP(I1690,$A$1:$G$1610,3,FALSE),J1689)</f>
        <v>15.23</v>
      </c>
      <c r="K1690" s="3">
        <f>IFERROR(VLOOKUP(I1690,$A$1:$G$1610,7,FALSE),K1689)</f>
        <v>-2.187676453980794</v>
      </c>
      <c r="L1690" s="5">
        <f t="shared" si="104"/>
        <v>0</v>
      </c>
    </row>
    <row r="1691" spans="9:12" x14ac:dyDescent="0.25">
      <c r="I1691" s="2">
        <v>45520</v>
      </c>
      <c r="J1691" s="3">
        <f>IFERROR(VLOOKUP(I1691,$A$1:$G$1610,3,FALSE),J1690)</f>
        <v>14.8</v>
      </c>
      <c r="K1691" s="3">
        <f>IFERROR(VLOOKUP(I1691,$A$1:$G$1610,7,FALSE),K1690)</f>
        <v>-1.9930477131564057</v>
      </c>
      <c r="L1691" s="5">
        <f t="shared" si="104"/>
        <v>0</v>
      </c>
    </row>
    <row r="1692" spans="9:12" x14ac:dyDescent="0.25">
      <c r="I1692" s="2">
        <v>45521</v>
      </c>
      <c r="J1692" s="3">
        <f>IFERROR(VLOOKUP(I1692,$A$1:$G$1610,3,FALSE),J1691)</f>
        <v>14.8</v>
      </c>
      <c r="K1692" s="3">
        <f>IFERROR(VLOOKUP(I1692,$A$1:$G$1610,7,FALSE),K1691)</f>
        <v>-1.9930477131564057</v>
      </c>
      <c r="L1692" s="5">
        <f t="shared" si="104"/>
        <v>0</v>
      </c>
    </row>
    <row r="1693" spans="9:12" x14ac:dyDescent="0.25">
      <c r="I1693" s="2">
        <v>45522</v>
      </c>
      <c r="J1693" s="3">
        <f>IFERROR(VLOOKUP(I1693,$A$1:$G$1610,3,FALSE),J1692)</f>
        <v>14.8</v>
      </c>
      <c r="K1693" s="3">
        <f>IFERROR(VLOOKUP(I1693,$A$1:$G$1610,7,FALSE),K1692)</f>
        <v>-1.9930477131564057</v>
      </c>
      <c r="L1693" s="5">
        <f t="shared" si="104"/>
        <v>0</v>
      </c>
    </row>
    <row r="1694" spans="9:12" x14ac:dyDescent="0.25">
      <c r="I1694" s="2">
        <v>45523</v>
      </c>
      <c r="J1694" s="3">
        <f>IFERROR(VLOOKUP(I1694,$A$1:$G$1610,3,FALSE),J1693)</f>
        <v>14.65</v>
      </c>
      <c r="K1694" s="3">
        <f>IFERROR(VLOOKUP(I1694,$A$1:$G$1610,7,FALSE),K1693)</f>
        <v>-1.0401962168266485</v>
      </c>
      <c r="L1694" s="5">
        <f t="shared" si="104"/>
        <v>0</v>
      </c>
    </row>
    <row r="1695" spans="9:12" x14ac:dyDescent="0.25">
      <c r="I1695" s="2">
        <v>45524</v>
      </c>
      <c r="J1695" s="3">
        <f>IFERROR(VLOOKUP(I1695,$A$1:$G$1610,3,FALSE),J1694)</f>
        <v>15.88</v>
      </c>
      <c r="K1695" s="3">
        <f>IFERROR(VLOOKUP(I1695,$A$1:$G$1610,7,FALSE),K1694)</f>
        <v>-1.2365894974590614</v>
      </c>
      <c r="L1695" s="5">
        <f t="shared" si="104"/>
        <v>0</v>
      </c>
    </row>
    <row r="1696" spans="9:12" x14ac:dyDescent="0.25">
      <c r="I1696" s="2">
        <v>45525</v>
      </c>
      <c r="J1696" s="3">
        <f>IFERROR(VLOOKUP(I1696,$A$1:$G$1610,3,FALSE),J1695)</f>
        <v>16.27</v>
      </c>
      <c r="K1696" s="3">
        <f>IFERROR(VLOOKUP(I1696,$A$1:$G$1610,7,FALSE),K1695)</f>
        <v>-0.81786420101636526</v>
      </c>
      <c r="L1696" s="5">
        <f t="shared" si="104"/>
        <v>0</v>
      </c>
    </row>
    <row r="1697" spans="9:12" x14ac:dyDescent="0.25">
      <c r="I1697" s="2">
        <v>45526</v>
      </c>
      <c r="J1697" s="3">
        <f>IFERROR(VLOOKUP(I1697,$A$1:$G$1610,3,FALSE),J1696)</f>
        <v>17.55</v>
      </c>
      <c r="K1697" s="3">
        <f>IFERROR(VLOOKUP(I1697,$A$1:$G$1610,7,FALSE),K1696)</f>
        <v>-1.7038396386222385</v>
      </c>
      <c r="L1697" s="5">
        <f t="shared" si="104"/>
        <v>0</v>
      </c>
    </row>
    <row r="1698" spans="9:12" x14ac:dyDescent="0.25">
      <c r="I1698" s="2">
        <v>45527</v>
      </c>
      <c r="J1698" s="3">
        <f>IFERROR(VLOOKUP(I1698,$A$1:$G$1610,3,FALSE),J1697)</f>
        <v>15.86</v>
      </c>
      <c r="K1698" s="3">
        <f>IFERROR(VLOOKUP(I1698,$A$1:$G$1610,7,FALSE),K1697)</f>
        <v>-0.57506352343309131</v>
      </c>
      <c r="L1698" s="5">
        <f t="shared" si="104"/>
        <v>0</v>
      </c>
    </row>
    <row r="1699" spans="9:12" x14ac:dyDescent="0.25">
      <c r="I1699" s="2">
        <v>45528</v>
      </c>
      <c r="J1699" s="3">
        <f>IFERROR(VLOOKUP(I1699,$A$1:$G$1610,3,FALSE),J1698)</f>
        <v>15.86</v>
      </c>
      <c r="K1699" s="3">
        <f>IFERROR(VLOOKUP(I1699,$A$1:$G$1610,7,FALSE),K1698)</f>
        <v>-0.57506352343309131</v>
      </c>
      <c r="L1699" s="5">
        <f t="shared" si="104"/>
        <v>0</v>
      </c>
    </row>
    <row r="1700" spans="9:12" x14ac:dyDescent="0.25">
      <c r="I1700" s="2">
        <v>45529</v>
      </c>
      <c r="J1700" s="3">
        <f>IFERROR(VLOOKUP(I1700,$A$1:$G$1610,3,FALSE),J1699)</f>
        <v>15.86</v>
      </c>
      <c r="K1700" s="3">
        <f>IFERROR(VLOOKUP(I1700,$A$1:$G$1610,7,FALSE),K1699)</f>
        <v>-0.57506352343309131</v>
      </c>
      <c r="L1700" s="5">
        <f t="shared" si="104"/>
        <v>0</v>
      </c>
    </row>
    <row r="1701" spans="9:12" x14ac:dyDescent="0.25">
      <c r="I1701" s="2">
        <v>45530</v>
      </c>
      <c r="J1701" s="3">
        <f>IFERROR(VLOOKUP(I1701,$A$1:$G$1610,3,FALSE),J1700)</f>
        <v>16.149999999999999</v>
      </c>
      <c r="K1701" s="3">
        <f>IFERROR(VLOOKUP(I1701,$A$1:$G$1610,7,FALSE),K1700)</f>
        <v>-0.88862224731789374</v>
      </c>
      <c r="L1701" s="5">
        <f t="shared" si="104"/>
        <v>0</v>
      </c>
    </row>
    <row r="1702" spans="9:12" x14ac:dyDescent="0.25">
      <c r="I1702" s="2">
        <v>45531</v>
      </c>
      <c r="J1702" s="3">
        <f>IFERROR(VLOOKUP(I1702,$A$1:$G$1610,3,FALSE),J1701)</f>
        <v>15.43</v>
      </c>
      <c r="K1702" s="3">
        <f>IFERROR(VLOOKUP(I1702,$A$1:$G$1610,7,FALSE),K1701)</f>
        <v>-0.73051948051947413</v>
      </c>
      <c r="L1702" s="5">
        <f t="shared" si="104"/>
        <v>0</v>
      </c>
    </row>
    <row r="1703" spans="9:12" x14ac:dyDescent="0.25">
      <c r="I1703" s="2">
        <v>45532</v>
      </c>
      <c r="J1703" s="3">
        <f>IFERROR(VLOOKUP(I1703,$A$1:$G$1610,3,FALSE),J1702)</f>
        <v>17.11</v>
      </c>
      <c r="K1703" s="3">
        <f>IFERROR(VLOOKUP(I1703,$A$1:$G$1610,7,FALSE),K1702)</f>
        <v>-1.323757763975147</v>
      </c>
      <c r="L1703" s="5">
        <f t="shared" si="104"/>
        <v>0</v>
      </c>
    </row>
    <row r="1704" spans="9:12" x14ac:dyDescent="0.25">
      <c r="I1704" s="2">
        <v>45533</v>
      </c>
      <c r="J1704" s="3">
        <f>IFERROR(VLOOKUP(I1704,$A$1:$G$1610,3,FALSE),J1703)</f>
        <v>15.65</v>
      </c>
      <c r="K1704" s="3">
        <f>IFERROR(VLOOKUP(I1704,$A$1:$G$1610,7,FALSE),K1703)</f>
        <v>-1.3276397515527913</v>
      </c>
      <c r="L1704" s="5">
        <f t="shared" si="104"/>
        <v>0</v>
      </c>
    </row>
    <row r="1705" spans="9:12" x14ac:dyDescent="0.25">
      <c r="I1705" s="2">
        <v>45534</v>
      </c>
      <c r="J1705" s="3">
        <f>IFERROR(VLOOKUP(I1705,$A$1:$G$1610,3,FALSE),J1704)</f>
        <v>15</v>
      </c>
      <c r="K1705" s="3">
        <f>IFERROR(VLOOKUP(I1705,$A$1:$G$1610,7,FALSE),K1704)</f>
        <v>-0.33173348390740015</v>
      </c>
      <c r="L1705" s="5">
        <f t="shared" si="104"/>
        <v>0</v>
      </c>
    </row>
    <row r="1706" spans="9:12" x14ac:dyDescent="0.25">
      <c r="I1706" s="2">
        <v>45535</v>
      </c>
      <c r="J1706" s="3">
        <f>IFERROR(VLOOKUP(I1706,$A$1:$G$1610,3,FALSE),J1705)</f>
        <v>15</v>
      </c>
      <c r="K1706" s="3">
        <f>IFERROR(VLOOKUP(I1706,$A$1:$G$1610,7,FALSE),K1705)</f>
        <v>-0.33173348390740015</v>
      </c>
      <c r="L1706" s="5">
        <f t="shared" si="104"/>
        <v>0</v>
      </c>
    </row>
    <row r="1707" spans="9:12" x14ac:dyDescent="0.25">
      <c r="I1707" s="2">
        <v>45536</v>
      </c>
      <c r="J1707" s="3">
        <f>IFERROR(VLOOKUP(I1707,$A$1:$G$1610,3,FALSE),J1706)</f>
        <v>15</v>
      </c>
      <c r="K1707" s="3">
        <f>IFERROR(VLOOKUP(I1707,$A$1:$G$1610,7,FALSE),K1706)</f>
        <v>-0.33173348390740015</v>
      </c>
      <c r="L1707" s="5">
        <f t="shared" si="104"/>
        <v>0</v>
      </c>
    </row>
    <row r="1708" spans="9:12" x14ac:dyDescent="0.25">
      <c r="I1708" s="2">
        <v>45537</v>
      </c>
      <c r="J1708" s="3">
        <f>IFERROR(VLOOKUP(I1708,$A$1:$G$1610,3,FALSE),J1707)</f>
        <v>15.55</v>
      </c>
      <c r="K1708" s="3">
        <f>IFERROR(VLOOKUP(I1708,$A$1:$G$1610,7,FALSE),K1707)</f>
        <v>-0.33173348390740015</v>
      </c>
      <c r="L1708" s="5">
        <f t="shared" si="104"/>
        <v>0</v>
      </c>
    </row>
    <row r="1709" spans="9:12" x14ac:dyDescent="0.25">
      <c r="I1709" s="2">
        <v>45538</v>
      </c>
      <c r="J1709" s="3">
        <f>IFERROR(VLOOKUP(I1709,$A$1:$G$1610,3,FALSE),J1708)</f>
        <v>20.72</v>
      </c>
      <c r="K1709" s="3">
        <f>IFERROR(VLOOKUP(I1709,$A$1:$G$1610,7,FALSE),K1708)</f>
        <v>-2.4398291925465756</v>
      </c>
      <c r="L1709" s="5">
        <f t="shared" si="104"/>
        <v>0</v>
      </c>
    </row>
    <row r="1710" spans="9:12" x14ac:dyDescent="0.25">
      <c r="I1710" s="2">
        <v>45539</v>
      </c>
      <c r="J1710" s="3">
        <f>IFERROR(VLOOKUP(I1710,$A$1:$G$1610,3,FALSE),J1709)</f>
        <v>21.32</v>
      </c>
      <c r="K1710" s="3">
        <f>IFERROR(VLOOKUP(I1710,$A$1:$G$1610,7,FALSE),K1709)</f>
        <v>-2.5961674195369868</v>
      </c>
      <c r="L1710" s="5">
        <f t="shared" si="104"/>
        <v>0</v>
      </c>
    </row>
    <row r="1711" spans="9:12" x14ac:dyDescent="0.25">
      <c r="I1711" s="2">
        <v>45540</v>
      </c>
      <c r="J1711" s="3">
        <f>IFERROR(VLOOKUP(I1711,$A$1:$G$1610,3,FALSE),J1710)</f>
        <v>19.899999999999999</v>
      </c>
      <c r="K1711" s="3">
        <f>IFERROR(VLOOKUP(I1711,$A$1:$G$1610,7,FALSE),K1710)</f>
        <v>-2.8901397515527947</v>
      </c>
      <c r="L1711" s="5">
        <f t="shared" si="104"/>
        <v>0</v>
      </c>
    </row>
    <row r="1712" spans="9:12" x14ac:dyDescent="0.25">
      <c r="I1712" s="2">
        <v>45541</v>
      </c>
      <c r="J1712" s="3">
        <f>IFERROR(VLOOKUP(I1712,$A$1:$G$1610,3,FALSE),J1711)</f>
        <v>22.38</v>
      </c>
      <c r="K1712" s="3">
        <f>IFERROR(VLOOKUP(I1712,$A$1:$G$1610,7,FALSE),K1711)</f>
        <v>-4.5662761151891544</v>
      </c>
      <c r="L1712" s="5">
        <f t="shared" si="104"/>
        <v>0</v>
      </c>
    </row>
    <row r="1713" spans="9:12" x14ac:dyDescent="0.25">
      <c r="I1713" s="2">
        <v>45542</v>
      </c>
      <c r="J1713" s="3">
        <f>IFERROR(VLOOKUP(I1713,$A$1:$G$1610,3,FALSE),J1712)</f>
        <v>22.38</v>
      </c>
      <c r="K1713" s="3">
        <f>IFERROR(VLOOKUP(I1713,$A$1:$G$1610,7,FALSE),K1712)</f>
        <v>-4.5662761151891544</v>
      </c>
      <c r="L1713" s="5">
        <f t="shared" si="104"/>
        <v>0</v>
      </c>
    </row>
    <row r="1714" spans="9:12" x14ac:dyDescent="0.25">
      <c r="I1714" s="2">
        <v>45543</v>
      </c>
      <c r="J1714" s="3">
        <f>IFERROR(VLOOKUP(I1714,$A$1:$G$1610,3,FALSE),J1713)</f>
        <v>22.38</v>
      </c>
      <c r="K1714" s="3">
        <f>IFERROR(VLOOKUP(I1714,$A$1:$G$1610,7,FALSE),K1713)</f>
        <v>-4.5662761151891544</v>
      </c>
      <c r="L1714" s="5">
        <f t="shared" si="104"/>
        <v>0</v>
      </c>
    </row>
    <row r="1715" spans="9:12" x14ac:dyDescent="0.25">
      <c r="I1715" s="2">
        <v>45544</v>
      </c>
      <c r="J1715" s="3">
        <f>IFERROR(VLOOKUP(I1715,$A$1:$G$1610,3,FALSE),J1714)</f>
        <v>19.45</v>
      </c>
      <c r="K1715" s="3">
        <f>IFERROR(VLOOKUP(I1715,$A$1:$G$1610,7,FALSE),K1714)</f>
        <v>-3.461144833427436</v>
      </c>
      <c r="L1715" s="5">
        <f t="shared" si="104"/>
        <v>0</v>
      </c>
    </row>
    <row r="1716" spans="9:12" x14ac:dyDescent="0.25">
      <c r="I1716" s="2">
        <v>45545</v>
      </c>
      <c r="J1716" s="3">
        <f>IFERROR(VLOOKUP(I1716,$A$1:$G$1610,3,FALSE),J1715)</f>
        <v>19.079999999999998</v>
      </c>
      <c r="K1716" s="3">
        <f>IFERROR(VLOOKUP(I1716,$A$1:$G$1610,7,FALSE),K1715)</f>
        <v>-3.0293619424054099</v>
      </c>
      <c r="L1716" s="5">
        <f t="shared" si="104"/>
        <v>0</v>
      </c>
    </row>
    <row r="1717" spans="9:12" x14ac:dyDescent="0.25">
      <c r="I1717" s="2">
        <v>45546</v>
      </c>
      <c r="J1717" s="3">
        <f>IFERROR(VLOOKUP(I1717,$A$1:$G$1610,3,FALSE),J1716)</f>
        <v>17.690000000000001</v>
      </c>
      <c r="K1717" s="3">
        <f>IFERROR(VLOOKUP(I1717,$A$1:$G$1610,7,FALSE),K1716)</f>
        <v>-1.9951651609260255</v>
      </c>
      <c r="L1717" s="5">
        <f t="shared" si="104"/>
        <v>0</v>
      </c>
    </row>
    <row r="1718" spans="9:12" x14ac:dyDescent="0.25">
      <c r="I1718" s="2">
        <v>45547</v>
      </c>
      <c r="J1718" s="3">
        <f>IFERROR(VLOOKUP(I1718,$A$1:$G$1610,3,FALSE),J1717)</f>
        <v>17.07</v>
      </c>
      <c r="K1718" s="3">
        <f>IFERROR(VLOOKUP(I1718,$A$1:$G$1610,7,FALSE),K1717)</f>
        <v>-1.2605872388481014</v>
      </c>
      <c r="L1718" s="5">
        <f t="shared" si="104"/>
        <v>0</v>
      </c>
    </row>
    <row r="1719" spans="9:12" x14ac:dyDescent="0.25">
      <c r="I1719" s="2">
        <v>45548</v>
      </c>
      <c r="J1719" s="3">
        <f>IFERROR(VLOOKUP(I1719,$A$1:$G$1610,3,FALSE),J1718)</f>
        <v>16.559999999999999</v>
      </c>
      <c r="K1719" s="3">
        <f>IFERROR(VLOOKUP(I1719,$A$1:$G$1610,7,FALSE),K1718)</f>
        <v>-0.72663749294182989</v>
      </c>
      <c r="L1719" s="5">
        <f t="shared" si="104"/>
        <v>0</v>
      </c>
    </row>
    <row r="1720" spans="9:12" x14ac:dyDescent="0.25">
      <c r="I1720" s="2">
        <v>45549</v>
      </c>
      <c r="J1720" s="3">
        <f>IFERROR(VLOOKUP(I1720,$A$1:$G$1610,3,FALSE),J1719)</f>
        <v>16.559999999999999</v>
      </c>
      <c r="K1720" s="3">
        <f>IFERROR(VLOOKUP(I1720,$A$1:$G$1610,7,FALSE),K1719)</f>
        <v>-0.72663749294182989</v>
      </c>
      <c r="L1720" s="5">
        <f t="shared" si="104"/>
        <v>0</v>
      </c>
    </row>
    <row r="1721" spans="9:12" x14ac:dyDescent="0.25">
      <c r="I1721" s="2">
        <v>45550</v>
      </c>
      <c r="J1721" s="3">
        <f>IFERROR(VLOOKUP(I1721,$A$1:$G$1610,3,FALSE),J1720)</f>
        <v>16.559999999999999</v>
      </c>
      <c r="K1721" s="3">
        <f>IFERROR(VLOOKUP(I1721,$A$1:$G$1610,7,FALSE),K1720)</f>
        <v>-0.72663749294182989</v>
      </c>
      <c r="L1721" s="5">
        <f t="shared" si="104"/>
        <v>0</v>
      </c>
    </row>
    <row r="1722" spans="9:12" x14ac:dyDescent="0.25">
      <c r="I1722" s="2">
        <v>45551</v>
      </c>
      <c r="J1722" s="3">
        <f>IFERROR(VLOOKUP(I1722,$A$1:$G$1610,3,FALSE),J1721)</f>
        <v>17.14</v>
      </c>
      <c r="K1722" s="3">
        <f>IFERROR(VLOOKUP(I1722,$A$1:$G$1610,7,FALSE),K1721)</f>
        <v>-0.60188452851495755</v>
      </c>
      <c r="L1722" s="5">
        <f t="shared" si="104"/>
        <v>0</v>
      </c>
    </row>
    <row r="1723" spans="9:12" x14ac:dyDescent="0.25">
      <c r="I1723" s="2">
        <v>45552</v>
      </c>
      <c r="J1723" s="3">
        <f>IFERROR(VLOOKUP(I1723,$A$1:$G$1610,3,FALSE),J1722)</f>
        <v>17.61</v>
      </c>
      <c r="K1723" s="3">
        <f>IFERROR(VLOOKUP(I1723,$A$1:$G$1610,7,FALSE),K1722)</f>
        <v>-0.57559288537549214</v>
      </c>
      <c r="L1723" s="5">
        <f t="shared" si="104"/>
        <v>0</v>
      </c>
    </row>
    <row r="1724" spans="9:12" x14ac:dyDescent="0.25">
      <c r="I1724" s="2">
        <v>45553</v>
      </c>
      <c r="J1724" s="3">
        <f>IFERROR(VLOOKUP(I1724,$A$1:$G$1610,3,FALSE),J1723)</f>
        <v>18.23</v>
      </c>
      <c r="K1724" s="3">
        <f>IFERROR(VLOOKUP(I1724,$A$1:$G$1610,7,FALSE),K1723)</f>
        <v>-0.86356578204403589</v>
      </c>
      <c r="L1724" s="5">
        <f t="shared" si="104"/>
        <v>0</v>
      </c>
    </row>
    <row r="1725" spans="9:12" x14ac:dyDescent="0.25">
      <c r="I1725" s="2">
        <v>45554</v>
      </c>
      <c r="J1725" s="3">
        <f>IFERROR(VLOOKUP(I1725,$A$1:$G$1610,3,FALSE),J1724)</f>
        <v>16.329999999999998</v>
      </c>
      <c r="K1725" s="3">
        <f>IFERROR(VLOOKUP(I1725,$A$1:$G$1610,7,FALSE),K1724)</f>
        <v>0</v>
      </c>
      <c r="L1725" s="5">
        <f t="shared" si="104"/>
        <v>0</v>
      </c>
    </row>
    <row r="1726" spans="9:12" x14ac:dyDescent="0.25">
      <c r="I1726" s="2">
        <v>45555</v>
      </c>
      <c r="J1726" s="3">
        <f>IFERROR(VLOOKUP(I1726,$A$1:$G$1610,3,FALSE),J1725)</f>
        <v>16.149999999999999</v>
      </c>
      <c r="K1726" s="3">
        <f>IFERROR(VLOOKUP(I1726,$A$1:$G$1610,7,FALSE),K1725)</f>
        <v>-0.19409693295342628</v>
      </c>
      <c r="L1726" s="5">
        <f t="shared" si="104"/>
        <v>0</v>
      </c>
    </row>
    <row r="1727" spans="9:12" x14ac:dyDescent="0.25">
      <c r="I1727" s="2">
        <v>45556</v>
      </c>
      <c r="J1727" s="3">
        <f>IFERROR(VLOOKUP(I1727,$A$1:$G$1610,3,FALSE),J1726)</f>
        <v>16.149999999999999</v>
      </c>
      <c r="K1727" s="3">
        <f>IFERROR(VLOOKUP(I1727,$A$1:$G$1610,7,FALSE),K1726)</f>
        <v>-0.19409693295342628</v>
      </c>
      <c r="L1727" s="5">
        <f t="shared" si="104"/>
        <v>0</v>
      </c>
    </row>
    <row r="1728" spans="9:12" x14ac:dyDescent="0.25">
      <c r="I1728" s="2">
        <v>45557</v>
      </c>
      <c r="J1728" s="3">
        <f>IFERROR(VLOOKUP(I1728,$A$1:$G$1610,3,FALSE),J1727)</f>
        <v>16.149999999999999</v>
      </c>
      <c r="K1728" s="3">
        <f>IFERROR(VLOOKUP(I1728,$A$1:$G$1610,7,FALSE),K1727)</f>
        <v>-0.19409693295342628</v>
      </c>
      <c r="L1728" s="5">
        <f t="shared" si="104"/>
        <v>0</v>
      </c>
    </row>
    <row r="1729" spans="9:12" x14ac:dyDescent="0.25">
      <c r="I1729" s="2">
        <v>45558</v>
      </c>
      <c r="J1729" s="3">
        <f>IFERROR(VLOOKUP(I1729,$A$1:$G$1610,3,FALSE),J1728)</f>
        <v>15.89</v>
      </c>
      <c r="K1729" s="3">
        <f>IFERROR(VLOOKUP(I1729,$A$1:$G$1610,7,FALSE),K1728)</f>
        <v>0</v>
      </c>
      <c r="L1729" s="5">
        <f t="shared" si="104"/>
        <v>0</v>
      </c>
    </row>
    <row r="1730" spans="9:12" x14ac:dyDescent="0.25">
      <c r="I1730" s="2">
        <v>45559</v>
      </c>
      <c r="J1730" s="3">
        <f>IFERROR(VLOOKUP(I1730,$A$1:$G$1610,3,FALSE),J1729)</f>
        <v>15.39</v>
      </c>
      <c r="K1730" s="3">
        <f>IFERROR(VLOOKUP(I1730,$A$1:$G$1610,7,FALSE),K1729)</f>
        <v>0</v>
      </c>
      <c r="L1730" s="5">
        <f t="shared" ref="L1730:L1793" si="105">IF(OR(J1730&gt;=30,K1730&lt;-10),1,0)</f>
        <v>0</v>
      </c>
    </row>
    <row r="1731" spans="9:12" x14ac:dyDescent="0.25">
      <c r="I1731" s="2">
        <v>45560</v>
      </c>
      <c r="J1731" s="3">
        <f>IFERROR(VLOOKUP(I1731,$A$1:$G$1610,3,FALSE),J1730)</f>
        <v>15.41</v>
      </c>
      <c r="K1731" s="3">
        <f>IFERROR(VLOOKUP(I1731,$A$1:$G$1610,7,FALSE),K1730)</f>
        <v>-0.18611774432968956</v>
      </c>
      <c r="L1731" s="5">
        <f t="shared" si="105"/>
        <v>0</v>
      </c>
    </row>
    <row r="1732" spans="9:12" x14ac:dyDescent="0.25">
      <c r="I1732" s="2">
        <v>45561</v>
      </c>
      <c r="J1732" s="3">
        <f>IFERROR(VLOOKUP(I1732,$A$1:$G$1610,3,FALSE),J1731)</f>
        <v>15.37</v>
      </c>
      <c r="K1732" s="3">
        <f>IFERROR(VLOOKUP(I1732,$A$1:$G$1610,7,FALSE),K1731)</f>
        <v>0</v>
      </c>
      <c r="L1732" s="5">
        <f t="shared" si="105"/>
        <v>0</v>
      </c>
    </row>
    <row r="1733" spans="9:12" x14ac:dyDescent="0.25">
      <c r="I1733" s="2">
        <v>45562</v>
      </c>
      <c r="J1733" s="3">
        <f>IFERROR(VLOOKUP(I1733,$A$1:$G$1610,3,FALSE),J1732)</f>
        <v>16.96</v>
      </c>
      <c r="K1733" s="3">
        <f>IFERROR(VLOOKUP(I1733,$A$1:$G$1610,7,FALSE),K1732)</f>
        <v>-0.12531829977877523</v>
      </c>
      <c r="L1733" s="5">
        <f t="shared" si="105"/>
        <v>0</v>
      </c>
    </row>
    <row r="1734" spans="9:12" x14ac:dyDescent="0.25">
      <c r="I1734" s="2">
        <v>45563</v>
      </c>
      <c r="J1734" s="3">
        <f>IFERROR(VLOOKUP(I1734,$A$1:$G$1610,3,FALSE),J1733)</f>
        <v>16.96</v>
      </c>
      <c r="K1734" s="3">
        <f>IFERROR(VLOOKUP(I1734,$A$1:$G$1610,7,FALSE),K1733)</f>
        <v>-0.12531829977877523</v>
      </c>
      <c r="L1734" s="5">
        <f t="shared" si="105"/>
        <v>0</v>
      </c>
    </row>
    <row r="1735" spans="9:12" x14ac:dyDescent="0.25">
      <c r="I1735" s="2">
        <v>45564</v>
      </c>
      <c r="J1735" s="3">
        <f>IFERROR(VLOOKUP(I1735,$A$1:$G$1610,3,FALSE),J1734)</f>
        <v>16.96</v>
      </c>
      <c r="K1735" s="3">
        <f>IFERROR(VLOOKUP(I1735,$A$1:$G$1610,7,FALSE),K1734)</f>
        <v>-0.12531829977877523</v>
      </c>
      <c r="L1735" s="5">
        <f t="shared" si="105"/>
        <v>0</v>
      </c>
    </row>
    <row r="1736" spans="9:12" x14ac:dyDescent="0.25">
      <c r="I1736" s="2">
        <v>45565</v>
      </c>
      <c r="J1736" s="3">
        <f>IFERROR(VLOOKUP(I1736,$A$1:$G$1610,3,FALSE),J1735)</f>
        <v>16.73</v>
      </c>
      <c r="K1736" s="3">
        <f>IFERROR(VLOOKUP(I1736,$A$1:$G$1610,7,FALSE),K1735)</f>
        <v>0</v>
      </c>
      <c r="L1736" s="5">
        <f t="shared" si="105"/>
        <v>0</v>
      </c>
    </row>
    <row r="1737" spans="9:12" x14ac:dyDescent="0.25">
      <c r="I1737" s="2">
        <v>45566</v>
      </c>
      <c r="J1737" s="3">
        <f>IFERROR(VLOOKUP(I1737,$A$1:$G$1610,3,FALSE),J1736)</f>
        <v>19.260000000000002</v>
      </c>
      <c r="K1737" s="3">
        <f>IFERROR(VLOOKUP(I1737,$A$1:$G$1610,7,FALSE),K1736)</f>
        <v>-0.9324110452444011</v>
      </c>
      <c r="L1737" s="5">
        <f t="shared" si="105"/>
        <v>0</v>
      </c>
    </row>
    <row r="1738" spans="9:12" x14ac:dyDescent="0.25">
      <c r="I1738" s="2">
        <v>45567</v>
      </c>
      <c r="J1738" s="3">
        <f>IFERROR(VLOOKUP(I1738,$A$1:$G$1610,3,FALSE),J1737)</f>
        <v>18.899999999999999</v>
      </c>
      <c r="K1738" s="3">
        <f>IFERROR(VLOOKUP(I1738,$A$1:$G$1610,7,FALSE),K1737)</f>
        <v>-0.91870167011424952</v>
      </c>
      <c r="L1738" s="5">
        <f t="shared" si="105"/>
        <v>0</v>
      </c>
    </row>
    <row r="1739" spans="9:12" x14ac:dyDescent="0.25">
      <c r="I1739" s="2">
        <v>45568</v>
      </c>
      <c r="J1739" s="3">
        <f>IFERROR(VLOOKUP(I1739,$A$1:$G$1610,3,FALSE),J1738)</f>
        <v>20.49</v>
      </c>
      <c r="K1739" s="3">
        <f>IFERROR(VLOOKUP(I1739,$A$1:$G$1610,7,FALSE),K1738)</f>
        <v>-1.0852966084047142</v>
      </c>
      <c r="L1739" s="5">
        <f t="shared" si="105"/>
        <v>0</v>
      </c>
    </row>
    <row r="1740" spans="9:12" x14ac:dyDescent="0.25">
      <c r="I1740" s="2">
        <v>45569</v>
      </c>
      <c r="J1740" s="3">
        <f>IFERROR(VLOOKUP(I1740,$A$1:$G$1610,3,FALSE),J1739)</f>
        <v>19.21</v>
      </c>
      <c r="K1740" s="3">
        <f>IFERROR(VLOOKUP(I1740,$A$1:$G$1610,7,FALSE),K1739)</f>
        <v>-0.19800502561396924</v>
      </c>
      <c r="L1740" s="5">
        <f t="shared" si="105"/>
        <v>0</v>
      </c>
    </row>
    <row r="1741" spans="9:12" x14ac:dyDescent="0.25">
      <c r="I1741" s="2">
        <v>45570</v>
      </c>
      <c r="J1741" s="3">
        <f>IFERROR(VLOOKUP(I1741,$A$1:$G$1610,3,FALSE),J1740)</f>
        <v>19.21</v>
      </c>
      <c r="K1741" s="3">
        <f>IFERROR(VLOOKUP(I1741,$A$1:$G$1610,7,FALSE),K1740)</f>
        <v>-0.19800502561396924</v>
      </c>
      <c r="L1741" s="5">
        <f t="shared" si="105"/>
        <v>0</v>
      </c>
    </row>
    <row r="1742" spans="9:12" x14ac:dyDescent="0.25">
      <c r="I1742" s="2">
        <v>45571</v>
      </c>
      <c r="J1742" s="3">
        <f>IFERROR(VLOOKUP(I1742,$A$1:$G$1610,3,FALSE),J1741)</f>
        <v>19.21</v>
      </c>
      <c r="K1742" s="3">
        <f>IFERROR(VLOOKUP(I1742,$A$1:$G$1610,7,FALSE),K1741)</f>
        <v>-0.19800502561396924</v>
      </c>
      <c r="L1742" s="5">
        <f t="shared" si="105"/>
        <v>0</v>
      </c>
    </row>
    <row r="1743" spans="9:12" x14ac:dyDescent="0.25">
      <c r="I1743" s="2">
        <v>45572</v>
      </c>
      <c r="J1743" s="3">
        <f>IFERROR(VLOOKUP(I1743,$A$1:$G$1610,3,FALSE),J1742)</f>
        <v>22.64</v>
      </c>
      <c r="K1743" s="3">
        <f>IFERROR(VLOOKUP(I1743,$A$1:$G$1610,7,FALSE),K1742)</f>
        <v>-1.1547111660257383</v>
      </c>
      <c r="L1743" s="5">
        <f t="shared" si="105"/>
        <v>0</v>
      </c>
    </row>
    <row r="1744" spans="9:12" x14ac:dyDescent="0.25">
      <c r="I1744" s="2">
        <v>45573</v>
      </c>
      <c r="J1744" s="3">
        <f>IFERROR(VLOOKUP(I1744,$A$1:$G$1610,3,FALSE),J1743)</f>
        <v>21.42</v>
      </c>
      <c r="K1744" s="3">
        <f>IFERROR(VLOOKUP(I1744,$A$1:$G$1610,7,FALSE),K1743)</f>
        <v>-0.19696380724964693</v>
      </c>
      <c r="L1744" s="5">
        <f t="shared" si="105"/>
        <v>0</v>
      </c>
    </row>
    <row r="1745" spans="9:12" x14ac:dyDescent="0.25">
      <c r="I1745" s="2">
        <v>45574</v>
      </c>
      <c r="J1745" s="3">
        <f>IFERROR(VLOOKUP(I1745,$A$1:$G$1610,3,FALSE),J1744)</f>
        <v>20.86</v>
      </c>
      <c r="K1745" s="3">
        <f>IFERROR(VLOOKUP(I1745,$A$1:$G$1610,7,FALSE),K1744)</f>
        <v>0</v>
      </c>
      <c r="L1745" s="5">
        <f t="shared" si="105"/>
        <v>0</v>
      </c>
    </row>
    <row r="1746" spans="9:12" x14ac:dyDescent="0.25">
      <c r="I1746" s="2">
        <v>45575</v>
      </c>
      <c r="J1746" s="3">
        <f>IFERROR(VLOOKUP(I1746,$A$1:$G$1610,3,FALSE),J1745)</f>
        <v>20.93</v>
      </c>
      <c r="K1746" s="3">
        <f>IFERROR(VLOOKUP(I1746,$A$1:$G$1610,7,FALSE),K1745)</f>
        <v>-0.20700823889337402</v>
      </c>
      <c r="L1746" s="5">
        <f t="shared" si="105"/>
        <v>0</v>
      </c>
    </row>
    <row r="1747" spans="9:12" x14ac:dyDescent="0.25">
      <c r="I1747" s="2">
        <v>45576</v>
      </c>
      <c r="J1747" s="3">
        <f>IFERROR(VLOOKUP(I1747,$A$1:$G$1610,3,FALSE),J1746)</f>
        <v>20.46</v>
      </c>
      <c r="K1747" s="3">
        <f>IFERROR(VLOOKUP(I1747,$A$1:$G$1610,7,FALSE),K1746)</f>
        <v>0</v>
      </c>
      <c r="L1747" s="5">
        <f t="shared" si="105"/>
        <v>0</v>
      </c>
    </row>
    <row r="1748" spans="9:12" x14ac:dyDescent="0.25">
      <c r="I1748" s="2">
        <v>45577</v>
      </c>
      <c r="J1748" s="3">
        <f>IFERROR(VLOOKUP(I1748,$A$1:$G$1610,3,FALSE),J1747)</f>
        <v>20.46</v>
      </c>
      <c r="K1748" s="3">
        <f>IFERROR(VLOOKUP(I1748,$A$1:$G$1610,7,FALSE),K1747)</f>
        <v>0</v>
      </c>
      <c r="L1748" s="5">
        <f t="shared" si="105"/>
        <v>0</v>
      </c>
    </row>
    <row r="1749" spans="9:12" x14ac:dyDescent="0.25">
      <c r="I1749" s="2">
        <v>45578</v>
      </c>
      <c r="J1749" s="3">
        <f>IFERROR(VLOOKUP(I1749,$A$1:$G$1610,3,FALSE),J1748)</f>
        <v>20.46</v>
      </c>
      <c r="K1749" s="3">
        <f>IFERROR(VLOOKUP(I1749,$A$1:$G$1610,7,FALSE),K1748)</f>
        <v>0</v>
      </c>
      <c r="L1749" s="5">
        <f t="shared" si="105"/>
        <v>0</v>
      </c>
    </row>
    <row r="1750" spans="9:12" x14ac:dyDescent="0.25">
      <c r="I1750" s="2">
        <v>45579</v>
      </c>
      <c r="J1750" s="3">
        <f>IFERROR(VLOOKUP(I1750,$A$1:$G$1610,3,FALSE),J1749)</f>
        <v>19.7</v>
      </c>
      <c r="K1750" s="3">
        <f>IFERROR(VLOOKUP(I1750,$A$1:$G$1610,7,FALSE),K1749)</f>
        <v>0</v>
      </c>
      <c r="L1750" s="5">
        <f t="shared" si="105"/>
        <v>0</v>
      </c>
    </row>
    <row r="1751" spans="9:12" x14ac:dyDescent="0.25">
      <c r="I1751" s="2">
        <v>45580</v>
      </c>
      <c r="J1751" s="3">
        <f>IFERROR(VLOOKUP(I1751,$A$1:$G$1610,3,FALSE),J1750)</f>
        <v>20.64</v>
      </c>
      <c r="K1751" s="3">
        <f>IFERROR(VLOOKUP(I1751,$A$1:$G$1610,7,FALSE),K1750)</f>
        <v>-0.7609409797179133</v>
      </c>
      <c r="L1751" s="5">
        <f t="shared" si="105"/>
        <v>0</v>
      </c>
    </row>
    <row r="1752" spans="9:12" x14ac:dyDescent="0.25">
      <c r="I1752" s="2">
        <v>45581</v>
      </c>
      <c r="J1752" s="3">
        <f>IFERROR(VLOOKUP(I1752,$A$1:$G$1610,3,FALSE),J1751)</f>
        <v>19.579999999999998</v>
      </c>
      <c r="K1752" s="3">
        <f>IFERROR(VLOOKUP(I1752,$A$1:$G$1610,7,FALSE),K1751)</f>
        <v>-0.29659462272925263</v>
      </c>
      <c r="L1752" s="5">
        <f t="shared" si="105"/>
        <v>0</v>
      </c>
    </row>
    <row r="1753" spans="9:12" x14ac:dyDescent="0.25">
      <c r="I1753" s="2">
        <v>45582</v>
      </c>
      <c r="J1753" s="3">
        <f>IFERROR(VLOOKUP(I1753,$A$1:$G$1610,3,FALSE),J1752)</f>
        <v>19.11</v>
      </c>
      <c r="K1753" s="3">
        <f>IFERROR(VLOOKUP(I1753,$A$1:$G$1610,7,FALSE),K1752)</f>
        <v>-0.3136599059702912</v>
      </c>
      <c r="L1753" s="5">
        <f t="shared" si="105"/>
        <v>0</v>
      </c>
    </row>
    <row r="1754" spans="9:12" x14ac:dyDescent="0.25">
      <c r="I1754" s="2">
        <v>45583</v>
      </c>
      <c r="J1754" s="3">
        <f>IFERROR(VLOOKUP(I1754,$A$1:$G$1610,3,FALSE),J1753)</f>
        <v>18.03</v>
      </c>
      <c r="K1754" s="3">
        <f>IFERROR(VLOOKUP(I1754,$A$1:$G$1610,7,FALSE),K1753)</f>
        <v>0</v>
      </c>
      <c r="L1754" s="5">
        <f t="shared" si="105"/>
        <v>0</v>
      </c>
    </row>
    <row r="1755" spans="9:12" x14ac:dyDescent="0.25">
      <c r="I1755" s="2">
        <v>45584</v>
      </c>
      <c r="J1755" s="3">
        <f>IFERROR(VLOOKUP(I1755,$A$1:$G$1610,3,FALSE),J1754)</f>
        <v>18.03</v>
      </c>
      <c r="K1755" s="3">
        <f>IFERROR(VLOOKUP(I1755,$A$1:$G$1610,7,FALSE),K1754)</f>
        <v>0</v>
      </c>
      <c r="L1755" s="5">
        <f t="shared" si="105"/>
        <v>0</v>
      </c>
    </row>
    <row r="1756" spans="9:12" x14ac:dyDescent="0.25">
      <c r="I1756" s="2">
        <v>45585</v>
      </c>
      <c r="J1756" s="3">
        <f>IFERROR(VLOOKUP(I1756,$A$1:$G$1610,3,FALSE),J1755)</f>
        <v>18.03</v>
      </c>
      <c r="K1756" s="3">
        <f>IFERROR(VLOOKUP(I1756,$A$1:$G$1610,7,FALSE),K1755)</f>
        <v>0</v>
      </c>
      <c r="L1756" s="5">
        <f t="shared" si="105"/>
        <v>0</v>
      </c>
    </row>
    <row r="1757" spans="9:12" x14ac:dyDescent="0.25">
      <c r="I1757" s="2">
        <v>45586</v>
      </c>
      <c r="J1757" s="3">
        <f>IFERROR(VLOOKUP(I1757,$A$1:$G$1610,3,FALSE),J1756)</f>
        <v>18.37</v>
      </c>
      <c r="K1757" s="3">
        <f>IFERROR(VLOOKUP(I1757,$A$1:$G$1610,7,FALSE),K1756)</f>
        <v>-0.18227794573267567</v>
      </c>
      <c r="L1757" s="5">
        <f t="shared" si="105"/>
        <v>0</v>
      </c>
    </row>
    <row r="1758" spans="9:12" x14ac:dyDescent="0.25">
      <c r="I1758" s="2">
        <v>45587</v>
      </c>
      <c r="J1758" s="3">
        <f>IFERROR(VLOOKUP(I1758,$A$1:$G$1610,3,FALSE),J1757)</f>
        <v>18.2</v>
      </c>
      <c r="K1758" s="3">
        <f>IFERROR(VLOOKUP(I1758,$A$1:$G$1610,7,FALSE),K1757)</f>
        <v>-0.22968044237783636</v>
      </c>
      <c r="L1758" s="5">
        <f t="shared" si="105"/>
        <v>0</v>
      </c>
    </row>
    <row r="1759" spans="9:12" x14ac:dyDescent="0.25">
      <c r="I1759" s="2">
        <v>45588</v>
      </c>
      <c r="J1759" s="3">
        <f>IFERROR(VLOOKUP(I1759,$A$1:$G$1610,3,FALSE),J1758)</f>
        <v>19.239999999999998</v>
      </c>
      <c r="K1759" s="3">
        <f>IFERROR(VLOOKUP(I1759,$A$1:$G$1610,7,FALSE),K1758)</f>
        <v>-1.146697086110557</v>
      </c>
      <c r="L1759" s="5">
        <f t="shared" si="105"/>
        <v>0</v>
      </c>
    </row>
    <row r="1760" spans="9:12" x14ac:dyDescent="0.25">
      <c r="I1760" s="2">
        <v>45589</v>
      </c>
      <c r="J1760" s="3">
        <f>IFERROR(VLOOKUP(I1760,$A$1:$G$1610,3,FALSE),J1759)</f>
        <v>19.079999999999998</v>
      </c>
      <c r="K1760" s="3">
        <f>IFERROR(VLOOKUP(I1760,$A$1:$G$1610,7,FALSE),K1759)</f>
        <v>-0.93457943925234332</v>
      </c>
      <c r="L1760" s="5">
        <f t="shared" si="105"/>
        <v>0</v>
      </c>
    </row>
    <row r="1761" spans="9:12" x14ac:dyDescent="0.25">
      <c r="I1761" s="2">
        <v>45590</v>
      </c>
      <c r="J1761" s="3">
        <f>IFERROR(VLOOKUP(I1761,$A$1:$G$1610,3,FALSE),J1760)</f>
        <v>20.329999999999998</v>
      </c>
      <c r="K1761" s="3">
        <f>IFERROR(VLOOKUP(I1761,$A$1:$G$1610,7,FALSE),K1760)</f>
        <v>-0.96424862780003284</v>
      </c>
      <c r="L1761" s="5">
        <f t="shared" si="105"/>
        <v>0</v>
      </c>
    </row>
    <row r="1762" spans="9:12" x14ac:dyDescent="0.25">
      <c r="I1762" s="2">
        <v>45591</v>
      </c>
      <c r="J1762" s="3">
        <f>IFERROR(VLOOKUP(I1762,$A$1:$G$1610,3,FALSE),J1761)</f>
        <v>20.329999999999998</v>
      </c>
      <c r="K1762" s="3">
        <f>IFERROR(VLOOKUP(I1762,$A$1:$G$1610,7,FALSE),K1761)</f>
        <v>-0.96424862780003284</v>
      </c>
      <c r="L1762" s="5">
        <f t="shared" si="105"/>
        <v>0</v>
      </c>
    </row>
    <row r="1763" spans="9:12" x14ac:dyDescent="0.25">
      <c r="I1763" s="2">
        <v>45592</v>
      </c>
      <c r="J1763" s="3">
        <f>IFERROR(VLOOKUP(I1763,$A$1:$G$1610,3,FALSE),J1762)</f>
        <v>20.329999999999998</v>
      </c>
      <c r="K1763" s="3">
        <f>IFERROR(VLOOKUP(I1763,$A$1:$G$1610,7,FALSE),K1762)</f>
        <v>-0.96424862780003284</v>
      </c>
      <c r="L1763" s="5">
        <f t="shared" si="105"/>
        <v>0</v>
      </c>
    </row>
    <row r="1764" spans="9:12" x14ac:dyDescent="0.25">
      <c r="I1764" s="2">
        <v>45593</v>
      </c>
      <c r="J1764" s="3">
        <f>IFERROR(VLOOKUP(I1764,$A$1:$G$1610,3,FALSE),J1763)</f>
        <v>19.8</v>
      </c>
      <c r="K1764" s="3">
        <f>IFERROR(VLOOKUP(I1764,$A$1:$G$1610,7,FALSE),K1763)</f>
        <v>-0.70165925789515238</v>
      </c>
      <c r="L1764" s="5">
        <f t="shared" si="105"/>
        <v>0</v>
      </c>
    </row>
    <row r="1765" spans="9:12" x14ac:dyDescent="0.25">
      <c r="I1765" s="2">
        <v>45594</v>
      </c>
      <c r="J1765" s="3">
        <f>IFERROR(VLOOKUP(I1765,$A$1:$G$1610,3,FALSE),J1764)</f>
        <v>19.34</v>
      </c>
      <c r="K1765" s="3">
        <f>IFERROR(VLOOKUP(I1765,$A$1:$G$1610,7,FALSE),K1764)</f>
        <v>-0.54137743470647104</v>
      </c>
      <c r="L1765" s="5">
        <f t="shared" si="105"/>
        <v>0</v>
      </c>
    </row>
    <row r="1766" spans="9:12" x14ac:dyDescent="0.25">
      <c r="I1766" s="2">
        <v>45595</v>
      </c>
      <c r="J1766" s="3">
        <f>IFERROR(VLOOKUP(I1766,$A$1:$G$1610,3,FALSE),J1765)</f>
        <v>20.350000000000001</v>
      </c>
      <c r="K1766" s="3">
        <f>IFERROR(VLOOKUP(I1766,$A$1:$G$1610,7,FALSE),K1765)</f>
        <v>-0.8696141470875598</v>
      </c>
      <c r="L1766" s="5">
        <f t="shared" si="105"/>
        <v>0</v>
      </c>
    </row>
    <row r="1767" spans="9:12" x14ac:dyDescent="0.25">
      <c r="I1767" s="2">
        <v>45596</v>
      </c>
      <c r="J1767" s="3">
        <f>IFERROR(VLOOKUP(I1767,$A$1:$G$1610,3,FALSE),J1766)</f>
        <v>23.16</v>
      </c>
      <c r="K1767" s="3">
        <f>IFERROR(VLOOKUP(I1767,$A$1:$G$1610,7,FALSE),K1766)</f>
        <v>-2.7149012646917945</v>
      </c>
      <c r="L1767" s="5">
        <f t="shared" si="105"/>
        <v>0</v>
      </c>
    </row>
    <row r="1768" spans="9:12" x14ac:dyDescent="0.25">
      <c r="I1768" s="2">
        <v>45597</v>
      </c>
      <c r="J1768" s="3">
        <f>IFERROR(VLOOKUP(I1768,$A$1:$G$1610,3,FALSE),J1767)</f>
        <v>21.88</v>
      </c>
      <c r="K1768" s="3">
        <f>IFERROR(VLOOKUP(I1768,$A$1:$G$1610,7,FALSE),K1767)</f>
        <v>-2.3167543953879739</v>
      </c>
      <c r="L1768" s="5">
        <f t="shared" si="105"/>
        <v>0</v>
      </c>
    </row>
    <row r="1769" spans="9:12" x14ac:dyDescent="0.25">
      <c r="I1769" s="2">
        <v>45598</v>
      </c>
      <c r="J1769" s="3">
        <f>IFERROR(VLOOKUP(I1769,$A$1:$G$1610,3,FALSE),J1768)</f>
        <v>21.88</v>
      </c>
      <c r="K1769" s="3">
        <f>IFERROR(VLOOKUP(I1769,$A$1:$G$1610,7,FALSE),K1768)</f>
        <v>-2.3167543953879739</v>
      </c>
      <c r="L1769" s="5">
        <f t="shared" si="105"/>
        <v>0</v>
      </c>
    </row>
    <row r="1770" spans="9:12" x14ac:dyDescent="0.25">
      <c r="I1770" s="2">
        <v>45599</v>
      </c>
      <c r="J1770" s="3">
        <f>IFERROR(VLOOKUP(I1770,$A$1:$G$1610,3,FALSE),J1769)</f>
        <v>21.88</v>
      </c>
      <c r="K1770" s="3">
        <f>IFERROR(VLOOKUP(I1770,$A$1:$G$1610,7,FALSE),K1769)</f>
        <v>-2.3167543953879739</v>
      </c>
      <c r="L1770" s="5">
        <f t="shared" si="105"/>
        <v>0</v>
      </c>
    </row>
    <row r="1771" spans="9:12" x14ac:dyDescent="0.25">
      <c r="I1771" s="2">
        <v>45600</v>
      </c>
      <c r="J1771" s="3">
        <f>IFERROR(VLOOKUP(I1771,$A$1:$G$1610,3,FALSE),J1770)</f>
        <v>21.98</v>
      </c>
      <c r="K1771" s="3">
        <f>IFERROR(VLOOKUP(I1771,$A$1:$G$1610,7,FALSE),K1770)</f>
        <v>-2.5914501583209364</v>
      </c>
      <c r="L1771" s="5">
        <f t="shared" si="105"/>
        <v>0</v>
      </c>
    </row>
    <row r="1772" spans="9:12" x14ac:dyDescent="0.25">
      <c r="I1772" s="2">
        <v>45601</v>
      </c>
      <c r="J1772" s="3">
        <f>IFERROR(VLOOKUP(I1772,$A$1:$G$1610,3,FALSE),J1771)</f>
        <v>20.49</v>
      </c>
      <c r="K1772" s="3">
        <f>IFERROR(VLOOKUP(I1772,$A$1:$G$1610,7,FALSE),K1771)</f>
        <v>-1.3966685252537629</v>
      </c>
      <c r="L1772" s="5">
        <f t="shared" si="105"/>
        <v>0</v>
      </c>
    </row>
    <row r="1773" spans="9:12" x14ac:dyDescent="0.25">
      <c r="I1773" s="2">
        <v>45602</v>
      </c>
      <c r="J1773" s="3">
        <f>IFERROR(VLOOKUP(I1773,$A$1:$G$1610,3,FALSE),J1772)</f>
        <v>16.27</v>
      </c>
      <c r="K1773" s="3">
        <f>IFERROR(VLOOKUP(I1773,$A$1:$G$1610,7,FALSE),K1772)</f>
        <v>0</v>
      </c>
      <c r="L1773" s="5">
        <f t="shared" si="105"/>
        <v>0</v>
      </c>
    </row>
    <row r="1774" spans="9:12" x14ac:dyDescent="0.25">
      <c r="I1774" s="2">
        <v>45603</v>
      </c>
      <c r="J1774" s="3">
        <f>IFERROR(VLOOKUP(I1774,$A$1:$G$1610,3,FALSE),J1773)</f>
        <v>15.2</v>
      </c>
      <c r="K1774" s="3">
        <f>IFERROR(VLOOKUP(I1774,$A$1:$G$1610,7,FALSE),K1773)</f>
        <v>0</v>
      </c>
      <c r="L1774" s="5">
        <f t="shared" si="105"/>
        <v>0</v>
      </c>
    </row>
    <row r="1775" spans="9:12" x14ac:dyDescent="0.25">
      <c r="I1775" s="2">
        <v>45604</v>
      </c>
      <c r="J1775" s="3">
        <f>IFERROR(VLOOKUP(I1775,$A$1:$G$1610,3,FALSE),J1774)</f>
        <v>14.94</v>
      </c>
      <c r="K1775" s="3">
        <f>IFERROR(VLOOKUP(I1775,$A$1:$G$1610,7,FALSE),K1774)</f>
        <v>0</v>
      </c>
      <c r="L1775" s="5">
        <f t="shared" si="105"/>
        <v>0</v>
      </c>
    </row>
    <row r="1776" spans="9:12" x14ac:dyDescent="0.25">
      <c r="I1776" s="2">
        <v>45605</v>
      </c>
      <c r="J1776" s="3">
        <f>IFERROR(VLOOKUP(I1776,$A$1:$G$1610,3,FALSE),J1775)</f>
        <v>14.94</v>
      </c>
      <c r="K1776" s="3">
        <f>IFERROR(VLOOKUP(I1776,$A$1:$G$1610,7,FALSE),K1775)</f>
        <v>0</v>
      </c>
      <c r="L1776" s="5">
        <f t="shared" si="105"/>
        <v>0</v>
      </c>
    </row>
    <row r="1777" spans="9:12" x14ac:dyDescent="0.25">
      <c r="I1777" s="2">
        <v>45606</v>
      </c>
      <c r="J1777" s="3">
        <f>IFERROR(VLOOKUP(I1777,$A$1:$G$1610,3,FALSE),J1776)</f>
        <v>14.94</v>
      </c>
      <c r="K1777" s="3">
        <f>IFERROR(VLOOKUP(I1777,$A$1:$G$1610,7,FALSE),K1776)</f>
        <v>0</v>
      </c>
      <c r="L1777" s="5">
        <f t="shared" si="105"/>
        <v>0</v>
      </c>
    </row>
    <row r="1778" spans="9:12" x14ac:dyDescent="0.25">
      <c r="I1778" s="2">
        <v>45607</v>
      </c>
      <c r="J1778" s="3">
        <f>IFERROR(VLOOKUP(I1778,$A$1:$G$1610,3,FALSE),J1777)</f>
        <v>14.97</v>
      </c>
      <c r="K1778" s="3">
        <f>IFERROR(VLOOKUP(I1778,$A$1:$G$1610,7,FALSE),K1777)</f>
        <v>0</v>
      </c>
      <c r="L1778" s="5">
        <f t="shared" si="105"/>
        <v>0</v>
      </c>
    </row>
    <row r="1779" spans="9:12" x14ac:dyDescent="0.25">
      <c r="I1779" s="2">
        <v>45608</v>
      </c>
      <c r="J1779" s="3">
        <f>IFERROR(VLOOKUP(I1779,$A$1:$G$1610,3,FALSE),J1778)</f>
        <v>14.71</v>
      </c>
      <c r="K1779" s="3">
        <f>IFERROR(VLOOKUP(I1779,$A$1:$G$1610,7,FALSE),K1778)</f>
        <v>-0.28926824797754808</v>
      </c>
      <c r="L1779" s="5">
        <f t="shared" si="105"/>
        <v>0</v>
      </c>
    </row>
    <row r="1780" spans="9:12" x14ac:dyDescent="0.25">
      <c r="I1780" s="2">
        <v>45609</v>
      </c>
      <c r="J1780" s="3">
        <f>IFERROR(VLOOKUP(I1780,$A$1:$G$1610,3,FALSE),J1779)</f>
        <v>14.02</v>
      </c>
      <c r="K1780" s="3">
        <f>IFERROR(VLOOKUP(I1780,$A$1:$G$1610,7,FALSE),K1779)</f>
        <v>-0.26610679263832726</v>
      </c>
      <c r="L1780" s="5">
        <f t="shared" si="105"/>
        <v>0</v>
      </c>
    </row>
    <row r="1781" spans="9:12" x14ac:dyDescent="0.25">
      <c r="I1781" s="2">
        <v>45610</v>
      </c>
      <c r="J1781" s="3">
        <f>IFERROR(VLOOKUP(I1781,$A$1:$G$1610,3,FALSE),J1780)</f>
        <v>14.31</v>
      </c>
      <c r="K1781" s="3">
        <f>IFERROR(VLOOKUP(I1781,$A$1:$G$1610,7,FALSE),K1780)</f>
        <v>-0.86947103568364259</v>
      </c>
      <c r="L1781" s="5">
        <f t="shared" si="105"/>
        <v>0</v>
      </c>
    </row>
    <row r="1782" spans="9:12" x14ac:dyDescent="0.25">
      <c r="I1782" s="2">
        <v>45611</v>
      </c>
      <c r="J1782" s="3">
        <f>IFERROR(VLOOKUP(I1782,$A$1:$G$1610,3,FALSE),J1781)</f>
        <v>16.14</v>
      </c>
      <c r="K1782" s="3">
        <f>IFERROR(VLOOKUP(I1782,$A$1:$G$1610,7,FALSE),K1781)</f>
        <v>-2.1783432061119661</v>
      </c>
      <c r="L1782" s="5">
        <f t="shared" si="105"/>
        <v>0</v>
      </c>
    </row>
    <row r="1783" spans="9:12" x14ac:dyDescent="0.25">
      <c r="I1783" s="2">
        <v>45612</v>
      </c>
      <c r="J1783" s="3">
        <f>IFERROR(VLOOKUP(I1783,$A$1:$G$1610,3,FALSE),J1782)</f>
        <v>16.14</v>
      </c>
      <c r="K1783" s="3">
        <f>IFERROR(VLOOKUP(I1783,$A$1:$G$1610,7,FALSE),K1782)</f>
        <v>-2.1783432061119661</v>
      </c>
      <c r="L1783" s="5">
        <f t="shared" si="105"/>
        <v>0</v>
      </c>
    </row>
    <row r="1784" spans="9:12" x14ac:dyDescent="0.25">
      <c r="I1784" s="2">
        <v>45613</v>
      </c>
      <c r="J1784" s="3">
        <f>IFERROR(VLOOKUP(I1784,$A$1:$G$1610,3,FALSE),J1783)</f>
        <v>16.14</v>
      </c>
      <c r="K1784" s="3">
        <f>IFERROR(VLOOKUP(I1784,$A$1:$G$1610,7,FALSE),K1783)</f>
        <v>-2.1783432061119661</v>
      </c>
      <c r="L1784" s="5">
        <f t="shared" si="105"/>
        <v>0</v>
      </c>
    </row>
    <row r="1785" spans="9:12" x14ac:dyDescent="0.25">
      <c r="I1785" s="2">
        <v>45614</v>
      </c>
      <c r="J1785" s="3">
        <f>IFERROR(VLOOKUP(I1785,$A$1:$G$1610,3,FALSE),J1784)</f>
        <v>15.58</v>
      </c>
      <c r="K1785" s="3">
        <f>IFERROR(VLOOKUP(I1785,$A$1:$G$1610,7,FALSE),K1784)</f>
        <v>-1.7950961033767481</v>
      </c>
      <c r="L1785" s="5">
        <f t="shared" si="105"/>
        <v>0</v>
      </c>
    </row>
    <row r="1786" spans="9:12" x14ac:dyDescent="0.25">
      <c r="I1786" s="2">
        <v>45615</v>
      </c>
      <c r="J1786" s="3">
        <f>IFERROR(VLOOKUP(I1786,$A$1:$G$1610,3,FALSE),J1785)</f>
        <v>16.350000000000001</v>
      </c>
      <c r="K1786" s="3">
        <f>IFERROR(VLOOKUP(I1786,$A$1:$G$1610,7,FALSE),K1785)</f>
        <v>-1.4058503503378539</v>
      </c>
      <c r="L1786" s="5">
        <f t="shared" si="105"/>
        <v>0</v>
      </c>
    </row>
    <row r="1787" spans="9:12" x14ac:dyDescent="0.25">
      <c r="I1787" s="2">
        <v>45616</v>
      </c>
      <c r="J1787" s="3">
        <f>IFERROR(VLOOKUP(I1787,$A$1:$G$1610,3,FALSE),J1786)</f>
        <v>17.16</v>
      </c>
      <c r="K1787" s="3">
        <f>IFERROR(VLOOKUP(I1787,$A$1:$G$1610,7,FALSE),K1786)</f>
        <v>-1.4036841710615227</v>
      </c>
      <c r="L1787" s="5">
        <f t="shared" si="105"/>
        <v>0</v>
      </c>
    </row>
    <row r="1788" spans="9:12" x14ac:dyDescent="0.25">
      <c r="I1788" s="2">
        <v>45617</v>
      </c>
      <c r="J1788" s="3">
        <f>IFERROR(VLOOKUP(I1788,$A$1:$G$1610,3,FALSE),J1787)</f>
        <v>16.87</v>
      </c>
      <c r="K1788" s="3">
        <f>IFERROR(VLOOKUP(I1788,$A$1:$G$1610,7,FALSE),K1787)</f>
        <v>-0.87713597773834762</v>
      </c>
      <c r="L1788" s="5">
        <f t="shared" si="105"/>
        <v>0</v>
      </c>
    </row>
    <row r="1789" spans="9:12" x14ac:dyDescent="0.25">
      <c r="I1789" s="2">
        <v>45618</v>
      </c>
      <c r="J1789" s="3">
        <f>IFERROR(VLOOKUP(I1789,$A$1:$G$1610,3,FALSE),J1788)</f>
        <v>15.24</v>
      </c>
      <c r="K1789" s="3">
        <f>IFERROR(VLOOKUP(I1789,$A$1:$G$1610,7,FALSE),K1788)</f>
        <v>-0.53337998950236565</v>
      </c>
      <c r="L1789" s="5">
        <f t="shared" si="105"/>
        <v>0</v>
      </c>
    </row>
    <row r="1790" spans="9:12" x14ac:dyDescent="0.25">
      <c r="I1790" s="2">
        <v>45619</v>
      </c>
      <c r="J1790" s="3">
        <f>IFERROR(VLOOKUP(I1790,$A$1:$G$1610,3,FALSE),J1789)</f>
        <v>15.24</v>
      </c>
      <c r="K1790" s="3">
        <f>IFERROR(VLOOKUP(I1790,$A$1:$G$1610,7,FALSE),K1789)</f>
        <v>-0.53337998950236565</v>
      </c>
      <c r="L1790" s="5">
        <f t="shared" si="105"/>
        <v>0</v>
      </c>
    </row>
    <row r="1791" spans="9:12" x14ac:dyDescent="0.25">
      <c r="I1791" s="2">
        <v>45620</v>
      </c>
      <c r="J1791" s="3">
        <f>IFERROR(VLOOKUP(I1791,$A$1:$G$1610,3,FALSE),J1790)</f>
        <v>15.24</v>
      </c>
      <c r="K1791" s="3">
        <f>IFERROR(VLOOKUP(I1791,$A$1:$G$1610,7,FALSE),K1790)</f>
        <v>-0.53337998950236565</v>
      </c>
      <c r="L1791" s="5">
        <f t="shared" si="105"/>
        <v>0</v>
      </c>
    </row>
    <row r="1792" spans="9:12" x14ac:dyDescent="0.25">
      <c r="I1792" s="2">
        <v>45621</v>
      </c>
      <c r="J1792" s="3">
        <f>IFERROR(VLOOKUP(I1792,$A$1:$G$1610,3,FALSE),J1791)</f>
        <v>14.6</v>
      </c>
      <c r="K1792" s="3">
        <f>IFERROR(VLOOKUP(I1792,$A$1:$G$1610,7,FALSE),K1791)</f>
        <v>-0.23294758679297944</v>
      </c>
      <c r="L1792" s="5">
        <f t="shared" si="105"/>
        <v>0</v>
      </c>
    </row>
    <row r="1793" spans="9:12" x14ac:dyDescent="0.25">
      <c r="I1793" s="2">
        <v>45622</v>
      </c>
      <c r="J1793" s="3">
        <f>IFERROR(VLOOKUP(I1793,$A$1:$G$1610,3,FALSE),J1792)</f>
        <v>14.1</v>
      </c>
      <c r="K1793" s="3">
        <f>IFERROR(VLOOKUP(I1793,$A$1:$G$1610,7,FALSE),K1792)</f>
        <v>0</v>
      </c>
      <c r="L1793" s="5">
        <f t="shared" si="105"/>
        <v>0</v>
      </c>
    </row>
    <row r="1794" spans="9:12" x14ac:dyDescent="0.25">
      <c r="I1794" s="2">
        <v>45623</v>
      </c>
      <c r="J1794" s="3">
        <f>IFERROR(VLOOKUP(I1794,$A$1:$G$1610,3,FALSE),J1793)</f>
        <v>14.1</v>
      </c>
      <c r="K1794" s="3">
        <f>IFERROR(VLOOKUP(I1794,$A$1:$G$1610,7,FALSE),K1793)</f>
        <v>-0.3801296326742149</v>
      </c>
      <c r="L1794" s="5">
        <f t="shared" ref="L1794:L1857" si="106">IF(OR(J1794&gt;=30,K1794&lt;-10),1,0)</f>
        <v>0</v>
      </c>
    </row>
    <row r="1795" spans="9:12" x14ac:dyDescent="0.25">
      <c r="I1795" s="2">
        <v>45624</v>
      </c>
      <c r="J1795" s="3">
        <f>IFERROR(VLOOKUP(I1795,$A$1:$G$1610,3,FALSE),J1794)</f>
        <v>13.9</v>
      </c>
      <c r="K1795" s="3">
        <f>IFERROR(VLOOKUP(I1795,$A$1:$G$1610,7,FALSE),K1794)</f>
        <v>-0.3801296326742149</v>
      </c>
      <c r="L1795" s="5">
        <f t="shared" si="106"/>
        <v>0</v>
      </c>
    </row>
    <row r="1796" spans="9:12" x14ac:dyDescent="0.25">
      <c r="I1796" s="2">
        <v>45625</v>
      </c>
      <c r="J1796" s="3">
        <f>IFERROR(VLOOKUP(I1796,$A$1:$G$1610,3,FALSE),J1795)</f>
        <v>13.51</v>
      </c>
      <c r="K1796" s="3">
        <f>IFERROR(VLOOKUP(I1796,$A$1:$G$1610,7,FALSE),K1795)</f>
        <v>0</v>
      </c>
      <c r="L1796" s="5">
        <f t="shared" si="106"/>
        <v>0</v>
      </c>
    </row>
    <row r="1797" spans="9:12" x14ac:dyDescent="0.25">
      <c r="I1797" s="2">
        <v>45626</v>
      </c>
      <c r="J1797" s="3">
        <f>IFERROR(VLOOKUP(I1797,$A$1:$G$1610,3,FALSE),J1796)</f>
        <v>13.51</v>
      </c>
      <c r="K1797" s="3">
        <f>IFERROR(VLOOKUP(I1797,$A$1:$G$1610,7,FALSE),K1796)</f>
        <v>0</v>
      </c>
      <c r="L1797" s="5">
        <f t="shared" si="106"/>
        <v>0</v>
      </c>
    </row>
    <row r="1798" spans="9:12" x14ac:dyDescent="0.25">
      <c r="I1798" s="2">
        <v>45627</v>
      </c>
      <c r="J1798" s="3">
        <f>IFERROR(VLOOKUP(I1798,$A$1:$G$1610,3,FALSE),J1797)</f>
        <v>13.51</v>
      </c>
      <c r="K1798" s="3">
        <f>IFERROR(VLOOKUP(I1798,$A$1:$G$1610,7,FALSE),K1797)</f>
        <v>0</v>
      </c>
      <c r="L1798" s="5">
        <f t="shared" si="106"/>
        <v>0</v>
      </c>
    </row>
    <row r="1799" spans="9:12" x14ac:dyDescent="0.25">
      <c r="I1799" s="2">
        <v>45628</v>
      </c>
      <c r="J1799" s="3">
        <f>IFERROR(VLOOKUP(I1799,$A$1:$G$1610,3,FALSE),J1798)</f>
        <v>13.34</v>
      </c>
      <c r="K1799" s="3">
        <f>IFERROR(VLOOKUP(I1799,$A$1:$G$1610,7,FALSE),K1798)</f>
        <v>0</v>
      </c>
      <c r="L1799" s="5">
        <f t="shared" si="106"/>
        <v>0</v>
      </c>
    </row>
    <row r="1800" spans="9:12" x14ac:dyDescent="0.25">
      <c r="I1800" s="2">
        <v>45629</v>
      </c>
      <c r="J1800" s="3">
        <f>IFERROR(VLOOKUP(I1800,$A$1:$G$1610,3,FALSE),J1799)</f>
        <v>13.3</v>
      </c>
      <c r="K1800" s="3">
        <f>IFERROR(VLOOKUP(I1800,$A$1:$G$1610,7,FALSE),K1799)</f>
        <v>0</v>
      </c>
      <c r="L1800" s="5">
        <f t="shared" si="106"/>
        <v>0</v>
      </c>
    </row>
    <row r="1801" spans="9:12" x14ac:dyDescent="0.25">
      <c r="I1801" s="2">
        <v>45630</v>
      </c>
      <c r="J1801" s="3">
        <f>IFERROR(VLOOKUP(I1801,$A$1:$G$1610,3,FALSE),J1800)</f>
        <v>13.45</v>
      </c>
      <c r="K1801" s="3">
        <f>IFERROR(VLOOKUP(I1801,$A$1:$G$1610,7,FALSE),K1800)</f>
        <v>0</v>
      </c>
      <c r="L1801" s="5">
        <f t="shared" si="106"/>
        <v>0</v>
      </c>
    </row>
    <row r="1802" spans="9:12" x14ac:dyDescent="0.25">
      <c r="I1802" s="2">
        <v>45631</v>
      </c>
      <c r="J1802" s="3">
        <f>IFERROR(VLOOKUP(I1802,$A$1:$G$1610,3,FALSE),J1801)</f>
        <v>13.54</v>
      </c>
      <c r="K1802" s="3">
        <f>IFERROR(VLOOKUP(I1802,$A$1:$G$1610,7,FALSE),K1801)</f>
        <v>-0.18697147288503077</v>
      </c>
      <c r="L1802" s="5">
        <f t="shared" si="106"/>
        <v>0</v>
      </c>
    </row>
    <row r="1803" spans="9:12" x14ac:dyDescent="0.25">
      <c r="I1803" s="2">
        <v>45632</v>
      </c>
      <c r="J1803" s="3">
        <f>IFERROR(VLOOKUP(I1803,$A$1:$G$1610,3,FALSE),J1802)</f>
        <v>12.77</v>
      </c>
      <c r="K1803" s="3">
        <f>IFERROR(VLOOKUP(I1803,$A$1:$G$1610,7,FALSE),K1802)</f>
        <v>0</v>
      </c>
      <c r="L1803" s="5">
        <f t="shared" si="106"/>
        <v>0</v>
      </c>
    </row>
    <row r="1804" spans="9:12" x14ac:dyDescent="0.25">
      <c r="I1804" s="2">
        <v>45633</v>
      </c>
      <c r="J1804" s="3">
        <f>IFERROR(VLOOKUP(I1804,$A$1:$G$1610,3,FALSE),J1803)</f>
        <v>12.77</v>
      </c>
      <c r="K1804" s="3">
        <f>IFERROR(VLOOKUP(I1804,$A$1:$G$1610,7,FALSE),K1803)</f>
        <v>0</v>
      </c>
      <c r="L1804" s="5">
        <f t="shared" si="106"/>
        <v>0</v>
      </c>
    </row>
    <row r="1805" spans="9:12" x14ac:dyDescent="0.25">
      <c r="I1805" s="2">
        <v>45634</v>
      </c>
      <c r="J1805" s="3">
        <f>IFERROR(VLOOKUP(I1805,$A$1:$G$1610,3,FALSE),J1804)</f>
        <v>12.77</v>
      </c>
      <c r="K1805" s="3">
        <f>IFERROR(VLOOKUP(I1805,$A$1:$G$1610,7,FALSE),K1804)</f>
        <v>0</v>
      </c>
      <c r="L1805" s="5">
        <f t="shared" si="106"/>
        <v>0</v>
      </c>
    </row>
    <row r="1806" spans="9:12" x14ac:dyDescent="0.25">
      <c r="I1806" s="2">
        <v>45635</v>
      </c>
      <c r="J1806" s="3">
        <f>IFERROR(VLOOKUP(I1806,$A$1:$G$1610,3,FALSE),J1805)</f>
        <v>14.19</v>
      </c>
      <c r="K1806" s="3">
        <f>IFERROR(VLOOKUP(I1806,$A$1:$G$1610,7,FALSE),K1805)</f>
        <v>-0.61442267748392221</v>
      </c>
      <c r="L1806" s="5">
        <f t="shared" si="106"/>
        <v>0</v>
      </c>
    </row>
    <row r="1807" spans="9:12" x14ac:dyDescent="0.25">
      <c r="I1807" s="2">
        <v>45636</v>
      </c>
      <c r="J1807" s="3">
        <f>IFERROR(VLOOKUP(I1807,$A$1:$G$1610,3,FALSE),J1806)</f>
        <v>14.18</v>
      </c>
      <c r="K1807" s="3">
        <f>IFERROR(VLOOKUP(I1807,$A$1:$G$1610,7,FALSE),K1806)</f>
        <v>-0.90899089859728022</v>
      </c>
      <c r="L1807" s="5">
        <f t="shared" si="106"/>
        <v>0</v>
      </c>
    </row>
    <row r="1808" spans="9:12" x14ac:dyDescent="0.25">
      <c r="I1808" s="2">
        <v>45637</v>
      </c>
      <c r="J1808" s="3">
        <f>IFERROR(VLOOKUP(I1808,$A$1:$G$1610,3,FALSE),J1807)</f>
        <v>13.58</v>
      </c>
      <c r="K1808" s="3">
        <f>IFERROR(VLOOKUP(I1808,$A$1:$G$1610,7,FALSE),K1807)</f>
        <v>-9.9831370366187971E-2</v>
      </c>
      <c r="L1808" s="5">
        <f t="shared" si="106"/>
        <v>0</v>
      </c>
    </row>
    <row r="1809" spans="9:12" x14ac:dyDescent="0.25">
      <c r="I1809" s="2">
        <v>45638</v>
      </c>
      <c r="J1809" s="3">
        <f>IFERROR(VLOOKUP(I1809,$A$1:$G$1610,3,FALSE),J1808)</f>
        <v>13.92</v>
      </c>
      <c r="K1809" s="3">
        <f>IFERROR(VLOOKUP(I1809,$A$1:$G$1610,7,FALSE),K1808)</f>
        <v>-0.64069409073818462</v>
      </c>
      <c r="L1809" s="5">
        <f t="shared" si="106"/>
        <v>0</v>
      </c>
    </row>
    <row r="1810" spans="9:12" x14ac:dyDescent="0.25">
      <c r="I1810" s="2">
        <v>45639</v>
      </c>
      <c r="J1810" s="3">
        <f>IFERROR(VLOOKUP(I1810,$A$1:$G$1610,3,FALSE),J1809)</f>
        <v>13.81</v>
      </c>
      <c r="K1810" s="3">
        <f>IFERROR(VLOOKUP(I1810,$A$1:$G$1610,7,FALSE),K1809)</f>
        <v>-0.64332123206360781</v>
      </c>
      <c r="L1810" s="5">
        <f t="shared" si="106"/>
        <v>0</v>
      </c>
    </row>
    <row r="1811" spans="9:12" x14ac:dyDescent="0.25">
      <c r="I1811" s="2">
        <v>45640</v>
      </c>
      <c r="J1811" s="3">
        <f>IFERROR(VLOOKUP(I1811,$A$1:$G$1610,3,FALSE),J1810)</f>
        <v>13.81</v>
      </c>
      <c r="K1811" s="3">
        <f>IFERROR(VLOOKUP(I1811,$A$1:$G$1610,7,FALSE),K1810)</f>
        <v>-0.64332123206360781</v>
      </c>
      <c r="L1811" s="5">
        <f t="shared" si="106"/>
        <v>0</v>
      </c>
    </row>
    <row r="1812" spans="9:12" x14ac:dyDescent="0.25">
      <c r="I1812" s="2">
        <v>45641</v>
      </c>
      <c r="J1812" s="3">
        <f>IFERROR(VLOOKUP(I1812,$A$1:$G$1610,3,FALSE),J1811)</f>
        <v>13.81</v>
      </c>
      <c r="K1812" s="3">
        <f>IFERROR(VLOOKUP(I1812,$A$1:$G$1610,7,FALSE),K1811)</f>
        <v>-0.64332123206360781</v>
      </c>
      <c r="L1812" s="5">
        <f t="shared" si="106"/>
        <v>0</v>
      </c>
    </row>
    <row r="1813" spans="9:12" x14ac:dyDescent="0.25">
      <c r="I1813" s="2">
        <v>45642</v>
      </c>
      <c r="J1813" s="3">
        <f>IFERROR(VLOOKUP(I1813,$A$1:$G$1610,3,FALSE),J1812)</f>
        <v>14.69</v>
      </c>
      <c r="K1813" s="3">
        <f>IFERROR(VLOOKUP(I1813,$A$1:$G$1610,7,FALSE),K1812)</f>
        <v>-0.26583386286651511</v>
      </c>
      <c r="L1813" s="5">
        <f t="shared" si="106"/>
        <v>0</v>
      </c>
    </row>
    <row r="1814" spans="9:12" x14ac:dyDescent="0.25">
      <c r="I1814" s="2">
        <v>45643</v>
      </c>
      <c r="J1814" s="3">
        <f>IFERROR(VLOOKUP(I1814,$A$1:$G$1610,3,FALSE),J1813)</f>
        <v>15.87</v>
      </c>
      <c r="K1814" s="3">
        <f>IFERROR(VLOOKUP(I1814,$A$1:$G$1610,7,FALSE),K1813)</f>
        <v>-0.65120265603989247</v>
      </c>
      <c r="L1814" s="5">
        <f t="shared" si="106"/>
        <v>0</v>
      </c>
    </row>
    <row r="1815" spans="9:12" x14ac:dyDescent="0.25">
      <c r="I1815" s="2">
        <v>45644</v>
      </c>
      <c r="J1815" s="3">
        <f>IFERROR(VLOOKUP(I1815,$A$1:$G$1610,3,FALSE),J1814)</f>
        <v>27.62</v>
      </c>
      <c r="K1815" s="3">
        <f>IFERROR(VLOOKUP(I1815,$A$1:$G$1610,7,FALSE),K1814)</f>
        <v>-3.5812862155536709</v>
      </c>
      <c r="L1815" s="5">
        <f t="shared" si="106"/>
        <v>0</v>
      </c>
    </row>
    <row r="1816" spans="9:12" x14ac:dyDescent="0.25">
      <c r="I1816" s="2">
        <v>45645</v>
      </c>
      <c r="J1816" s="3">
        <f>IFERROR(VLOOKUP(I1816,$A$1:$G$1610,3,FALSE),J1815)</f>
        <v>24.09</v>
      </c>
      <c r="K1816" s="3">
        <f>IFERROR(VLOOKUP(I1816,$A$1:$G$1610,7,FALSE),K1815)</f>
        <v>-3.664697952635934</v>
      </c>
      <c r="L1816" s="5">
        <f t="shared" si="106"/>
        <v>0</v>
      </c>
    </row>
    <row r="1817" spans="9:12" x14ac:dyDescent="0.25">
      <c r="I1817" s="2">
        <v>45646</v>
      </c>
      <c r="J1817" s="3">
        <f>IFERROR(VLOOKUP(I1817,$A$1:$G$1610,3,FALSE),J1816)</f>
        <v>18.36</v>
      </c>
      <c r="K1817" s="3">
        <f>IFERROR(VLOOKUP(I1817,$A$1:$G$1610,7,FALSE),K1816)</f>
        <v>-2.6176179381209712</v>
      </c>
      <c r="L1817" s="5">
        <f t="shared" si="106"/>
        <v>0</v>
      </c>
    </row>
    <row r="1818" spans="9:12" x14ac:dyDescent="0.25">
      <c r="I1818" s="2">
        <v>45647</v>
      </c>
      <c r="J1818" s="3">
        <f>IFERROR(VLOOKUP(I1818,$A$1:$G$1610,3,FALSE),J1817)</f>
        <v>18.36</v>
      </c>
      <c r="K1818" s="3">
        <f>IFERROR(VLOOKUP(I1818,$A$1:$G$1610,7,FALSE),K1817)</f>
        <v>-2.6176179381209712</v>
      </c>
      <c r="L1818" s="5">
        <f t="shared" si="106"/>
        <v>0</v>
      </c>
    </row>
    <row r="1819" spans="9:12" x14ac:dyDescent="0.25">
      <c r="I1819" s="2">
        <v>45648</v>
      </c>
      <c r="J1819" s="3">
        <f>IFERROR(VLOOKUP(I1819,$A$1:$G$1610,3,FALSE),J1818)</f>
        <v>18.36</v>
      </c>
      <c r="K1819" s="3">
        <f>IFERROR(VLOOKUP(I1819,$A$1:$G$1610,7,FALSE),K1818)</f>
        <v>-2.6176179381209712</v>
      </c>
      <c r="L1819" s="5">
        <f t="shared" si="106"/>
        <v>0</v>
      </c>
    </row>
    <row r="1820" spans="9:12" x14ac:dyDescent="0.25">
      <c r="I1820" s="2">
        <v>45649</v>
      </c>
      <c r="J1820" s="3">
        <f>IFERROR(VLOOKUP(I1820,$A$1:$G$1610,3,FALSE),J1819)</f>
        <v>16.78</v>
      </c>
      <c r="K1820" s="3">
        <f>IFERROR(VLOOKUP(I1820,$A$1:$G$1610,7,FALSE),K1819)</f>
        <v>-1.9079613875903814</v>
      </c>
      <c r="L1820" s="5">
        <f t="shared" si="106"/>
        <v>0</v>
      </c>
    </row>
    <row r="1821" spans="9:12" x14ac:dyDescent="0.25">
      <c r="I1821" s="2">
        <v>45650</v>
      </c>
      <c r="J1821" s="3">
        <f>IFERROR(VLOOKUP(I1821,$A$1:$G$1610,3,FALSE),J1820)</f>
        <v>14.27</v>
      </c>
      <c r="K1821" s="3">
        <f>IFERROR(VLOOKUP(I1821,$A$1:$G$1610,7,FALSE),K1820)</f>
        <v>-0.8247581798508189</v>
      </c>
      <c r="L1821" s="5">
        <f t="shared" si="106"/>
        <v>0</v>
      </c>
    </row>
    <row r="1822" spans="9:12" x14ac:dyDescent="0.25">
      <c r="I1822" s="2">
        <v>45651</v>
      </c>
      <c r="J1822" s="3">
        <f>IFERROR(VLOOKUP(I1822,$A$1:$G$1610,3,FALSE),J1821)</f>
        <v>14.27</v>
      </c>
      <c r="K1822" s="3">
        <f>IFERROR(VLOOKUP(I1822,$A$1:$G$1610,7,FALSE),K1821)</f>
        <v>-0.8247581798508189</v>
      </c>
      <c r="L1822" s="5">
        <f t="shared" si="106"/>
        <v>0</v>
      </c>
    </row>
    <row r="1823" spans="9:12" x14ac:dyDescent="0.25">
      <c r="I1823" s="2">
        <v>45652</v>
      </c>
      <c r="J1823" s="3">
        <f>IFERROR(VLOOKUP(I1823,$A$1:$G$1610,3,FALSE),J1822)</f>
        <v>14.73</v>
      </c>
      <c r="K1823" s="3">
        <f>IFERROR(VLOOKUP(I1823,$A$1:$G$1610,7,FALSE),K1822)</f>
        <v>-0.864986281396396</v>
      </c>
      <c r="L1823" s="5">
        <f t="shared" si="106"/>
        <v>0</v>
      </c>
    </row>
    <row r="1824" spans="9:12" x14ac:dyDescent="0.25">
      <c r="I1824" s="2">
        <v>45653</v>
      </c>
      <c r="J1824" s="3">
        <f>IFERROR(VLOOKUP(I1824,$A$1:$G$1610,3,FALSE),J1823)</f>
        <v>15.95</v>
      </c>
      <c r="K1824" s="3">
        <f>IFERROR(VLOOKUP(I1824,$A$1:$G$1610,7,FALSE),K1823)</f>
        <v>-1.9609968030974041</v>
      </c>
      <c r="L1824" s="5">
        <f t="shared" si="106"/>
        <v>0</v>
      </c>
    </row>
    <row r="1825" spans="9:12" x14ac:dyDescent="0.25">
      <c r="I1825" s="2">
        <v>45654</v>
      </c>
      <c r="J1825" s="3">
        <f>IFERROR(VLOOKUP(I1825,$A$1:$G$1610,3,FALSE),J1824)</f>
        <v>15.95</v>
      </c>
      <c r="K1825" s="3">
        <f>IFERROR(VLOOKUP(I1825,$A$1:$G$1610,7,FALSE),K1824)</f>
        <v>-1.9609968030974041</v>
      </c>
      <c r="L1825" s="5">
        <f t="shared" si="106"/>
        <v>0</v>
      </c>
    </row>
    <row r="1826" spans="9:12" x14ac:dyDescent="0.25">
      <c r="I1826" s="2">
        <v>45655</v>
      </c>
      <c r="J1826" s="3">
        <f>IFERROR(VLOOKUP(I1826,$A$1:$G$1610,3,FALSE),J1825)</f>
        <v>15.95</v>
      </c>
      <c r="K1826" s="3">
        <f>IFERROR(VLOOKUP(I1826,$A$1:$G$1610,7,FALSE),K1825)</f>
        <v>-1.9609968030974041</v>
      </c>
      <c r="L1826" s="5">
        <f t="shared" si="106"/>
        <v>0</v>
      </c>
    </row>
    <row r="1827" spans="9:12" x14ac:dyDescent="0.25">
      <c r="I1827" s="2">
        <v>45656</v>
      </c>
      <c r="J1827" s="3">
        <f>IFERROR(VLOOKUP(I1827,$A$1:$G$1610,3,FALSE),J1826)</f>
        <v>17.399999999999999</v>
      </c>
      <c r="K1827" s="3">
        <f>IFERROR(VLOOKUP(I1827,$A$1:$G$1610,7,FALSE),K1826)</f>
        <v>-3.0102113699392774</v>
      </c>
      <c r="L1827" s="5">
        <f t="shared" si="106"/>
        <v>0</v>
      </c>
    </row>
    <row r="1828" spans="9:12" x14ac:dyDescent="0.25">
      <c r="I1828" s="2">
        <v>45657</v>
      </c>
      <c r="J1828" s="3">
        <f>IFERROR(VLOOKUP(I1828,$A$1:$G$1610,3,FALSE),J1827)</f>
        <v>17.350000000000001</v>
      </c>
      <c r="K1828" s="3">
        <f>IFERROR(VLOOKUP(I1828,$A$1:$G$1610,7,FALSE),K1827)</f>
        <v>-3.4257922883550367</v>
      </c>
      <c r="L1828" s="5">
        <f t="shared" si="106"/>
        <v>0</v>
      </c>
    </row>
    <row r="1829" spans="9:12" x14ac:dyDescent="0.25">
      <c r="I1829" s="2">
        <v>45658</v>
      </c>
      <c r="J1829" s="3">
        <f>IFERROR(VLOOKUP(I1829,$A$1:$G$1610,3,FALSE),J1828)</f>
        <v>17.350000000000001</v>
      </c>
      <c r="K1829" s="3">
        <f>IFERROR(VLOOKUP(I1829,$A$1:$G$1610,7,FALSE),K1828)</f>
        <v>-3.4257922883550367</v>
      </c>
      <c r="L1829" s="5">
        <f t="shared" si="106"/>
        <v>0</v>
      </c>
    </row>
    <row r="1830" spans="9:12" x14ac:dyDescent="0.25">
      <c r="I1830" s="2">
        <v>45659</v>
      </c>
      <c r="J1830" s="3">
        <f>IFERROR(VLOOKUP(I1830,$A$1:$G$1610,3,FALSE),J1829)</f>
        <v>17.93</v>
      </c>
      <c r="K1830" s="3">
        <f>IFERROR(VLOOKUP(I1830,$A$1:$G$1610,7,FALSE),K1829)</f>
        <v>-3.6405610917085816</v>
      </c>
      <c r="L1830" s="5">
        <f t="shared" si="106"/>
        <v>0</v>
      </c>
    </row>
    <row r="1831" spans="9:12" x14ac:dyDescent="0.25">
      <c r="I1831" s="2">
        <v>45660</v>
      </c>
      <c r="J1831" s="3">
        <f>IFERROR(VLOOKUP(I1831,$A$1:$G$1610,3,FALSE),J1830)</f>
        <v>16.13</v>
      </c>
      <c r="K1831" s="3">
        <f>IFERROR(VLOOKUP(I1831,$A$1:$G$1610,7,FALSE),K1830)</f>
        <v>-2.4268217993619356</v>
      </c>
      <c r="L1831" s="5">
        <f t="shared" si="106"/>
        <v>0</v>
      </c>
    </row>
    <row r="1832" spans="9:12" x14ac:dyDescent="0.25">
      <c r="I1832" s="2">
        <v>45661</v>
      </c>
      <c r="J1832" s="3">
        <f>IFERROR(VLOOKUP(I1832,$A$1:$G$1610,3,FALSE),J1831)</f>
        <v>16.13</v>
      </c>
      <c r="K1832" s="3">
        <f>IFERROR(VLOOKUP(I1832,$A$1:$G$1610,7,FALSE),K1831)</f>
        <v>-2.4268217993619356</v>
      </c>
      <c r="L1832" s="5">
        <f t="shared" si="106"/>
        <v>0</v>
      </c>
    </row>
    <row r="1833" spans="9:12" x14ac:dyDescent="0.25">
      <c r="I1833" s="2">
        <v>45662</v>
      </c>
      <c r="J1833" s="3">
        <f>IFERROR(VLOOKUP(I1833,$A$1:$G$1610,3,FALSE),J1832)</f>
        <v>16.13</v>
      </c>
      <c r="K1833" s="3">
        <f>IFERROR(VLOOKUP(I1833,$A$1:$G$1610,7,FALSE),K1832)</f>
        <v>-2.4268217993619356</v>
      </c>
      <c r="L1833" s="5">
        <f t="shared" si="106"/>
        <v>0</v>
      </c>
    </row>
    <row r="1834" spans="9:12" x14ac:dyDescent="0.25">
      <c r="I1834" s="2">
        <v>45663</v>
      </c>
      <c r="J1834" s="3">
        <f>IFERROR(VLOOKUP(I1834,$A$1:$G$1610,3,FALSE),J1833)</f>
        <v>16.04</v>
      </c>
      <c r="K1834" s="3">
        <f>IFERROR(VLOOKUP(I1834,$A$1:$G$1610,7,FALSE),K1833)</f>
        <v>-1.8864516679884524</v>
      </c>
      <c r="L1834" s="5">
        <f t="shared" si="106"/>
        <v>0</v>
      </c>
    </row>
    <row r="1835" spans="9:12" x14ac:dyDescent="0.25">
      <c r="I1835" s="2">
        <v>45664</v>
      </c>
      <c r="J1835" s="3">
        <f>IFERROR(VLOOKUP(I1835,$A$1:$G$1610,3,FALSE),J1834)</f>
        <v>17.82</v>
      </c>
      <c r="K1835" s="3">
        <f>IFERROR(VLOOKUP(I1835,$A$1:$G$1610,7,FALSE),K1834)</f>
        <v>-2.9758943363759025</v>
      </c>
      <c r="L1835" s="5">
        <f t="shared" si="106"/>
        <v>0</v>
      </c>
    </row>
    <row r="1836" spans="9:12" x14ac:dyDescent="0.25">
      <c r="I1836" s="2">
        <v>45665</v>
      </c>
      <c r="J1836" s="3">
        <f>IFERROR(VLOOKUP(I1836,$A$1:$G$1610,3,FALSE),J1835)</f>
        <v>17.7</v>
      </c>
      <c r="K1836" s="3">
        <f>IFERROR(VLOOKUP(I1836,$A$1:$G$1610,7,FALSE),K1835)</f>
        <v>-2.8245053174982457</v>
      </c>
      <c r="L1836" s="5">
        <f t="shared" si="106"/>
        <v>0</v>
      </c>
    </row>
    <row r="1837" spans="9:12" x14ac:dyDescent="0.25">
      <c r="I1837" s="2">
        <v>45666</v>
      </c>
      <c r="J1837" s="3">
        <f>IFERROR(VLOOKUP(I1837,$A$1:$G$1610,3,FALSE),J1836)</f>
        <v>18.07</v>
      </c>
      <c r="K1837" s="3">
        <f>IFERROR(VLOOKUP(I1837,$A$1:$G$1610,7,FALSE),K1836)</f>
        <v>-2.8245053174982457</v>
      </c>
      <c r="L1837" s="5">
        <f t="shared" si="106"/>
        <v>0</v>
      </c>
    </row>
    <row r="1838" spans="9:12" x14ac:dyDescent="0.25">
      <c r="I1838" s="2">
        <v>45667</v>
      </c>
      <c r="J1838" s="3">
        <f>IFERROR(VLOOKUP(I1838,$A$1:$G$1610,3,FALSE),J1837)</f>
        <v>19.54</v>
      </c>
      <c r="K1838" s="3">
        <f>IFERROR(VLOOKUP(I1838,$A$1:$G$1610,7,FALSE),K1837)</f>
        <v>-4.3221400693236989</v>
      </c>
      <c r="L1838" s="5">
        <f t="shared" si="106"/>
        <v>0</v>
      </c>
    </row>
    <row r="1839" spans="9:12" x14ac:dyDescent="0.25">
      <c r="I1839" s="2">
        <v>45668</v>
      </c>
      <c r="J1839" s="3">
        <f>IFERROR(VLOOKUP(I1839,$A$1:$G$1610,3,FALSE),J1838)</f>
        <v>19.54</v>
      </c>
      <c r="K1839" s="3">
        <f>IFERROR(VLOOKUP(I1839,$A$1:$G$1610,7,FALSE),K1838)</f>
        <v>-4.3221400693236989</v>
      </c>
      <c r="L1839" s="5">
        <f t="shared" si="106"/>
        <v>0</v>
      </c>
    </row>
    <row r="1840" spans="9:12" x14ac:dyDescent="0.25">
      <c r="I1840" s="2">
        <v>45669</v>
      </c>
      <c r="J1840" s="3">
        <f>IFERROR(VLOOKUP(I1840,$A$1:$G$1610,3,FALSE),J1839)</f>
        <v>19.54</v>
      </c>
      <c r="K1840" s="3">
        <f>IFERROR(VLOOKUP(I1840,$A$1:$G$1610,7,FALSE),K1839)</f>
        <v>-4.3221400693236989</v>
      </c>
      <c r="L1840" s="5">
        <f t="shared" si="106"/>
        <v>0</v>
      </c>
    </row>
    <row r="1841" spans="9:12" x14ac:dyDescent="0.25">
      <c r="I1841" s="2">
        <v>45670</v>
      </c>
      <c r="J1841" s="3">
        <f>IFERROR(VLOOKUP(I1841,$A$1:$G$1610,3,FALSE),J1840)</f>
        <v>19.190000000000001</v>
      </c>
      <c r="K1841" s="3">
        <f>IFERROR(VLOOKUP(I1841,$A$1:$G$1610,7,FALSE),K1840)</f>
        <v>-4.1714078357773987</v>
      </c>
      <c r="L1841" s="5">
        <f t="shared" si="106"/>
        <v>0</v>
      </c>
    </row>
    <row r="1842" spans="9:12" x14ac:dyDescent="0.25">
      <c r="I1842" s="2">
        <v>45671</v>
      </c>
      <c r="J1842" s="3">
        <f>IFERROR(VLOOKUP(I1842,$A$1:$G$1610,3,FALSE),J1841)</f>
        <v>18.71</v>
      </c>
      <c r="K1842" s="3">
        <f>IFERROR(VLOOKUP(I1842,$A$1:$G$1610,7,FALSE),K1841)</f>
        <v>-4.0615604891080448</v>
      </c>
      <c r="L1842" s="5">
        <f t="shared" si="106"/>
        <v>0</v>
      </c>
    </row>
    <row r="1843" spans="9:12" x14ac:dyDescent="0.25">
      <c r="I1843" s="2">
        <v>45672</v>
      </c>
      <c r="J1843" s="3">
        <f>IFERROR(VLOOKUP(I1843,$A$1:$G$1610,3,FALSE),J1842)</f>
        <v>16.12</v>
      </c>
      <c r="K1843" s="3">
        <f>IFERROR(VLOOKUP(I1843,$A$1:$G$1610,7,FALSE),K1842)</f>
        <v>-2.3046597277296503</v>
      </c>
      <c r="L1843" s="5">
        <f t="shared" si="106"/>
        <v>0</v>
      </c>
    </row>
    <row r="1844" spans="9:12" x14ac:dyDescent="0.25">
      <c r="I1844" s="2">
        <v>45673</v>
      </c>
      <c r="J1844" s="3">
        <f>IFERROR(VLOOKUP(I1844,$A$1:$G$1610,3,FALSE),J1843)</f>
        <v>16.600000000000001</v>
      </c>
      <c r="K1844" s="3">
        <f>IFERROR(VLOOKUP(I1844,$A$1:$G$1610,7,FALSE),K1843)</f>
        <v>-2.5110545181083972</v>
      </c>
      <c r="L1844" s="5">
        <f t="shared" si="106"/>
        <v>0</v>
      </c>
    </row>
    <row r="1845" spans="9:12" x14ac:dyDescent="0.25">
      <c r="I1845" s="2">
        <v>45674</v>
      </c>
      <c r="J1845" s="3">
        <f>IFERROR(VLOOKUP(I1845,$A$1:$G$1610,3,FALSE),J1844)</f>
        <v>15.97</v>
      </c>
      <c r="K1845" s="3">
        <f>IFERROR(VLOOKUP(I1845,$A$1:$G$1610,7,FALSE),K1844)</f>
        <v>-1.5370418717068468</v>
      </c>
      <c r="L1845" s="5">
        <f t="shared" si="106"/>
        <v>0</v>
      </c>
    </row>
    <row r="1846" spans="9:12" x14ac:dyDescent="0.25">
      <c r="I1846" s="2">
        <v>45675</v>
      </c>
      <c r="J1846" s="3">
        <f>IFERROR(VLOOKUP(I1846,$A$1:$G$1610,3,FALSE),J1845)</f>
        <v>15.97</v>
      </c>
      <c r="K1846" s="3">
        <f>IFERROR(VLOOKUP(I1846,$A$1:$G$1610,7,FALSE),K1845)</f>
        <v>-1.5370418717068468</v>
      </c>
      <c r="L1846" s="5">
        <f t="shared" si="106"/>
        <v>0</v>
      </c>
    </row>
    <row r="1847" spans="9:12" x14ac:dyDescent="0.25">
      <c r="I1847" s="2">
        <v>45676</v>
      </c>
      <c r="J1847" s="3">
        <f>IFERROR(VLOOKUP(I1847,$A$1:$G$1610,3,FALSE),J1846)</f>
        <v>15.97</v>
      </c>
      <c r="K1847" s="3">
        <f>IFERROR(VLOOKUP(I1847,$A$1:$G$1610,7,FALSE),K1846)</f>
        <v>-1.5370418717068468</v>
      </c>
      <c r="L1847" s="5">
        <f t="shared" si="106"/>
        <v>0</v>
      </c>
    </row>
    <row r="1848" spans="9:12" x14ac:dyDescent="0.25">
      <c r="I1848" s="2">
        <v>45677</v>
      </c>
      <c r="J1848" s="3">
        <f>IFERROR(VLOOKUP(I1848,$A$1:$G$1610,3,FALSE),J1847)</f>
        <v>15.81</v>
      </c>
      <c r="K1848" s="3">
        <f>IFERROR(VLOOKUP(I1848,$A$1:$G$1610,7,FALSE),K1847)</f>
        <v>-1.5370418717068468</v>
      </c>
      <c r="L1848" s="5">
        <f t="shared" si="106"/>
        <v>0</v>
      </c>
    </row>
    <row r="1849" spans="9:12" x14ac:dyDescent="0.25">
      <c r="I1849" s="2">
        <v>45678</v>
      </c>
      <c r="J1849" s="3">
        <f>IFERROR(VLOOKUP(I1849,$A$1:$G$1610,3,FALSE),J1848)</f>
        <v>15.06</v>
      </c>
      <c r="K1849" s="3">
        <f>IFERROR(VLOOKUP(I1849,$A$1:$G$1610,7,FALSE),K1848)</f>
        <v>-0.67369755363884776</v>
      </c>
      <c r="L1849" s="5">
        <f t="shared" si="106"/>
        <v>0</v>
      </c>
    </row>
    <row r="1850" spans="9:12" x14ac:dyDescent="0.25">
      <c r="I1850" s="2">
        <v>45679</v>
      </c>
      <c r="J1850" s="3">
        <f>IFERROR(VLOOKUP(I1850,$A$1:$G$1610,3,FALSE),J1849)</f>
        <v>15.1</v>
      </c>
      <c r="K1850" s="3">
        <f>IFERROR(VLOOKUP(I1850,$A$1:$G$1610,7,FALSE),K1849)</f>
        <v>-6.4036569807258886E-2</v>
      </c>
      <c r="L1850" s="5">
        <f t="shared" si="106"/>
        <v>0</v>
      </c>
    </row>
    <row r="1851" spans="9:12" x14ac:dyDescent="0.25">
      <c r="I1851" s="2">
        <v>45680</v>
      </c>
      <c r="J1851" s="3">
        <f>IFERROR(VLOOKUP(I1851,$A$1:$G$1610,3,FALSE),J1850)</f>
        <v>15.02</v>
      </c>
      <c r="K1851" s="3">
        <f>IFERROR(VLOOKUP(I1851,$A$1:$G$1610,7,FALSE),K1850)</f>
        <v>0</v>
      </c>
      <c r="L1851" s="5">
        <f t="shared" si="106"/>
        <v>0</v>
      </c>
    </row>
    <row r="1852" spans="9:12" x14ac:dyDescent="0.25">
      <c r="I1852" s="2">
        <v>45681</v>
      </c>
      <c r="J1852" s="3">
        <f>IFERROR(VLOOKUP(I1852,$A$1:$G$1610,3,FALSE),J1851)</f>
        <v>14.85</v>
      </c>
      <c r="K1852" s="3">
        <f>IFERROR(VLOOKUP(I1852,$A$1:$G$1610,7,FALSE),K1851)</f>
        <v>-0.28551769899211193</v>
      </c>
      <c r="L1852" s="5">
        <f t="shared" si="106"/>
        <v>0</v>
      </c>
    </row>
    <row r="1853" spans="9:12" x14ac:dyDescent="0.25">
      <c r="I1853" s="2">
        <v>45682</v>
      </c>
      <c r="J1853" s="3">
        <f>IFERROR(VLOOKUP(I1853,$A$1:$G$1610,3,FALSE),J1852)</f>
        <v>14.85</v>
      </c>
      <c r="K1853" s="3">
        <f>IFERROR(VLOOKUP(I1853,$A$1:$G$1610,7,FALSE),K1852)</f>
        <v>-0.28551769899211193</v>
      </c>
      <c r="L1853" s="5">
        <f t="shared" si="106"/>
        <v>0</v>
      </c>
    </row>
    <row r="1854" spans="9:12" x14ac:dyDescent="0.25">
      <c r="I1854" s="2">
        <v>45683</v>
      </c>
      <c r="J1854" s="3">
        <f>IFERROR(VLOOKUP(I1854,$A$1:$G$1610,3,FALSE),J1853)</f>
        <v>14.85</v>
      </c>
      <c r="K1854" s="3">
        <f>IFERROR(VLOOKUP(I1854,$A$1:$G$1610,7,FALSE),K1853)</f>
        <v>-0.28551769899211193</v>
      </c>
      <c r="L1854" s="5">
        <f t="shared" si="106"/>
        <v>0</v>
      </c>
    </row>
    <row r="1855" spans="9:12" x14ac:dyDescent="0.25">
      <c r="I1855" s="2">
        <v>45684</v>
      </c>
      <c r="J1855" s="3">
        <f>IFERROR(VLOOKUP(I1855,$A$1:$G$1610,3,FALSE),J1854)</f>
        <v>17.899999999999999</v>
      </c>
      <c r="K1855" s="3">
        <f>IFERROR(VLOOKUP(I1855,$A$1:$G$1610,7,FALSE),K1854)</f>
        <v>-1.7394189298071043</v>
      </c>
      <c r="L1855" s="5">
        <f t="shared" si="106"/>
        <v>0</v>
      </c>
    </row>
    <row r="1856" spans="9:12" x14ac:dyDescent="0.25">
      <c r="I1856" s="2">
        <v>45685</v>
      </c>
      <c r="J1856" s="3">
        <f>IFERROR(VLOOKUP(I1856,$A$1:$G$1610,3,FALSE),J1855)</f>
        <v>16.41</v>
      </c>
      <c r="K1856" s="3">
        <f>IFERROR(VLOOKUP(I1856,$A$1:$G$1610,7,FALSE),K1855)</f>
        <v>-0.83367245710288962</v>
      </c>
      <c r="L1856" s="5">
        <f t="shared" si="106"/>
        <v>0</v>
      </c>
    </row>
    <row r="1857" spans="9:12" x14ac:dyDescent="0.25">
      <c r="I1857" s="2">
        <v>45686</v>
      </c>
      <c r="J1857" s="3">
        <f>IFERROR(VLOOKUP(I1857,$A$1:$G$1610,3,FALSE),J1856)</f>
        <v>16.559999999999999</v>
      </c>
      <c r="K1857" s="3">
        <f>IFERROR(VLOOKUP(I1857,$A$1:$G$1610,7,FALSE),K1856)</f>
        <v>-1.2976591471077996</v>
      </c>
      <c r="L1857" s="5">
        <f t="shared" si="106"/>
        <v>0</v>
      </c>
    </row>
    <row r="1858" spans="9:12" x14ac:dyDescent="0.25">
      <c r="I1858" s="2">
        <v>45687</v>
      </c>
      <c r="J1858" s="3">
        <f>IFERROR(VLOOKUP(I1858,$A$1:$G$1610,3,FALSE),J1857)</f>
        <v>15.84</v>
      </c>
      <c r="K1858" s="3">
        <f>IFERROR(VLOOKUP(I1858,$A$1:$G$1610,7,FALSE),K1857)</f>
        <v>-0.77696115684515143</v>
      </c>
      <c r="L1858" s="5">
        <f t="shared" ref="L1858:L1921" si="107">IF(OR(J1858&gt;=30,K1858&lt;-10),1,0)</f>
        <v>0</v>
      </c>
    </row>
    <row r="1859" spans="9:12" x14ac:dyDescent="0.25">
      <c r="I1859" s="2">
        <v>45688</v>
      </c>
      <c r="J1859" s="3">
        <f>IFERROR(VLOOKUP(I1859,$A$1:$G$1610,3,FALSE),J1858)</f>
        <v>16.43</v>
      </c>
      <c r="K1859" s="3">
        <f>IFERROR(VLOOKUP(I1859,$A$1:$G$1610,7,FALSE),K1858)</f>
        <v>-1.2777203037895291</v>
      </c>
      <c r="L1859" s="5">
        <f t="shared" si="107"/>
        <v>0</v>
      </c>
    </row>
    <row r="1860" spans="9:12" x14ac:dyDescent="0.25">
      <c r="I1860" s="2">
        <v>45689</v>
      </c>
      <c r="J1860" s="3">
        <f>IFERROR(VLOOKUP(I1860,$A$1:$G$1610,3,FALSE),J1859)</f>
        <v>16.43</v>
      </c>
      <c r="K1860" s="3">
        <f>IFERROR(VLOOKUP(I1860,$A$1:$G$1610,7,FALSE),K1859)</f>
        <v>-1.2777203037895291</v>
      </c>
      <c r="L1860" s="5">
        <f t="shared" si="107"/>
        <v>0</v>
      </c>
    </row>
    <row r="1861" spans="9:12" x14ac:dyDescent="0.25">
      <c r="I1861" s="2">
        <v>45690</v>
      </c>
      <c r="J1861" s="3">
        <f>IFERROR(VLOOKUP(I1861,$A$1:$G$1610,3,FALSE),J1860)</f>
        <v>16.43</v>
      </c>
      <c r="K1861" s="3">
        <f>IFERROR(VLOOKUP(I1861,$A$1:$G$1610,7,FALSE),K1860)</f>
        <v>-1.2777203037895291</v>
      </c>
      <c r="L1861" s="5">
        <f t="shared" si="107"/>
        <v>0</v>
      </c>
    </row>
    <row r="1862" spans="9:12" x14ac:dyDescent="0.25">
      <c r="I1862" s="2">
        <v>45691</v>
      </c>
      <c r="J1862" s="3">
        <f>IFERROR(VLOOKUP(I1862,$A$1:$G$1610,3,FALSE),J1861)</f>
        <v>18.62</v>
      </c>
      <c r="K1862" s="3">
        <f>IFERROR(VLOOKUP(I1862,$A$1:$G$1610,7,FALSE),K1861)</f>
        <v>-2.028859024206088</v>
      </c>
      <c r="L1862" s="5">
        <f t="shared" si="107"/>
        <v>0</v>
      </c>
    </row>
    <row r="1863" spans="9:12" x14ac:dyDescent="0.25">
      <c r="I1863" s="2">
        <v>45692</v>
      </c>
      <c r="J1863" s="3">
        <f>IFERROR(VLOOKUP(I1863,$A$1:$G$1610,3,FALSE),J1862)</f>
        <v>17.21</v>
      </c>
      <c r="K1863" s="3">
        <f>IFERROR(VLOOKUP(I1863,$A$1:$G$1610,7,FALSE),K1862)</f>
        <v>-1.321030086407101</v>
      </c>
      <c r="L1863" s="5">
        <f t="shared" si="107"/>
        <v>0</v>
      </c>
    </row>
    <row r="1864" spans="9:12" x14ac:dyDescent="0.25">
      <c r="I1864" s="2">
        <v>45693</v>
      </c>
      <c r="J1864" s="3">
        <f>IFERROR(VLOOKUP(I1864,$A$1:$G$1610,3,FALSE),J1863)</f>
        <v>15.77</v>
      </c>
      <c r="K1864" s="3">
        <f>IFERROR(VLOOKUP(I1864,$A$1:$G$1610,7,FALSE),K1863)</f>
        <v>-0.93532787139773699</v>
      </c>
      <c r="L1864" s="5">
        <f t="shared" si="107"/>
        <v>0</v>
      </c>
    </row>
    <row r="1865" spans="9:12" x14ac:dyDescent="0.25">
      <c r="I1865" s="2">
        <v>45694</v>
      </c>
      <c r="J1865" s="3">
        <f>IFERROR(VLOOKUP(I1865,$A$1:$G$1610,3,FALSE),J1864)</f>
        <v>15.5</v>
      </c>
      <c r="K1865" s="3">
        <f>IFERROR(VLOOKUP(I1865,$A$1:$G$1610,7,FALSE),K1864)</f>
        <v>-0.57430406082328345</v>
      </c>
      <c r="L1865" s="5">
        <f t="shared" si="107"/>
        <v>0</v>
      </c>
    </row>
    <row r="1866" spans="9:12" x14ac:dyDescent="0.25">
      <c r="I1866" s="2">
        <v>45695</v>
      </c>
      <c r="J1866" s="3">
        <f>IFERROR(VLOOKUP(I1866,$A$1:$G$1610,3,FALSE),J1865)</f>
        <v>16.54</v>
      </c>
      <c r="K1866" s="3">
        <f>IFERROR(VLOOKUP(I1866,$A$1:$G$1610,7,FALSE),K1865)</f>
        <v>-1.5153520921893708</v>
      </c>
      <c r="L1866" s="5">
        <f t="shared" si="107"/>
        <v>0</v>
      </c>
    </row>
    <row r="1867" spans="9:12" x14ac:dyDescent="0.25">
      <c r="I1867" s="2">
        <v>45696</v>
      </c>
      <c r="J1867" s="3">
        <f>IFERROR(VLOOKUP(I1867,$A$1:$G$1610,3,FALSE),J1866)</f>
        <v>16.54</v>
      </c>
      <c r="K1867" s="3">
        <f>IFERROR(VLOOKUP(I1867,$A$1:$G$1610,7,FALSE),K1866)</f>
        <v>-1.5153520921893708</v>
      </c>
      <c r="L1867" s="5">
        <f t="shared" si="107"/>
        <v>0</v>
      </c>
    </row>
    <row r="1868" spans="9:12" x14ac:dyDescent="0.25">
      <c r="I1868" s="2">
        <v>45697</v>
      </c>
      <c r="J1868" s="3">
        <f>IFERROR(VLOOKUP(I1868,$A$1:$G$1610,3,FALSE),J1867)</f>
        <v>16.54</v>
      </c>
      <c r="K1868" s="3">
        <f>IFERROR(VLOOKUP(I1868,$A$1:$G$1610,7,FALSE),K1867)</f>
        <v>-1.5153520921893708</v>
      </c>
      <c r="L1868" s="5">
        <f t="shared" si="107"/>
        <v>0</v>
      </c>
    </row>
    <row r="1869" spans="9:12" x14ac:dyDescent="0.25">
      <c r="I1869" s="2">
        <v>45698</v>
      </c>
      <c r="J1869" s="3">
        <f>IFERROR(VLOOKUP(I1869,$A$1:$G$1610,3,FALSE),J1868)</f>
        <v>15.81</v>
      </c>
      <c r="K1869" s="3">
        <f>IFERROR(VLOOKUP(I1869,$A$1:$G$1610,7,FALSE),K1868)</f>
        <v>-0.85426503298898682</v>
      </c>
      <c r="L1869" s="5">
        <f t="shared" si="107"/>
        <v>0</v>
      </c>
    </row>
    <row r="1870" spans="9:12" x14ac:dyDescent="0.25">
      <c r="I1870" s="2">
        <v>45699</v>
      </c>
      <c r="J1870" s="3">
        <f>IFERROR(VLOOKUP(I1870,$A$1:$G$1610,3,FALSE),J1869)</f>
        <v>16.02</v>
      </c>
      <c r="K1870" s="3">
        <f>IFERROR(VLOOKUP(I1870,$A$1:$G$1610,7,FALSE),K1869)</f>
        <v>-0.82059780574663677</v>
      </c>
      <c r="L1870" s="5">
        <f t="shared" si="107"/>
        <v>0</v>
      </c>
    </row>
    <row r="1871" spans="9:12" x14ac:dyDescent="0.25">
      <c r="I1871" s="2">
        <v>45700</v>
      </c>
      <c r="J1871" s="3">
        <f>IFERROR(VLOOKUP(I1871,$A$1:$G$1610,3,FALSE),J1870)</f>
        <v>15.89</v>
      </c>
      <c r="K1871" s="3">
        <f>IFERROR(VLOOKUP(I1871,$A$1:$G$1610,7,FALSE),K1870)</f>
        <v>-1.0907527893951467</v>
      </c>
      <c r="L1871" s="5">
        <f t="shared" si="107"/>
        <v>0</v>
      </c>
    </row>
    <row r="1872" spans="9:12" x14ac:dyDescent="0.25">
      <c r="I1872" s="2">
        <v>45701</v>
      </c>
      <c r="J1872" s="3">
        <f>IFERROR(VLOOKUP(I1872,$A$1:$G$1610,3,FALSE),J1871)</f>
        <v>15.1</v>
      </c>
      <c r="K1872" s="3">
        <f>IFERROR(VLOOKUP(I1872,$A$1:$G$1610,7,FALSE),K1871)</f>
        <v>-5.9489663670942522E-2</v>
      </c>
      <c r="L1872" s="5">
        <f t="shared" si="107"/>
        <v>0</v>
      </c>
    </row>
    <row r="1873" spans="9:12" x14ac:dyDescent="0.25">
      <c r="I1873" s="2">
        <v>45702</v>
      </c>
      <c r="J1873" s="3">
        <f>IFERROR(VLOOKUP(I1873,$A$1:$G$1610,3,FALSE),J1872)</f>
        <v>14.77</v>
      </c>
      <c r="K1873" s="3">
        <f>IFERROR(VLOOKUP(I1873,$A$1:$G$1610,7,FALSE),K1872)</f>
        <v>-6.6680721916873437E-2</v>
      </c>
      <c r="L1873" s="5">
        <f t="shared" si="107"/>
        <v>0</v>
      </c>
    </row>
    <row r="1874" spans="9:12" x14ac:dyDescent="0.25">
      <c r="I1874" s="2">
        <v>45703</v>
      </c>
      <c r="J1874" s="3">
        <f>IFERROR(VLOOKUP(I1874,$A$1:$G$1610,3,FALSE),J1873)</f>
        <v>14.77</v>
      </c>
      <c r="K1874" s="3">
        <f>IFERROR(VLOOKUP(I1874,$A$1:$G$1610,7,FALSE),K1873)</f>
        <v>-6.6680721916873437E-2</v>
      </c>
      <c r="L1874" s="5">
        <f t="shared" si="107"/>
        <v>0</v>
      </c>
    </row>
    <row r="1875" spans="9:12" x14ac:dyDescent="0.25">
      <c r="I1875" s="2">
        <v>45704</v>
      </c>
      <c r="J1875" s="3">
        <f>IFERROR(VLOOKUP(I1875,$A$1:$G$1610,3,FALSE),J1874)</f>
        <v>14.77</v>
      </c>
      <c r="K1875" s="3">
        <f>IFERROR(VLOOKUP(I1875,$A$1:$G$1610,7,FALSE),K1874)</f>
        <v>-6.6680721916873437E-2</v>
      </c>
      <c r="L1875" s="5">
        <f t="shared" si="107"/>
        <v>0</v>
      </c>
    </row>
    <row r="1876" spans="9:12" x14ac:dyDescent="0.25">
      <c r="I1876" s="2">
        <v>45705</v>
      </c>
      <c r="J1876" s="3">
        <f>IFERROR(VLOOKUP(I1876,$A$1:$G$1610,3,FALSE),J1875)</f>
        <v>15.37</v>
      </c>
      <c r="K1876" s="3">
        <f>IFERROR(VLOOKUP(I1876,$A$1:$G$1610,7,FALSE),K1875)</f>
        <v>-6.6680721916873437E-2</v>
      </c>
      <c r="L1876" s="5">
        <f t="shared" si="107"/>
        <v>0</v>
      </c>
    </row>
    <row r="1877" spans="9:12" x14ac:dyDescent="0.25">
      <c r="I1877" s="2">
        <v>45706</v>
      </c>
      <c r="J1877" s="3">
        <f>IFERROR(VLOOKUP(I1877,$A$1:$G$1610,3,FALSE),J1876)</f>
        <v>15.35</v>
      </c>
      <c r="K1877" s="3">
        <f>IFERROR(VLOOKUP(I1877,$A$1:$G$1610,7,FALSE),K1876)</f>
        <v>0</v>
      </c>
      <c r="L1877" s="5">
        <f t="shared" si="107"/>
        <v>0</v>
      </c>
    </row>
    <row r="1878" spans="9:12" x14ac:dyDescent="0.25">
      <c r="I1878" s="2">
        <v>45707</v>
      </c>
      <c r="J1878" s="3">
        <f>IFERROR(VLOOKUP(I1878,$A$1:$G$1610,3,FALSE),J1877)</f>
        <v>15.27</v>
      </c>
      <c r="K1878" s="3">
        <f>IFERROR(VLOOKUP(I1878,$A$1:$G$1610,7,FALSE),K1877)</f>
        <v>0</v>
      </c>
      <c r="L1878" s="5">
        <f t="shared" si="107"/>
        <v>0</v>
      </c>
    </row>
    <row r="1879" spans="9:12" x14ac:dyDescent="0.25">
      <c r="I1879" s="2">
        <v>45708</v>
      </c>
      <c r="J1879" s="3">
        <f>IFERROR(VLOOKUP(I1879,$A$1:$G$1610,3,FALSE),J1878)</f>
        <v>15.66</v>
      </c>
      <c r="K1879" s="3">
        <f>IFERROR(VLOOKUP(I1879,$A$1:$G$1610,7,FALSE),K1878)</f>
        <v>-0.43342040803038995</v>
      </c>
      <c r="L1879" s="5">
        <f t="shared" si="107"/>
        <v>0</v>
      </c>
    </row>
    <row r="1880" spans="9:12" x14ac:dyDescent="0.25">
      <c r="I1880" s="2">
        <v>45709</v>
      </c>
      <c r="J1880" s="3">
        <f>IFERROR(VLOOKUP(I1880,$A$1:$G$1610,3,FALSE),J1879)</f>
        <v>18.21</v>
      </c>
      <c r="K1880" s="3">
        <f>IFERROR(VLOOKUP(I1880,$A$1:$G$1610,7,FALSE),K1879)</f>
        <v>-2.1324349177672994</v>
      </c>
      <c r="L1880" s="5">
        <f t="shared" si="107"/>
        <v>0</v>
      </c>
    </row>
    <row r="1881" spans="9:12" x14ac:dyDescent="0.25">
      <c r="I1881" s="2">
        <v>45710</v>
      </c>
      <c r="J1881" s="3">
        <f>IFERROR(VLOOKUP(I1881,$A$1:$G$1610,3,FALSE),J1880)</f>
        <v>18.21</v>
      </c>
      <c r="K1881" s="3">
        <f>IFERROR(VLOOKUP(I1881,$A$1:$G$1610,7,FALSE),K1880)</f>
        <v>-2.1324349177672994</v>
      </c>
      <c r="L1881" s="5">
        <f t="shared" si="107"/>
        <v>0</v>
      </c>
    </row>
    <row r="1882" spans="9:12" x14ac:dyDescent="0.25">
      <c r="I1882" s="2">
        <v>45711</v>
      </c>
      <c r="J1882" s="3">
        <f>IFERROR(VLOOKUP(I1882,$A$1:$G$1610,3,FALSE),J1881)</f>
        <v>18.21</v>
      </c>
      <c r="K1882" s="3">
        <f>IFERROR(VLOOKUP(I1882,$A$1:$G$1610,7,FALSE),K1881)</f>
        <v>-2.1324349177672994</v>
      </c>
      <c r="L1882" s="5">
        <f t="shared" si="107"/>
        <v>0</v>
      </c>
    </row>
    <row r="1883" spans="9:12" x14ac:dyDescent="0.25">
      <c r="I1883" s="2">
        <v>45712</v>
      </c>
      <c r="J1883" s="3">
        <f>IFERROR(VLOOKUP(I1883,$A$1:$G$1610,3,FALSE),J1882)</f>
        <v>18.98</v>
      </c>
      <c r="K1883" s="3">
        <f>IFERROR(VLOOKUP(I1883,$A$1:$G$1610,7,FALSE),K1882)</f>
        <v>-2.618751169811929</v>
      </c>
      <c r="L1883" s="5">
        <f t="shared" si="107"/>
        <v>0</v>
      </c>
    </row>
    <row r="1884" spans="9:12" x14ac:dyDescent="0.25">
      <c r="I1884" s="2">
        <v>45713</v>
      </c>
      <c r="J1884" s="3">
        <f>IFERROR(VLOOKUP(I1884,$A$1:$G$1610,3,FALSE),J1883)</f>
        <v>19.43</v>
      </c>
      <c r="K1884" s="3">
        <f>IFERROR(VLOOKUP(I1884,$A$1:$G$1610,7,FALSE),K1883)</f>
        <v>-3.074469210549867</v>
      </c>
      <c r="L1884" s="5">
        <f t="shared" si="107"/>
        <v>0</v>
      </c>
    </row>
    <row r="1885" spans="9:12" x14ac:dyDescent="0.25">
      <c r="I1885" s="2">
        <v>45714</v>
      </c>
      <c r="J1885" s="3">
        <f>IFERROR(VLOOKUP(I1885,$A$1:$G$1610,3,FALSE),J1884)</f>
        <v>19.100000000000001</v>
      </c>
      <c r="K1885" s="3">
        <f>IFERROR(VLOOKUP(I1885,$A$1:$G$1610,7,FALSE),K1884)</f>
        <v>-3.0612859386570843</v>
      </c>
      <c r="L1885" s="5">
        <f t="shared" si="107"/>
        <v>0</v>
      </c>
    </row>
    <row r="1886" spans="9:12" x14ac:dyDescent="0.25">
      <c r="I1886" s="2">
        <v>45715</v>
      </c>
      <c r="J1886" s="3">
        <f>IFERROR(VLOOKUP(I1886,$A$1:$G$1610,3,FALSE),J1885)</f>
        <v>21.13</v>
      </c>
      <c r="K1886" s="3">
        <f>IFERROR(VLOOKUP(I1886,$A$1:$G$1610,7,FALSE),K1885)</f>
        <v>-4.5991715697045148</v>
      </c>
      <c r="L1886" s="5">
        <f t="shared" si="107"/>
        <v>0</v>
      </c>
    </row>
    <row r="1887" spans="9:12" x14ac:dyDescent="0.25">
      <c r="I1887" s="2">
        <v>45716</v>
      </c>
      <c r="J1887" s="3">
        <f>IFERROR(VLOOKUP(I1887,$A$1:$G$1610,3,FALSE),J1886)</f>
        <v>19.63</v>
      </c>
      <c r="K1887" s="3">
        <f>IFERROR(VLOOKUP(I1887,$A$1:$G$1610,7,FALSE),K1886)</f>
        <v>-3.0866759437839191</v>
      </c>
      <c r="L1887" s="5">
        <f t="shared" si="107"/>
        <v>0</v>
      </c>
    </row>
    <row r="1888" spans="9:12" x14ac:dyDescent="0.25">
      <c r="I1888" s="2">
        <v>45717</v>
      </c>
      <c r="J1888" s="3">
        <f>IFERROR(VLOOKUP(I1888,$A$1:$G$1610,3,FALSE),J1887)</f>
        <v>19.63</v>
      </c>
      <c r="K1888" s="3">
        <f>IFERROR(VLOOKUP(I1888,$A$1:$G$1610,7,FALSE),K1887)</f>
        <v>-3.0866759437839191</v>
      </c>
      <c r="L1888" s="5">
        <f t="shared" si="107"/>
        <v>0</v>
      </c>
    </row>
    <row r="1889" spans="9:12" x14ac:dyDescent="0.25">
      <c r="I1889" s="2">
        <v>45718</v>
      </c>
      <c r="J1889" s="3">
        <f>IFERROR(VLOOKUP(I1889,$A$1:$G$1610,3,FALSE),J1888)</f>
        <v>19.63</v>
      </c>
      <c r="K1889" s="3">
        <f>IFERROR(VLOOKUP(I1889,$A$1:$G$1610,7,FALSE),K1888)</f>
        <v>-3.0866759437839191</v>
      </c>
      <c r="L1889" s="5">
        <f t="shared" si="107"/>
        <v>0</v>
      </c>
    </row>
    <row r="1890" spans="9:12" x14ac:dyDescent="0.25">
      <c r="I1890" s="2">
        <v>45719</v>
      </c>
      <c r="J1890" s="3">
        <f>IFERROR(VLOOKUP(I1890,$A$1:$G$1610,3,FALSE),J1889)</f>
        <v>22.78</v>
      </c>
      <c r="K1890" s="3">
        <f>IFERROR(VLOOKUP(I1890,$A$1:$G$1610,7,FALSE),K1889)</f>
        <v>-4.7920379548025256</v>
      </c>
      <c r="L1890" s="5">
        <f t="shared" si="107"/>
        <v>0</v>
      </c>
    </row>
    <row r="1891" spans="9:12" x14ac:dyDescent="0.25">
      <c r="I1891" s="2">
        <v>45720</v>
      </c>
      <c r="J1891" s="3">
        <f>IFERROR(VLOOKUP(I1891,$A$1:$G$1610,3,FALSE),J1890)</f>
        <v>23.51</v>
      </c>
      <c r="K1891" s="3">
        <f>IFERROR(VLOOKUP(I1891,$A$1:$G$1610,7,FALSE),K1890)</f>
        <v>-5.9568858182173292</v>
      </c>
      <c r="L1891" s="5">
        <f t="shared" si="107"/>
        <v>0</v>
      </c>
    </row>
    <row r="1892" spans="9:12" x14ac:dyDescent="0.25">
      <c r="I1892" s="2">
        <v>45721</v>
      </c>
      <c r="J1892" s="3">
        <f>IFERROR(VLOOKUP(I1892,$A$1:$G$1610,3,FALSE),J1891)</f>
        <v>21.93</v>
      </c>
      <c r="K1892" s="3">
        <f>IFERROR(VLOOKUP(I1892,$A$1:$G$1610,7,FALSE),K1891)</f>
        <v>-4.9074322729750994</v>
      </c>
      <c r="L1892" s="5">
        <f t="shared" si="107"/>
        <v>0</v>
      </c>
    </row>
    <row r="1893" spans="9:12" x14ac:dyDescent="0.25">
      <c r="I1893" s="2">
        <v>45722</v>
      </c>
      <c r="J1893" s="3">
        <f>IFERROR(VLOOKUP(I1893,$A$1:$G$1610,3,FALSE),J1892)</f>
        <v>24.87</v>
      </c>
      <c r="K1893" s="3">
        <f>IFERROR(VLOOKUP(I1893,$A$1:$G$1610,7,FALSE),K1892)</f>
        <v>-6.6018896023046185</v>
      </c>
      <c r="L1893" s="5">
        <f t="shared" si="107"/>
        <v>0</v>
      </c>
    </row>
    <row r="1894" spans="9:12" x14ac:dyDescent="0.25">
      <c r="I1894" s="2">
        <v>45723</v>
      </c>
      <c r="J1894" s="3">
        <f>IFERROR(VLOOKUP(I1894,$A$1:$G$1610,3,FALSE),J1893)</f>
        <v>23.37</v>
      </c>
      <c r="K1894" s="3">
        <f>IFERROR(VLOOKUP(I1894,$A$1:$G$1610,7,FALSE),K1893)</f>
        <v>-6.0862771904982766</v>
      </c>
      <c r="L1894" s="5">
        <f t="shared" si="107"/>
        <v>0</v>
      </c>
    </row>
    <row r="1895" spans="9:12" x14ac:dyDescent="0.25">
      <c r="I1895" s="2">
        <v>45724</v>
      </c>
      <c r="J1895" s="3">
        <f>IFERROR(VLOOKUP(I1895,$A$1:$G$1610,3,FALSE),J1894)</f>
        <v>23.37</v>
      </c>
      <c r="K1895" s="3">
        <f>IFERROR(VLOOKUP(I1895,$A$1:$G$1610,7,FALSE),K1894)</f>
        <v>-6.0862771904982766</v>
      </c>
      <c r="L1895" s="5">
        <f t="shared" si="107"/>
        <v>0</v>
      </c>
    </row>
    <row r="1896" spans="9:12" x14ac:dyDescent="0.25">
      <c r="I1896" s="2">
        <v>45725</v>
      </c>
      <c r="J1896" s="3">
        <f>IFERROR(VLOOKUP(I1896,$A$1:$G$1610,3,FALSE),J1895)</f>
        <v>23.37</v>
      </c>
      <c r="K1896" s="3">
        <f>IFERROR(VLOOKUP(I1896,$A$1:$G$1610,7,FALSE),K1895)</f>
        <v>-6.0862771904982766</v>
      </c>
      <c r="L1896" s="5">
        <f t="shared" si="107"/>
        <v>0</v>
      </c>
    </row>
    <row r="1897" spans="9:12" x14ac:dyDescent="0.25">
      <c r="I1897" s="2">
        <v>45726</v>
      </c>
      <c r="J1897" s="3">
        <f>IFERROR(VLOOKUP(I1897,$A$1:$G$1610,3,FALSE),J1896)</f>
        <v>27.86</v>
      </c>
      <c r="K1897" s="3">
        <f>IFERROR(VLOOKUP(I1897,$A$1:$G$1610,7,FALSE),K1896)</f>
        <v>-8.6194184712287178</v>
      </c>
      <c r="L1897" s="5">
        <f t="shared" si="107"/>
        <v>0</v>
      </c>
    </row>
    <row r="1898" spans="9:12" x14ac:dyDescent="0.25">
      <c r="I1898" s="2">
        <v>45727</v>
      </c>
      <c r="J1898" s="3">
        <f>IFERROR(VLOOKUP(I1898,$A$1:$G$1610,3,FALSE),J1897)</f>
        <v>26.92</v>
      </c>
      <c r="K1898" s="3">
        <f>IFERROR(VLOOKUP(I1898,$A$1:$G$1610,7,FALSE),K1897)</f>
        <v>-9.3109705980485504</v>
      </c>
      <c r="L1898" s="5">
        <f t="shared" si="107"/>
        <v>0</v>
      </c>
    </row>
    <row r="1899" spans="9:12" x14ac:dyDescent="0.25">
      <c r="I1899" s="2">
        <v>45728</v>
      </c>
      <c r="J1899" s="3">
        <f>IFERROR(VLOOKUP(I1899,$A$1:$G$1610,3,FALSE),J1898)</f>
        <v>24.23</v>
      </c>
      <c r="K1899" s="3">
        <f>IFERROR(VLOOKUP(I1899,$A$1:$G$1610,7,FALSE),K1898)</f>
        <v>-8.8677848034308973</v>
      </c>
      <c r="L1899" s="5">
        <f t="shared" si="107"/>
        <v>0</v>
      </c>
    </row>
    <row r="1900" spans="9:12" x14ac:dyDescent="0.25">
      <c r="I1900" s="2">
        <v>45729</v>
      </c>
      <c r="J1900" s="3">
        <f>IFERROR(VLOOKUP(I1900,$A$1:$G$1610,3,FALSE),J1899)</f>
        <v>24.66</v>
      </c>
      <c r="K1900" s="3">
        <f>IFERROR(VLOOKUP(I1900,$A$1:$G$1610,7,FALSE),K1899)</f>
        <v>-10.133704418023635</v>
      </c>
      <c r="L1900" s="5">
        <f t="shared" si="107"/>
        <v>1</v>
      </c>
    </row>
    <row r="1901" spans="9:12" x14ac:dyDescent="0.25">
      <c r="I1901" s="2">
        <v>45730</v>
      </c>
      <c r="J1901" s="3">
        <f>IFERROR(VLOOKUP(I1901,$A$1:$G$1610,3,FALSE),J1900)</f>
        <v>21.77</v>
      </c>
      <c r="K1901" s="3">
        <f>IFERROR(VLOOKUP(I1901,$A$1:$G$1610,7,FALSE),K1900)</f>
        <v>-8.2226182629004843</v>
      </c>
      <c r="L1901" s="5">
        <f t="shared" si="107"/>
        <v>0</v>
      </c>
    </row>
    <row r="1902" spans="9:12" x14ac:dyDescent="0.25">
      <c r="I1902" s="2">
        <v>45731</v>
      </c>
      <c r="J1902" s="3">
        <f>IFERROR(VLOOKUP(I1902,$A$1:$G$1610,3,FALSE),J1901)</f>
        <v>21.77</v>
      </c>
      <c r="K1902" s="3">
        <f>IFERROR(VLOOKUP(I1902,$A$1:$G$1610,7,FALSE),K1901)</f>
        <v>-8.2226182629004843</v>
      </c>
      <c r="L1902" s="5">
        <f t="shared" si="107"/>
        <v>0</v>
      </c>
    </row>
    <row r="1903" spans="9:12" x14ac:dyDescent="0.25">
      <c r="I1903" s="2">
        <v>45732</v>
      </c>
      <c r="J1903" s="3">
        <f>IFERROR(VLOOKUP(I1903,$A$1:$G$1610,3,FALSE),J1902)</f>
        <v>21.77</v>
      </c>
      <c r="K1903" s="3">
        <f>IFERROR(VLOOKUP(I1903,$A$1:$G$1610,7,FALSE),K1902)</f>
        <v>-8.2226182629004843</v>
      </c>
      <c r="L1903" s="5">
        <f t="shared" si="107"/>
        <v>0</v>
      </c>
    </row>
    <row r="1904" spans="9:12" x14ac:dyDescent="0.25">
      <c r="I1904" s="2">
        <v>45733</v>
      </c>
      <c r="J1904" s="3">
        <f>IFERROR(VLOOKUP(I1904,$A$1:$G$1610,3,FALSE),J1903)</f>
        <v>20.51</v>
      </c>
      <c r="K1904" s="3">
        <f>IFERROR(VLOOKUP(I1904,$A$1:$G$1610,7,FALSE),K1903)</f>
        <v>-7.6337654516898157</v>
      </c>
      <c r="L1904" s="5">
        <f t="shared" si="107"/>
        <v>0</v>
      </c>
    </row>
    <row r="1905" spans="9:12" x14ac:dyDescent="0.25">
      <c r="I1905" s="2">
        <v>45734</v>
      </c>
      <c r="J1905" s="3">
        <f>IFERROR(VLOOKUP(I1905,$A$1:$G$1610,3,FALSE),J1904)</f>
        <v>21.7</v>
      </c>
      <c r="K1905" s="3">
        <f>IFERROR(VLOOKUP(I1905,$A$1:$G$1610,7,FALSE),K1904)</f>
        <v>-8.61779090679752</v>
      </c>
      <c r="L1905" s="5">
        <f t="shared" si="107"/>
        <v>0</v>
      </c>
    </row>
    <row r="1906" spans="9:12" x14ac:dyDescent="0.25">
      <c r="I1906" s="2">
        <v>45735</v>
      </c>
      <c r="J1906" s="3">
        <f>IFERROR(VLOOKUP(I1906,$A$1:$G$1610,3,FALSE),J1905)</f>
        <v>19.899999999999999</v>
      </c>
      <c r="K1906" s="3">
        <f>IFERROR(VLOOKUP(I1906,$A$1:$G$1610,7,FALSE),K1905)</f>
        <v>-7.6309985921567627</v>
      </c>
      <c r="L1906" s="5">
        <f t="shared" si="107"/>
        <v>0</v>
      </c>
    </row>
    <row r="1907" spans="9:12" x14ac:dyDescent="0.25">
      <c r="I1907" s="2">
        <v>45736</v>
      </c>
      <c r="J1907" s="3">
        <f>IFERROR(VLOOKUP(I1907,$A$1:$G$1610,3,FALSE),J1906)</f>
        <v>19.8</v>
      </c>
      <c r="K1907" s="3">
        <f>IFERROR(VLOOKUP(I1907,$A$1:$G$1610,7,FALSE),K1906)</f>
        <v>-7.8328165816264148</v>
      </c>
      <c r="L1907" s="5">
        <f t="shared" si="107"/>
        <v>0</v>
      </c>
    </row>
    <row r="1908" spans="9:12" x14ac:dyDescent="0.25">
      <c r="I1908" s="2">
        <v>45737</v>
      </c>
      <c r="J1908" s="3">
        <f>IFERROR(VLOOKUP(I1908,$A$1:$G$1610,3,FALSE),J1907)</f>
        <v>19.28</v>
      </c>
      <c r="K1908" s="3">
        <f>IFERROR(VLOOKUP(I1908,$A$1:$G$1610,7,FALSE),K1907)</f>
        <v>-7.7568093226890493</v>
      </c>
      <c r="L1908" s="5">
        <f t="shared" si="107"/>
        <v>0</v>
      </c>
    </row>
    <row r="1909" spans="9:12" x14ac:dyDescent="0.25">
      <c r="I1909" s="2">
        <v>45738</v>
      </c>
      <c r="J1909" s="3">
        <f>IFERROR(VLOOKUP(I1909,$A$1:$G$1610,3,FALSE),J1908)</f>
        <v>19.28</v>
      </c>
      <c r="K1909" s="3">
        <f>IFERROR(VLOOKUP(I1909,$A$1:$G$1610,7,FALSE),K1908)</f>
        <v>-7.7568093226890493</v>
      </c>
      <c r="L1909" s="5">
        <f t="shared" si="107"/>
        <v>0</v>
      </c>
    </row>
    <row r="1910" spans="9:12" x14ac:dyDescent="0.25">
      <c r="I1910" s="2">
        <v>45739</v>
      </c>
      <c r="J1910" s="3">
        <f>IFERROR(VLOOKUP(I1910,$A$1:$G$1610,3,FALSE),J1909)</f>
        <v>19.28</v>
      </c>
      <c r="K1910" s="3">
        <f>IFERROR(VLOOKUP(I1910,$A$1:$G$1610,7,FALSE),K1909)</f>
        <v>-7.7568093226890493</v>
      </c>
      <c r="L1910" s="5">
        <f t="shared" si="107"/>
        <v>0</v>
      </c>
    </row>
    <row r="1911" spans="9:12" x14ac:dyDescent="0.25">
      <c r="I1911" s="2">
        <v>45740</v>
      </c>
      <c r="J1911" s="3">
        <f>IFERROR(VLOOKUP(I1911,$A$1:$G$1610,3,FALSE),J1910)</f>
        <v>17.48</v>
      </c>
      <c r="K1911" s="3">
        <f>IFERROR(VLOOKUP(I1911,$A$1:$G$1610,7,FALSE),K1910)</f>
        <v>-6.1290821350390194</v>
      </c>
      <c r="L1911" s="5">
        <f t="shared" si="107"/>
        <v>0</v>
      </c>
    </row>
    <row r="1912" spans="9:12" x14ac:dyDescent="0.25">
      <c r="I1912" s="2">
        <v>45741</v>
      </c>
      <c r="J1912" s="3">
        <f>IFERROR(VLOOKUP(I1912,$A$1:$G$1610,3,FALSE),J1911)</f>
        <v>17.149999999999999</v>
      </c>
      <c r="K1912" s="3">
        <f>IFERROR(VLOOKUP(I1912,$A$1:$G$1610,7,FALSE),K1911)</f>
        <v>-5.9812992846854325</v>
      </c>
      <c r="L1912" s="5">
        <f t="shared" si="107"/>
        <v>0</v>
      </c>
    </row>
    <row r="1913" spans="9:12" x14ac:dyDescent="0.25">
      <c r="I1913" s="2">
        <v>45742</v>
      </c>
      <c r="J1913" s="3">
        <f>IFERROR(VLOOKUP(I1913,$A$1:$G$1610,3,FALSE),J1912)</f>
        <v>18.329999999999998</v>
      </c>
      <c r="K1913" s="3">
        <f>IFERROR(VLOOKUP(I1913,$A$1:$G$1610,7,FALSE),K1912)</f>
        <v>-7.0302645605982903</v>
      </c>
      <c r="L1913" s="5">
        <f t="shared" si="107"/>
        <v>0</v>
      </c>
    </row>
    <row r="1914" spans="9:12" x14ac:dyDescent="0.25">
      <c r="I1914" s="2">
        <v>45743</v>
      </c>
      <c r="J1914" s="3">
        <f>IFERROR(VLOOKUP(I1914,$A$1:$G$1610,3,FALSE),J1913)</f>
        <v>18.690000000000001</v>
      </c>
      <c r="K1914" s="3">
        <f>IFERROR(VLOOKUP(I1914,$A$1:$G$1610,7,FALSE),K1913)</f>
        <v>-7.337711481653268</v>
      </c>
      <c r="L1914" s="5">
        <f t="shared" si="107"/>
        <v>0</v>
      </c>
    </row>
    <row r="1915" spans="9:12" x14ac:dyDescent="0.25">
      <c r="I1915" s="2">
        <v>45744</v>
      </c>
      <c r="J1915" s="3">
        <f>IFERROR(VLOOKUP(I1915,$A$1:$G$1610,3,FALSE),J1914)</f>
        <v>21.65</v>
      </c>
      <c r="K1915" s="3">
        <f>IFERROR(VLOOKUP(I1915,$A$1:$G$1610,7,FALSE),K1914)</f>
        <v>-9.166605633000497</v>
      </c>
      <c r="L1915" s="5">
        <f t="shared" si="107"/>
        <v>0</v>
      </c>
    </row>
    <row r="1916" spans="9:12" x14ac:dyDescent="0.25">
      <c r="I1916" s="2">
        <v>45745</v>
      </c>
      <c r="J1916" s="3">
        <f>IFERROR(VLOOKUP(I1916,$A$1:$G$1610,3,FALSE),J1915)</f>
        <v>21.65</v>
      </c>
      <c r="K1916" s="3">
        <f>IFERROR(VLOOKUP(I1916,$A$1:$G$1610,7,FALSE),K1915)</f>
        <v>-9.166605633000497</v>
      </c>
      <c r="L1916" s="5">
        <f t="shared" si="107"/>
        <v>0</v>
      </c>
    </row>
    <row r="1917" spans="9:12" x14ac:dyDescent="0.25">
      <c r="I1917" s="2">
        <v>45746</v>
      </c>
      <c r="J1917" s="3">
        <f>IFERROR(VLOOKUP(I1917,$A$1:$G$1610,3,FALSE),J1916)</f>
        <v>21.65</v>
      </c>
      <c r="K1917" s="3">
        <f>IFERROR(VLOOKUP(I1917,$A$1:$G$1610,7,FALSE),K1916)</f>
        <v>-9.166605633000497</v>
      </c>
      <c r="L1917" s="5">
        <f t="shared" si="107"/>
        <v>0</v>
      </c>
    </row>
    <row r="1918" spans="9:12" x14ac:dyDescent="0.25">
      <c r="I1918" s="2">
        <v>45747</v>
      </c>
      <c r="J1918" s="3">
        <f>IFERROR(VLOOKUP(I1918,$A$1:$G$1610,3,FALSE),J1917)</f>
        <v>22.28</v>
      </c>
      <c r="K1918" s="3">
        <f>IFERROR(VLOOKUP(I1918,$A$1:$G$1610,7,FALSE),K1917)</f>
        <v>-8.6635254673144253</v>
      </c>
      <c r="L1918" s="5">
        <f t="shared" si="107"/>
        <v>0</v>
      </c>
    </row>
    <row r="1919" spans="9:12" x14ac:dyDescent="0.25">
      <c r="I1919" s="2">
        <v>45748</v>
      </c>
      <c r="J1919" s="3">
        <f>IFERROR(VLOOKUP(I1919,$A$1:$G$1610,3,FALSE),J1918)</f>
        <v>21.77</v>
      </c>
      <c r="K1919" s="3">
        <f>IFERROR(VLOOKUP(I1919,$A$1:$G$1610,7,FALSE),K1918)</f>
        <v>-8.3181562950123293</v>
      </c>
      <c r="L1919" s="5">
        <f t="shared" si="107"/>
        <v>0</v>
      </c>
    </row>
    <row r="1920" spans="9:12" x14ac:dyDescent="0.25">
      <c r="I1920" s="2">
        <v>45749</v>
      </c>
      <c r="J1920" s="3">
        <f>IFERROR(VLOOKUP(I1920,$A$1:$G$1610,3,FALSE),J1919)</f>
        <v>21.51</v>
      </c>
      <c r="K1920" s="3">
        <f>IFERROR(VLOOKUP(I1920,$A$1:$G$1610,7,FALSE),K1919)</f>
        <v>-7.7013093755848958</v>
      </c>
      <c r="L1920" s="5">
        <f t="shared" si="107"/>
        <v>0</v>
      </c>
    </row>
    <row r="1921" spans="9:12" x14ac:dyDescent="0.25">
      <c r="I1921" s="2">
        <v>45750</v>
      </c>
      <c r="J1921" s="3">
        <f>IFERROR(VLOOKUP(I1921,$A$1:$G$1610,3,FALSE),J1920)</f>
        <v>30.02</v>
      </c>
      <c r="K1921" s="3">
        <f>IFERROR(VLOOKUP(I1921,$A$1:$G$1610,7,FALSE),K1920)</f>
        <v>-12.168159957032287</v>
      </c>
      <c r="L1921" s="5">
        <f t="shared" si="107"/>
        <v>1</v>
      </c>
    </row>
    <row r="1922" spans="9:12" x14ac:dyDescent="0.25">
      <c r="I1922" s="2">
        <v>45751</v>
      </c>
      <c r="J1922" s="3">
        <f>IFERROR(VLOOKUP(I1922,$A$1:$G$1610,3,FALSE),J1921)</f>
        <v>45.31</v>
      </c>
      <c r="K1922" s="3">
        <f>IFERROR(VLOOKUP(I1922,$A$1:$G$1610,7,FALSE),K1921)</f>
        <v>-17.416078709015888</v>
      </c>
      <c r="L1922" s="5">
        <f t="shared" ref="L1922:L1985" si="108">IF(OR(J1922&gt;=30,K1922&lt;-10),1,0)</f>
        <v>1</v>
      </c>
    </row>
    <row r="1923" spans="9:12" x14ac:dyDescent="0.25">
      <c r="I1923" s="2">
        <v>45752</v>
      </c>
      <c r="J1923" s="3">
        <f>IFERROR(VLOOKUP(I1923,$A$1:$G$1610,3,FALSE),J1922)</f>
        <v>45.31</v>
      </c>
      <c r="K1923" s="3">
        <f>IFERROR(VLOOKUP(I1923,$A$1:$G$1610,7,FALSE),K1922)</f>
        <v>-17.416078709015888</v>
      </c>
      <c r="L1923" s="5">
        <f t="shared" si="108"/>
        <v>1</v>
      </c>
    </row>
    <row r="1924" spans="9:12" x14ac:dyDescent="0.25">
      <c r="I1924" s="2">
        <v>45753</v>
      </c>
      <c r="J1924" s="3">
        <f>IFERROR(VLOOKUP(I1924,$A$1:$G$1610,3,FALSE),J1923)</f>
        <v>45.31</v>
      </c>
      <c r="K1924" s="3">
        <f>IFERROR(VLOOKUP(I1924,$A$1:$G$1610,7,FALSE),K1923)</f>
        <v>-17.416078709015888</v>
      </c>
      <c r="L1924" s="5">
        <f t="shared" si="108"/>
        <v>1</v>
      </c>
    </row>
    <row r="1925" spans="9:12" x14ac:dyDescent="0.25">
      <c r="I1925" s="2">
        <v>45754</v>
      </c>
      <c r="J1925" s="3">
        <f>IFERROR(VLOOKUP(I1925,$A$1:$G$1610,3,FALSE),J1924)</f>
        <v>46.98</v>
      </c>
      <c r="K1925" s="3">
        <f>IFERROR(VLOOKUP(I1925,$A$1:$G$1610,7,FALSE),K1924)</f>
        <v>-17.608619581227668</v>
      </c>
      <c r="L1925" s="5">
        <f t="shared" si="108"/>
        <v>1</v>
      </c>
    </row>
    <row r="1926" spans="9:12" x14ac:dyDescent="0.25">
      <c r="I1926" s="2">
        <v>45755</v>
      </c>
      <c r="J1926" s="3">
        <f>IFERROR(VLOOKUP(I1926,$A$1:$G$1610,3,FALSE),J1925)</f>
        <v>52.33</v>
      </c>
      <c r="K1926" s="3">
        <f>IFERROR(VLOOKUP(I1926,$A$1:$G$1610,7,FALSE),K1925)</f>
        <v>-18.902207791150921</v>
      </c>
      <c r="L1926" s="5">
        <f t="shared" si="108"/>
        <v>1</v>
      </c>
    </row>
    <row r="1927" spans="9:12" x14ac:dyDescent="0.25">
      <c r="I1927" s="2">
        <v>45756</v>
      </c>
      <c r="J1927" s="3">
        <f>IFERROR(VLOOKUP(I1927,$A$1:$G$1610,3,FALSE),J1926)</f>
        <v>33.619999999999997</v>
      </c>
      <c r="K1927" s="3">
        <f>IFERROR(VLOOKUP(I1927,$A$1:$G$1610,7,FALSE),K1926)</f>
        <v>-11.185436553469561</v>
      </c>
      <c r="L1927" s="5">
        <f t="shared" si="108"/>
        <v>1</v>
      </c>
    </row>
    <row r="1928" spans="9:12" x14ac:dyDescent="0.25">
      <c r="I1928" s="2">
        <v>45757</v>
      </c>
      <c r="J1928" s="3">
        <f>IFERROR(VLOOKUP(I1928,$A$1:$G$1610,3,FALSE),J1927)</f>
        <v>40.72</v>
      </c>
      <c r="K1928" s="3">
        <f>IFERROR(VLOOKUP(I1928,$A$1:$G$1610,7,FALSE),K1927)</f>
        <v>-14.25909198180382</v>
      </c>
      <c r="L1928" s="5">
        <f t="shared" si="108"/>
        <v>1</v>
      </c>
    </row>
    <row r="1929" spans="9:12" x14ac:dyDescent="0.25">
      <c r="I1929" s="2">
        <v>45758</v>
      </c>
      <c r="J1929" s="3">
        <f>IFERROR(VLOOKUP(I1929,$A$1:$G$1610,3,FALSE),J1928)</f>
        <v>37.56</v>
      </c>
      <c r="K1929" s="3">
        <f>IFERROR(VLOOKUP(I1929,$A$1:$G$1610,7,FALSE),K1928)</f>
        <v>-12.707860322420514</v>
      </c>
      <c r="L1929" s="5">
        <f t="shared" si="108"/>
        <v>1</v>
      </c>
    </row>
    <row r="1930" spans="9:12" x14ac:dyDescent="0.25">
      <c r="I1930" s="2">
        <v>45759</v>
      </c>
      <c r="J1930" s="3">
        <f>IFERROR(VLOOKUP(I1930,$A$1:$G$1610,3,FALSE),J1929)</f>
        <v>37.56</v>
      </c>
      <c r="K1930" s="3">
        <f>IFERROR(VLOOKUP(I1930,$A$1:$G$1610,7,FALSE),K1929)</f>
        <v>-12.707860322420514</v>
      </c>
      <c r="L1930" s="5">
        <f t="shared" si="108"/>
        <v>1</v>
      </c>
    </row>
    <row r="1931" spans="9:12" x14ac:dyDescent="0.25">
      <c r="I1931" s="2">
        <v>45760</v>
      </c>
      <c r="J1931" s="3">
        <f>IFERROR(VLOOKUP(I1931,$A$1:$G$1610,3,FALSE),J1930)</f>
        <v>37.56</v>
      </c>
      <c r="K1931" s="3">
        <f>IFERROR(VLOOKUP(I1931,$A$1:$G$1610,7,FALSE),K1930)</f>
        <v>-12.707860322420514</v>
      </c>
      <c r="L1931" s="5">
        <f t="shared" si="108"/>
        <v>1</v>
      </c>
    </row>
    <row r="1932" spans="9:12" x14ac:dyDescent="0.25">
      <c r="I1932" s="2">
        <v>45761</v>
      </c>
      <c r="J1932" s="3">
        <f>IFERROR(VLOOKUP(I1932,$A$1:$G$1610,3,FALSE),J1931)</f>
        <v>30.89</v>
      </c>
      <c r="K1932" s="3">
        <f>IFERROR(VLOOKUP(I1932,$A$1:$G$1610,7,FALSE),K1931)</f>
        <v>-12.014355118283236</v>
      </c>
      <c r="L1932" s="5">
        <f t="shared" si="108"/>
        <v>1</v>
      </c>
    </row>
    <row r="1933" spans="9:12" x14ac:dyDescent="0.25">
      <c r="I1933" s="2">
        <v>45762</v>
      </c>
      <c r="J1933" s="3">
        <f>IFERROR(VLOOKUP(I1933,$A$1:$G$1610,3,FALSE),J1932)</f>
        <v>30.12</v>
      </c>
      <c r="K1933" s="3">
        <f>IFERROR(VLOOKUP(I1933,$A$1:$G$1610,7,FALSE),K1932)</f>
        <v>-12.166369636157965</v>
      </c>
      <c r="L1933" s="5">
        <f t="shared" si="108"/>
        <v>1</v>
      </c>
    </row>
    <row r="1934" spans="9:12" x14ac:dyDescent="0.25">
      <c r="I1934" s="2">
        <v>45763</v>
      </c>
      <c r="J1934" s="3">
        <f>IFERROR(VLOOKUP(I1934,$A$1:$G$1610,3,FALSE),J1933)</f>
        <v>32.64</v>
      </c>
      <c r="K1934" s="3">
        <f>IFERROR(VLOOKUP(I1934,$A$1:$G$1610,7,FALSE),K1933)</f>
        <v>-14.134583302816498</v>
      </c>
      <c r="L1934" s="5">
        <f t="shared" si="108"/>
        <v>1</v>
      </c>
    </row>
    <row r="1935" spans="9:12" x14ac:dyDescent="0.25">
      <c r="I1935" s="2">
        <v>45764</v>
      </c>
      <c r="J1935" s="3">
        <f>IFERROR(VLOOKUP(I1935,$A$1:$G$1610,3,FALSE),J1934)</f>
        <v>29.65</v>
      </c>
      <c r="K1935" s="3">
        <f>IFERROR(VLOOKUP(I1935,$A$1:$G$1610,7,FALSE),K1934)</f>
        <v>-14.020653792632013</v>
      </c>
      <c r="L1935" s="5">
        <f t="shared" si="108"/>
        <v>1</v>
      </c>
    </row>
    <row r="1936" spans="9:12" x14ac:dyDescent="0.25">
      <c r="I1936" s="2">
        <v>45765</v>
      </c>
      <c r="J1936" s="3">
        <f>IFERROR(VLOOKUP(I1936,$A$1:$G$1610,3,FALSE),J1935)</f>
        <v>29.65</v>
      </c>
      <c r="K1936" s="3">
        <f>IFERROR(VLOOKUP(I1936,$A$1:$G$1610,7,FALSE),K1935)</f>
        <v>-14.020653792632013</v>
      </c>
      <c r="L1936" s="5">
        <f t="shared" si="108"/>
        <v>1</v>
      </c>
    </row>
    <row r="1937" spans="9:12" x14ac:dyDescent="0.25">
      <c r="I1937" s="2">
        <v>45766</v>
      </c>
      <c r="J1937" s="3">
        <f>IFERROR(VLOOKUP(I1937,$A$1:$G$1610,3,FALSE),J1936)</f>
        <v>29.65</v>
      </c>
      <c r="K1937" s="3">
        <f>IFERROR(VLOOKUP(I1937,$A$1:$G$1610,7,FALSE),K1936)</f>
        <v>-14.020653792632013</v>
      </c>
      <c r="L1937" s="5">
        <f t="shared" si="108"/>
        <v>1</v>
      </c>
    </row>
    <row r="1938" spans="9:12" x14ac:dyDescent="0.25">
      <c r="I1938" s="2">
        <v>45767</v>
      </c>
      <c r="J1938" s="3">
        <f>IFERROR(VLOOKUP(I1938,$A$1:$G$1610,3,FALSE),J1937)</f>
        <v>29.65</v>
      </c>
      <c r="K1938" s="3">
        <f>IFERROR(VLOOKUP(I1938,$A$1:$G$1610,7,FALSE),K1937)</f>
        <v>-14.020653792632013</v>
      </c>
      <c r="L1938" s="5">
        <f t="shared" si="108"/>
        <v>1</v>
      </c>
    </row>
    <row r="1939" spans="9:12" x14ac:dyDescent="0.25">
      <c r="I1939" s="2">
        <v>45768</v>
      </c>
      <c r="J1939" s="3">
        <f>IFERROR(VLOOKUP(I1939,$A$1:$G$1610,3,FALSE),J1938)</f>
        <v>33.82</v>
      </c>
      <c r="K1939" s="3">
        <f>IFERROR(VLOOKUP(I1939,$A$1:$G$1610,7,FALSE),K1938)</f>
        <v>-16.046971509484631</v>
      </c>
      <c r="L1939" s="5">
        <f t="shared" si="108"/>
        <v>1</v>
      </c>
    </row>
    <row r="1940" spans="9:12" x14ac:dyDescent="0.25">
      <c r="I1940" s="2">
        <v>45769</v>
      </c>
      <c r="J1940" s="3">
        <f>IFERROR(VLOOKUP(I1940,$A$1:$G$1610,3,FALSE),J1939)</f>
        <v>30.57</v>
      </c>
      <c r="K1940" s="3">
        <f>IFERROR(VLOOKUP(I1940,$A$1:$G$1610,7,FALSE),K1939)</f>
        <v>-13.938299032412937</v>
      </c>
      <c r="L1940" s="5">
        <f t="shared" si="108"/>
        <v>1</v>
      </c>
    </row>
    <row r="1941" spans="9:12" x14ac:dyDescent="0.25">
      <c r="I1941" s="2">
        <v>45770</v>
      </c>
      <c r="J1941" s="3">
        <f>IFERROR(VLOOKUP(I1941,$A$1:$G$1610,3,FALSE),J1940)</f>
        <v>28.45</v>
      </c>
      <c r="K1941" s="3">
        <f>IFERROR(VLOOKUP(I1941,$A$1:$G$1610,7,FALSE),K1940)</f>
        <v>-12.504414768519649</v>
      </c>
      <c r="L1941" s="5">
        <f t="shared" si="108"/>
        <v>1</v>
      </c>
    </row>
    <row r="1942" spans="9:12" x14ac:dyDescent="0.25">
      <c r="I1942" s="2">
        <v>45771</v>
      </c>
      <c r="J1942" s="3">
        <f>IFERROR(VLOOKUP(I1942,$A$1:$G$1610,3,FALSE),J1941)</f>
        <v>26.47</v>
      </c>
      <c r="K1942" s="3">
        <f>IFERROR(VLOOKUP(I1942,$A$1:$G$1610,7,FALSE),K1941)</f>
        <v>-10.73183434649218</v>
      </c>
      <c r="L1942" s="5">
        <f t="shared" si="108"/>
        <v>1</v>
      </c>
    </row>
    <row r="1943" spans="9:12" x14ac:dyDescent="0.25">
      <c r="I1943" s="2">
        <v>45772</v>
      </c>
      <c r="J1943" s="3">
        <f>IFERROR(VLOOKUP(I1943,$A$1:$G$1610,3,FALSE),J1942)</f>
        <v>24.84</v>
      </c>
      <c r="K1943" s="3">
        <f>IFERROR(VLOOKUP(I1943,$A$1:$G$1610,7,FALSE),K1942)</f>
        <v>-10.073647290512106</v>
      </c>
      <c r="L1943" s="5">
        <f t="shared" si="108"/>
        <v>1</v>
      </c>
    </row>
    <row r="1944" spans="9:12" x14ac:dyDescent="0.25">
      <c r="I1944" s="2">
        <v>45773</v>
      </c>
      <c r="J1944" s="3">
        <f>IFERROR(VLOOKUP(I1944,$A$1:$G$1610,3,FALSE),J1943)</f>
        <v>24.84</v>
      </c>
      <c r="K1944" s="3">
        <f>IFERROR(VLOOKUP(I1944,$A$1:$G$1610,7,FALSE),K1943)</f>
        <v>-10.073647290512106</v>
      </c>
      <c r="L1944" s="5">
        <f t="shared" si="108"/>
        <v>1</v>
      </c>
    </row>
    <row r="1945" spans="9:12" x14ac:dyDescent="0.25">
      <c r="I1945" s="2">
        <v>45774</v>
      </c>
      <c r="J1945" s="3">
        <f>IFERROR(VLOOKUP(I1945,$A$1:$G$1610,3,FALSE),J1944)</f>
        <v>24.84</v>
      </c>
      <c r="K1945" s="3">
        <f>IFERROR(VLOOKUP(I1945,$A$1:$G$1610,7,FALSE),K1944)</f>
        <v>-10.073647290512106</v>
      </c>
      <c r="L1945" s="5">
        <f t="shared" si="108"/>
        <v>1</v>
      </c>
    </row>
    <row r="1946" spans="9:12" x14ac:dyDescent="0.25">
      <c r="I1946" s="2">
        <v>45775</v>
      </c>
      <c r="J1946" s="3">
        <f>IFERROR(VLOOKUP(I1946,$A$1:$G$1610,3,FALSE),J1945)</f>
        <v>25.15</v>
      </c>
      <c r="K1946" s="3">
        <f>IFERROR(VLOOKUP(I1946,$A$1:$G$1610,7,FALSE),K1945)</f>
        <v>-10.016031509647384</v>
      </c>
      <c r="L1946" s="5">
        <f t="shared" si="108"/>
        <v>1</v>
      </c>
    </row>
    <row r="1947" spans="9:12" x14ac:dyDescent="0.25">
      <c r="I1947" s="2">
        <v>45776</v>
      </c>
      <c r="J1947" s="3">
        <f>IFERROR(VLOOKUP(I1947,$A$1:$G$1610,3,FALSE),J1946)</f>
        <v>24.17</v>
      </c>
      <c r="K1947" s="3">
        <f>IFERROR(VLOOKUP(I1947,$A$1:$G$1610,7,FALSE),K1946)</f>
        <v>-9.4939088401162035</v>
      </c>
      <c r="L1947" s="5">
        <f t="shared" si="108"/>
        <v>0</v>
      </c>
    </row>
    <row r="1948" spans="9:12" x14ac:dyDescent="0.25">
      <c r="I1948" s="2">
        <v>45777</v>
      </c>
      <c r="J1948" s="3">
        <f>IFERROR(VLOOKUP(I1948,$A$1:$G$1610,3,FALSE),J1947)</f>
        <v>24.7</v>
      </c>
      <c r="K1948" s="3">
        <f>IFERROR(VLOOKUP(I1948,$A$1:$G$1610,7,FALSE),K1947)</f>
        <v>-9.3599602874278673</v>
      </c>
      <c r="L1948" s="5">
        <f t="shared" si="108"/>
        <v>0</v>
      </c>
    </row>
    <row r="1949" spans="9:12" x14ac:dyDescent="0.25">
      <c r="I1949" s="2">
        <v>45778</v>
      </c>
      <c r="J1949" s="3">
        <f>IFERROR(VLOOKUP(I1949,$A$1:$G$1610,3,FALSE),J1948)</f>
        <v>24.6</v>
      </c>
      <c r="K1949" s="3">
        <f>IFERROR(VLOOKUP(I1949,$A$1:$G$1610,7,FALSE),K1948)</f>
        <v>-8.7890106849604805</v>
      </c>
      <c r="L1949" s="5">
        <f t="shared" si="108"/>
        <v>0</v>
      </c>
    </row>
    <row r="1950" spans="9:12" x14ac:dyDescent="0.25">
      <c r="I1950" s="2">
        <v>45779</v>
      </c>
      <c r="J1950" s="3">
        <f>IFERROR(VLOOKUP(I1950,$A$1:$G$1610,3,FALSE),J1949)</f>
        <v>22.68</v>
      </c>
      <c r="K1950" s="3">
        <f>IFERROR(VLOOKUP(I1950,$A$1:$G$1610,7,FALSE),K1949)</f>
        <v>-7.4457817598854126</v>
      </c>
      <c r="L1950" s="5">
        <f t="shared" si="108"/>
        <v>0</v>
      </c>
    </row>
    <row r="1951" spans="9:12" x14ac:dyDescent="0.25">
      <c r="I1951" s="2">
        <v>45780</v>
      </c>
      <c r="J1951" s="3">
        <f>IFERROR(VLOOKUP(I1951,$A$1:$G$1610,3,FALSE),J1950)</f>
        <v>22.68</v>
      </c>
      <c r="K1951" s="3">
        <f>IFERROR(VLOOKUP(I1951,$A$1:$G$1610,7,FALSE),K1950)</f>
        <v>-7.4457817598854126</v>
      </c>
      <c r="L1951" s="5">
        <f t="shared" si="108"/>
        <v>0</v>
      </c>
    </row>
    <row r="1952" spans="9:12" x14ac:dyDescent="0.25">
      <c r="I1952" s="2">
        <v>45781</v>
      </c>
      <c r="J1952" s="3">
        <f>IFERROR(VLOOKUP(I1952,$A$1:$G$1610,3,FALSE),J1951)</f>
        <v>22.68</v>
      </c>
      <c r="K1952" s="3">
        <f>IFERROR(VLOOKUP(I1952,$A$1:$G$1610,7,FALSE),K1951)</f>
        <v>-7.4457817598854126</v>
      </c>
      <c r="L1952" s="5">
        <f t="shared" si="108"/>
        <v>0</v>
      </c>
    </row>
    <row r="1953" spans="9:12" x14ac:dyDescent="0.25">
      <c r="I1953" s="2">
        <v>45782</v>
      </c>
      <c r="J1953" s="3">
        <f>IFERROR(VLOOKUP(I1953,$A$1:$G$1610,3,FALSE),J1952)</f>
        <v>23.64</v>
      </c>
      <c r="K1953" s="3">
        <f>IFERROR(VLOOKUP(I1953,$A$1:$G$1610,7,FALSE),K1952)</f>
        <v>-8.0364248919704036</v>
      </c>
      <c r="L1953" s="5">
        <f t="shared" si="108"/>
        <v>0</v>
      </c>
    </row>
    <row r="1954" spans="9:12" x14ac:dyDescent="0.25">
      <c r="I1954" s="2">
        <v>45783</v>
      </c>
      <c r="J1954" s="3">
        <f>IFERROR(VLOOKUP(I1954,$A$1:$G$1610,3,FALSE),J1953)</f>
        <v>24.76</v>
      </c>
      <c r="K1954" s="3">
        <f>IFERROR(VLOOKUP(I1954,$A$1:$G$1610,7,FALSE),K1953)</f>
        <v>-8.7439271502160558</v>
      </c>
      <c r="L1954" s="5">
        <f t="shared" si="108"/>
        <v>0</v>
      </c>
    </row>
    <row r="1955" spans="9:12" x14ac:dyDescent="0.25">
      <c r="I1955" s="2">
        <v>45784</v>
      </c>
      <c r="J1955" s="3">
        <f>IFERROR(VLOOKUP(I1955,$A$1:$G$1610,3,FALSE),J1954)</f>
        <v>23.55</v>
      </c>
      <c r="K1955" s="3">
        <f>IFERROR(VLOOKUP(I1955,$A$1:$G$1610,7,FALSE),K1954)</f>
        <v>-8.3472896983309308</v>
      </c>
      <c r="L1955" s="5">
        <f t="shared" si="108"/>
        <v>0</v>
      </c>
    </row>
    <row r="1956" spans="9:12" x14ac:dyDescent="0.25">
      <c r="I1956" s="2">
        <v>45785</v>
      </c>
      <c r="J1956" s="3">
        <f>IFERROR(VLOOKUP(I1956,$A$1:$G$1610,3,FALSE),J1955)</f>
        <v>22.48</v>
      </c>
      <c r="K1956" s="3">
        <f>IFERROR(VLOOKUP(I1956,$A$1:$G$1610,7,FALSE),K1955)</f>
        <v>-7.8157271550987533</v>
      </c>
      <c r="L1956" s="5">
        <f t="shared" si="108"/>
        <v>0</v>
      </c>
    </row>
    <row r="1957" spans="9:12" x14ac:dyDescent="0.25">
      <c r="I1957" s="2">
        <v>45786</v>
      </c>
      <c r="J1957" s="3">
        <f>IFERROR(VLOOKUP(I1957,$A$1:$G$1610,3,FALSE),J1956)</f>
        <v>21.9</v>
      </c>
      <c r="K1957" s="3">
        <f>IFERROR(VLOOKUP(I1957,$A$1:$G$1610,7,FALSE),K1956)</f>
        <v>-7.8813180016763882</v>
      </c>
      <c r="L1957" s="5">
        <f t="shared" si="108"/>
        <v>0</v>
      </c>
    </row>
    <row r="1958" spans="9:12" x14ac:dyDescent="0.25">
      <c r="I1958" s="2">
        <v>45787</v>
      </c>
      <c r="J1958" s="3">
        <f>IFERROR(VLOOKUP(I1958,$A$1:$G$1610,3,FALSE),J1957)</f>
        <v>21.9</v>
      </c>
      <c r="K1958" s="3">
        <f>IFERROR(VLOOKUP(I1958,$A$1:$G$1610,7,FALSE),K1957)</f>
        <v>-7.8813180016763882</v>
      </c>
      <c r="L1958" s="5">
        <f t="shared" si="108"/>
        <v>0</v>
      </c>
    </row>
    <row r="1959" spans="9:12" x14ac:dyDescent="0.25">
      <c r="I1959" s="2">
        <v>45788</v>
      </c>
      <c r="J1959" s="3">
        <f>IFERROR(VLOOKUP(I1959,$A$1:$G$1610,3,FALSE),J1958)</f>
        <v>21.9</v>
      </c>
      <c r="K1959" s="3">
        <f>IFERROR(VLOOKUP(I1959,$A$1:$G$1610,7,FALSE),K1958)</f>
        <v>-7.8813180016763882</v>
      </c>
      <c r="L1959" s="5">
        <f t="shared" si="108"/>
        <v>0</v>
      </c>
    </row>
    <row r="1960" spans="9:12" x14ac:dyDescent="0.25">
      <c r="I1960" s="2">
        <v>45789</v>
      </c>
      <c r="J1960" s="3">
        <f>IFERROR(VLOOKUP(I1960,$A$1:$G$1610,3,FALSE),J1959)</f>
        <v>18.39</v>
      </c>
      <c r="K1960" s="3">
        <f>IFERROR(VLOOKUP(I1960,$A$1:$G$1610,7,FALSE),K1959)</f>
        <v>-4.8820422678482789</v>
      </c>
      <c r="L1960" s="5">
        <f t="shared" si="108"/>
        <v>0</v>
      </c>
    </row>
    <row r="1961" spans="9:12" x14ac:dyDescent="0.25">
      <c r="I1961" s="2">
        <v>45790</v>
      </c>
      <c r="J1961" s="3">
        <f>IFERROR(VLOOKUP(I1961,$A$1:$G$1610,3,FALSE),J1960)</f>
        <v>18.22</v>
      </c>
      <c r="K1961" s="3">
        <f>IFERROR(VLOOKUP(I1961,$A$1:$G$1610,7,FALSE),K1960)</f>
        <v>-4.1926059747890179</v>
      </c>
      <c r="L1961" s="5">
        <f t="shared" si="108"/>
        <v>0</v>
      </c>
    </row>
    <row r="1962" spans="9:12" x14ac:dyDescent="0.25">
      <c r="I1962" s="2">
        <v>45791</v>
      </c>
      <c r="J1962" s="3">
        <f>IFERROR(VLOOKUP(I1962,$A$1:$G$1610,3,FALSE),J1961)</f>
        <v>18.62</v>
      </c>
      <c r="K1962" s="3">
        <f>IFERROR(VLOOKUP(I1962,$A$1:$G$1610,7,FALSE),K1961)</f>
        <v>-4.0944638395872452</v>
      </c>
      <c r="L1962" s="5">
        <f t="shared" si="108"/>
        <v>0</v>
      </c>
    </row>
    <row r="1963" spans="9:12" x14ac:dyDescent="0.25">
      <c r="I1963" s="2">
        <v>45792</v>
      </c>
      <c r="J1963" s="3">
        <f>IFERROR(VLOOKUP(I1963,$A$1:$G$1610,3,FALSE),J1962)</f>
        <v>17.829999999999998</v>
      </c>
      <c r="K1963" s="3">
        <f>IFERROR(VLOOKUP(I1963,$A$1:$G$1610,7,FALSE),K1962)</f>
        <v>-3.6981519005883543</v>
      </c>
      <c r="L1963" s="5">
        <f t="shared" si="108"/>
        <v>0</v>
      </c>
    </row>
    <row r="1964" spans="9:12" x14ac:dyDescent="0.25">
      <c r="I1964" s="2">
        <v>45793</v>
      </c>
      <c r="J1964" s="3">
        <f>IFERROR(VLOOKUP(I1964,$A$1:$G$1610,3,FALSE),J1963)</f>
        <v>17.239999999999998</v>
      </c>
      <c r="K1964" s="3">
        <f>IFERROR(VLOOKUP(I1964,$A$1:$G$1610,7,FALSE),K1963)</f>
        <v>-3.0235264438530884</v>
      </c>
      <c r="L1964" s="5">
        <f t="shared" si="108"/>
        <v>0</v>
      </c>
    </row>
    <row r="1965" spans="9:12" x14ac:dyDescent="0.25">
      <c r="I1965" s="2">
        <v>45794</v>
      </c>
      <c r="J1965" s="3">
        <f>IFERROR(VLOOKUP(I1965,$A$1:$G$1610,3,FALSE),J1964)</f>
        <v>17.239999999999998</v>
      </c>
      <c r="K1965" s="3">
        <f>IFERROR(VLOOKUP(I1965,$A$1:$G$1610,7,FALSE),K1964)</f>
        <v>-3.0235264438530884</v>
      </c>
      <c r="L1965" s="5">
        <f t="shared" si="108"/>
        <v>0</v>
      </c>
    </row>
    <row r="1966" spans="9:12" x14ac:dyDescent="0.25">
      <c r="I1966" s="2">
        <v>45795</v>
      </c>
      <c r="J1966" s="3">
        <f>IFERROR(VLOOKUP(I1966,$A$1:$G$1610,3,FALSE),J1965)</f>
        <v>17.239999999999998</v>
      </c>
      <c r="K1966" s="3">
        <f>IFERROR(VLOOKUP(I1966,$A$1:$G$1610,7,FALSE),K1965)</f>
        <v>-3.0235264438530884</v>
      </c>
      <c r="L1966" s="5">
        <f t="shared" si="108"/>
        <v>0</v>
      </c>
    </row>
    <row r="1967" spans="9:12" x14ac:dyDescent="0.25">
      <c r="I1967" s="2">
        <v>45796</v>
      </c>
      <c r="J1967" s="3">
        <f>IFERROR(VLOOKUP(I1967,$A$1:$G$1610,3,FALSE),J1966)</f>
        <v>18.14</v>
      </c>
      <c r="K1967" s="3">
        <f>IFERROR(VLOOKUP(I1967,$A$1:$G$1610,7,FALSE),K1966)</f>
        <v>-2.9385675805440834</v>
      </c>
      <c r="L1967" s="5">
        <f t="shared" si="108"/>
        <v>0</v>
      </c>
    </row>
    <row r="1968" spans="9:12" x14ac:dyDescent="0.25">
      <c r="I1968" s="2">
        <v>45797</v>
      </c>
      <c r="J1968" s="3">
        <f>IFERROR(VLOOKUP(I1968,$A$1:$G$1610,3,FALSE),J1967)</f>
        <v>18.09</v>
      </c>
      <c r="K1968" s="3">
        <f>IFERROR(VLOOKUP(I1968,$A$1:$G$1610,7,FALSE),K1967)</f>
        <v>-3.3151859899253697</v>
      </c>
      <c r="L1968" s="5">
        <f t="shared" si="108"/>
        <v>0</v>
      </c>
    </row>
    <row r="1969" spans="9:12" x14ac:dyDescent="0.25">
      <c r="I1969" s="2">
        <v>45798</v>
      </c>
      <c r="J1969" s="3">
        <f>IFERROR(VLOOKUP(I1969,$A$1:$G$1610,3,FALSE),J1968)</f>
        <v>20.87</v>
      </c>
      <c r="K1969" s="3">
        <f>IFERROR(VLOOKUP(I1969,$A$1:$G$1610,7,FALSE),K1968)</f>
        <v>-4.8752064972372091</v>
      </c>
      <c r="L1969" s="5">
        <f t="shared" si="108"/>
        <v>0</v>
      </c>
    </row>
    <row r="1970" spans="9:12" x14ac:dyDescent="0.25">
      <c r="I1970" s="2">
        <v>45799</v>
      </c>
      <c r="J1970" s="3">
        <f>IFERROR(VLOOKUP(I1970,$A$1:$G$1610,3,FALSE),J1969)</f>
        <v>20.28</v>
      </c>
      <c r="K1970" s="3">
        <f>IFERROR(VLOOKUP(I1970,$A$1:$G$1610,7,FALSE),K1969)</f>
        <v>-4.9175231724485808</v>
      </c>
      <c r="L1970" s="5">
        <f t="shared" si="108"/>
        <v>0</v>
      </c>
    </row>
    <row r="1971" spans="9:12" x14ac:dyDescent="0.25">
      <c r="I1971" s="2">
        <v>45800</v>
      </c>
      <c r="J1971" s="3">
        <f>IFERROR(VLOOKUP(I1971,$A$1:$G$1610,3,FALSE),J1970)</f>
        <v>22.29</v>
      </c>
      <c r="K1971" s="3">
        <f>IFERROR(VLOOKUP(I1971,$A$1:$G$1610,7,FALSE),K1970)</f>
        <v>-5.5553656730385805</v>
      </c>
      <c r="L1971" s="5">
        <f t="shared" si="108"/>
        <v>0</v>
      </c>
    </row>
    <row r="1972" spans="9:12" x14ac:dyDescent="0.25">
      <c r="I1972" s="2">
        <v>45801</v>
      </c>
      <c r="J1972" s="3">
        <f>IFERROR(VLOOKUP(I1972,$A$1:$G$1610,3,FALSE),J1971)</f>
        <v>22.29</v>
      </c>
      <c r="K1972" s="3">
        <f>IFERROR(VLOOKUP(I1972,$A$1:$G$1610,7,FALSE),K1971)</f>
        <v>-5.5553656730385805</v>
      </c>
      <c r="L1972" s="5">
        <f t="shared" si="108"/>
        <v>0</v>
      </c>
    </row>
    <row r="1973" spans="9:12" x14ac:dyDescent="0.25">
      <c r="I1973" s="2">
        <v>45802</v>
      </c>
      <c r="J1973" s="3">
        <f>IFERROR(VLOOKUP(I1973,$A$1:$G$1610,3,FALSE),J1972)</f>
        <v>22.29</v>
      </c>
      <c r="K1973" s="3">
        <f>IFERROR(VLOOKUP(I1973,$A$1:$G$1610,7,FALSE),K1972)</f>
        <v>-5.5553656730385805</v>
      </c>
      <c r="L1973" s="5">
        <f t="shared" si="108"/>
        <v>0</v>
      </c>
    </row>
    <row r="1974" spans="9:12" x14ac:dyDescent="0.25">
      <c r="I1974" s="2">
        <v>45803</v>
      </c>
      <c r="J1974" s="3">
        <f>IFERROR(VLOOKUP(I1974,$A$1:$G$1610,3,FALSE),J1973)</f>
        <v>20.57</v>
      </c>
      <c r="K1974" s="3">
        <f>IFERROR(VLOOKUP(I1974,$A$1:$G$1610,7,FALSE),K1973)</f>
        <v>-5.5553656730385805</v>
      </c>
      <c r="L1974" s="5">
        <f t="shared" si="108"/>
        <v>0</v>
      </c>
    </row>
    <row r="1975" spans="9:12" x14ac:dyDescent="0.25">
      <c r="I1975" s="2">
        <v>45804</v>
      </c>
      <c r="J1975" s="3">
        <f>IFERROR(VLOOKUP(I1975,$A$1:$G$1610,3,FALSE),J1974)</f>
        <v>18.96</v>
      </c>
      <c r="K1975" s="3">
        <f>IFERROR(VLOOKUP(I1975,$A$1:$G$1610,7,FALSE),K1974)</f>
        <v>-3.6231211803097207</v>
      </c>
      <c r="L1975" s="5">
        <f t="shared" si="108"/>
        <v>0</v>
      </c>
    </row>
    <row r="1976" spans="9:12" x14ac:dyDescent="0.25">
      <c r="I1976" s="2">
        <v>45805</v>
      </c>
      <c r="J1976" s="3">
        <f>IFERROR(VLOOKUP(I1976,$A$1:$G$1610,3,FALSE),J1975)</f>
        <v>19.309999999999999</v>
      </c>
      <c r="K1976" s="3">
        <f>IFERROR(VLOOKUP(I1976,$A$1:$G$1610,7,FALSE),K1975)</f>
        <v>-4.1600546861648793</v>
      </c>
      <c r="L1976" s="5">
        <f t="shared" si="108"/>
        <v>0</v>
      </c>
    </row>
    <row r="1977" spans="9:12" x14ac:dyDescent="0.25">
      <c r="I1977" s="2">
        <v>45806</v>
      </c>
      <c r="J1977" s="3">
        <f>IFERROR(VLOOKUP(I1977,$A$1:$G$1610,3,FALSE),J1976)</f>
        <v>19.18</v>
      </c>
      <c r="K1977" s="3">
        <f>IFERROR(VLOOKUP(I1977,$A$1:$G$1610,7,FALSE),K1976)</f>
        <v>-3.7756239675138068</v>
      </c>
      <c r="L1977" s="5">
        <f t="shared" si="108"/>
        <v>0</v>
      </c>
    </row>
    <row r="1978" spans="9:12" x14ac:dyDescent="0.25">
      <c r="I1978" s="2">
        <v>45807</v>
      </c>
      <c r="J1978" s="3">
        <f>IFERROR(VLOOKUP(I1978,$A$1:$G$1610,3,FALSE),J1977)</f>
        <v>18.57</v>
      </c>
      <c r="K1978" s="3">
        <f>IFERROR(VLOOKUP(I1978,$A$1:$G$1610,7,FALSE),K1977)</f>
        <v>-3.7834362767836085</v>
      </c>
      <c r="L1978" s="5">
        <f t="shared" si="108"/>
        <v>0</v>
      </c>
    </row>
    <row r="1979" spans="9:12" x14ac:dyDescent="0.25">
      <c r="I1979" s="2">
        <v>45808</v>
      </c>
      <c r="J1979" s="3">
        <f>IFERROR(VLOOKUP(I1979,$A$1:$G$1610,3,FALSE),J1978)</f>
        <v>18.57</v>
      </c>
      <c r="K1979" s="3">
        <f>IFERROR(VLOOKUP(I1979,$A$1:$G$1610,7,FALSE),K1978)</f>
        <v>-3.7834362767836085</v>
      </c>
      <c r="L1979" s="5">
        <f t="shared" si="108"/>
        <v>0</v>
      </c>
    </row>
    <row r="1980" spans="9:12" x14ac:dyDescent="0.25">
      <c r="I1980" s="2">
        <v>45809</v>
      </c>
      <c r="J1980" s="3">
        <f>IFERROR(VLOOKUP(I1980,$A$1:$G$1610,3,FALSE),J1979)</f>
        <v>18.57</v>
      </c>
      <c r="K1980" s="3">
        <f>IFERROR(VLOOKUP(I1980,$A$1:$G$1610,7,FALSE),K1979)</f>
        <v>-3.7834362767836085</v>
      </c>
      <c r="L1980" s="5">
        <f t="shared" si="108"/>
        <v>0</v>
      </c>
    </row>
    <row r="1981" spans="9:12" x14ac:dyDescent="0.25">
      <c r="I1981" s="2">
        <v>45810</v>
      </c>
      <c r="J1981" s="3">
        <f>IFERROR(VLOOKUP(I1981,$A$1:$G$1610,3,FALSE),J1980)</f>
        <v>18.36</v>
      </c>
      <c r="K1981" s="3">
        <f>IFERROR(VLOOKUP(I1981,$A$1:$G$1610,7,FALSE),K1980)</f>
        <v>-3.38875190221593</v>
      </c>
      <c r="L1981" s="5">
        <f t="shared" si="108"/>
        <v>0</v>
      </c>
    </row>
    <row r="1982" spans="9:12" x14ac:dyDescent="0.25">
      <c r="I1982" s="2">
        <v>45811</v>
      </c>
      <c r="J1982" s="3">
        <f>IFERROR(VLOOKUP(I1982,$A$1:$G$1610,3,FALSE),J1981)</f>
        <v>17.690000000000001</v>
      </c>
      <c r="K1982" s="3">
        <f>IFERROR(VLOOKUP(I1982,$A$1:$G$1610,7,FALSE),K1981)</f>
        <v>-2.8283814685513824</v>
      </c>
      <c r="L1982" s="5">
        <f t="shared" si="108"/>
        <v>0</v>
      </c>
    </row>
    <row r="1983" spans="9:12" x14ac:dyDescent="0.25">
      <c r="I1983" s="2">
        <v>45812</v>
      </c>
      <c r="J1983" s="3">
        <f>IFERROR(VLOOKUP(I1983,$A$1:$G$1610,3,FALSE),J1982)</f>
        <v>17.61</v>
      </c>
      <c r="K1983" s="3">
        <f>IFERROR(VLOOKUP(I1983,$A$1:$G$1610,7,FALSE),K1982)</f>
        <v>-2.8212201850540639</v>
      </c>
      <c r="L1983" s="5">
        <f t="shared" si="108"/>
        <v>0</v>
      </c>
    </row>
    <row r="1984" spans="9:12" x14ac:dyDescent="0.25">
      <c r="I1984" s="2">
        <v>45813</v>
      </c>
      <c r="J1984" s="3">
        <f>IFERROR(VLOOKUP(I1984,$A$1:$G$1610,3,FALSE),J1983)</f>
        <v>18.48</v>
      </c>
      <c r="K1984" s="3">
        <f>IFERROR(VLOOKUP(I1984,$A$1:$G$1610,7,FALSE),K1983)</f>
        <v>-3.3340657373273679</v>
      </c>
      <c r="L1984" s="5">
        <f t="shared" si="108"/>
        <v>0</v>
      </c>
    </row>
    <row r="1985" spans="9:12" x14ac:dyDescent="0.25">
      <c r="I1985" s="2">
        <v>45814</v>
      </c>
      <c r="J1985" s="3">
        <f>IFERROR(VLOOKUP(I1985,$A$1:$G$1610,3,FALSE),J1984)</f>
        <v>16.77</v>
      </c>
      <c r="K1985" s="3">
        <f>IFERROR(VLOOKUP(I1985,$A$1:$G$1610,7,FALSE),K1984)</f>
        <v>-2.3402748956324304</v>
      </c>
      <c r="L1985" s="5">
        <f t="shared" si="108"/>
        <v>0</v>
      </c>
    </row>
    <row r="1986" spans="9:12" x14ac:dyDescent="0.25">
      <c r="I1986" s="2">
        <v>45815</v>
      </c>
      <c r="J1986" s="3">
        <f>IFERROR(VLOOKUP(I1986,$A$1:$G$1610,3,FALSE),J1985)</f>
        <v>16.77</v>
      </c>
      <c r="K1986" s="3">
        <f>IFERROR(VLOOKUP(I1986,$A$1:$G$1610,7,FALSE),K1985)</f>
        <v>-2.3402748956324304</v>
      </c>
      <c r="L1986" s="5">
        <f t="shared" ref="L1986:L2049" si="109">IF(OR(J1986&gt;=30,K1986&lt;-10),1,0)</f>
        <v>0</v>
      </c>
    </row>
    <row r="1987" spans="9:12" x14ac:dyDescent="0.25">
      <c r="I1987" s="2">
        <v>45816</v>
      </c>
      <c r="J1987" s="3">
        <f>IFERROR(VLOOKUP(I1987,$A$1:$G$1610,3,FALSE),J1986)</f>
        <v>16.77</v>
      </c>
      <c r="K1987" s="3">
        <f>IFERROR(VLOOKUP(I1987,$A$1:$G$1610,7,FALSE),K1986)</f>
        <v>-2.3402748956324304</v>
      </c>
      <c r="L1987" s="5">
        <f t="shared" si="109"/>
        <v>0</v>
      </c>
    </row>
    <row r="1988" spans="9:12" x14ac:dyDescent="0.25">
      <c r="I1988" s="2">
        <v>45817</v>
      </c>
      <c r="J1988" s="3">
        <f>IFERROR(VLOOKUP(I1988,$A$1:$G$1610,3,FALSE),J1987)</f>
        <v>17.16</v>
      </c>
      <c r="K1988" s="3">
        <f>IFERROR(VLOOKUP(I1988,$A$1:$G$1610,7,FALSE),K1987)</f>
        <v>-2.2504333390298012</v>
      </c>
      <c r="L1988" s="5">
        <f t="shared" si="109"/>
        <v>0</v>
      </c>
    </row>
    <row r="1989" spans="9:12" x14ac:dyDescent="0.25">
      <c r="I1989" s="2">
        <v>45818</v>
      </c>
      <c r="J1989" s="3">
        <f>IFERROR(VLOOKUP(I1989,$A$1:$G$1610,3,FALSE),J1988)</f>
        <v>16.95</v>
      </c>
      <c r="K1989" s="3">
        <f>IFERROR(VLOOKUP(I1989,$A$1:$G$1610,7,FALSE),K1988)</f>
        <v>-1.7144763718333578</v>
      </c>
      <c r="L1989" s="5">
        <f t="shared" si="109"/>
        <v>0</v>
      </c>
    </row>
    <row r="1990" spans="9:12" x14ac:dyDescent="0.25">
      <c r="I1990" s="2">
        <v>45819</v>
      </c>
      <c r="J1990" s="3">
        <f>IFERROR(VLOOKUP(I1990,$A$1:$G$1610,3,FALSE),J1989)</f>
        <v>17.260000000000002</v>
      </c>
      <c r="K1990" s="3">
        <f>IFERROR(VLOOKUP(I1990,$A$1:$G$1610,7,FALSE),K1989)</f>
        <v>-1.9841637980843545</v>
      </c>
      <c r="L1990" s="5">
        <f t="shared" si="109"/>
        <v>0</v>
      </c>
    </row>
    <row r="1991" spans="9:12" x14ac:dyDescent="0.25">
      <c r="I1991" s="2">
        <v>45820</v>
      </c>
      <c r="J1991" s="3">
        <f>IFERROR(VLOOKUP(I1991,$A$1:$G$1610,3,FALSE),J1990)</f>
        <v>18.02</v>
      </c>
      <c r="K1991" s="3">
        <f>IFERROR(VLOOKUP(I1991,$A$1:$G$1610,7,FALSE),K1990)</f>
        <v>-1.6094984660205143</v>
      </c>
      <c r="L1991" s="5">
        <f t="shared" si="109"/>
        <v>0</v>
      </c>
    </row>
    <row r="1992" spans="9:12" x14ac:dyDescent="0.25">
      <c r="I1992" s="2">
        <v>45821</v>
      </c>
      <c r="J1992" s="3">
        <f>IFERROR(VLOOKUP(I1992,$A$1:$G$1610,3,FALSE),J1991)</f>
        <v>20.82</v>
      </c>
      <c r="K1992" s="3">
        <f>IFERROR(VLOOKUP(I1992,$A$1:$G$1610,7,FALSE),K1991)</f>
        <v>-2.7209622160917197</v>
      </c>
      <c r="L1992" s="5">
        <f t="shared" si="109"/>
        <v>0</v>
      </c>
    </row>
    <row r="1993" spans="9:12" x14ac:dyDescent="0.25">
      <c r="I1993" s="2">
        <v>45822</v>
      </c>
      <c r="J1993" s="3">
        <f>IFERROR(VLOOKUP(I1993,$A$1:$G$1610,3,FALSE),J1992)</f>
        <v>20.82</v>
      </c>
      <c r="K1993" s="3">
        <f>IFERROR(VLOOKUP(I1993,$A$1:$G$1610,7,FALSE),K1992)</f>
        <v>-2.7209622160917197</v>
      </c>
      <c r="L1993" s="5">
        <f t="shared" si="109"/>
        <v>0</v>
      </c>
    </row>
    <row r="1994" spans="9:12" x14ac:dyDescent="0.25">
      <c r="I1994" s="2">
        <v>45823</v>
      </c>
      <c r="J1994" s="3">
        <f>IFERROR(VLOOKUP(I1994,$A$1:$G$1610,3,FALSE),J1993)</f>
        <v>20.82</v>
      </c>
      <c r="K1994" s="3">
        <f>IFERROR(VLOOKUP(I1994,$A$1:$G$1610,7,FALSE),K1993)</f>
        <v>-2.7209622160917197</v>
      </c>
      <c r="L1994" s="5">
        <f t="shared" si="109"/>
        <v>0</v>
      </c>
    </row>
    <row r="1995" spans="9:12" x14ac:dyDescent="0.25">
      <c r="I1995" s="2">
        <v>45824</v>
      </c>
      <c r="J1995" s="3">
        <f>IFERROR(VLOOKUP(I1995,$A$1:$G$1610,3,FALSE),J1994)</f>
        <v>19.11</v>
      </c>
      <c r="K1995" s="3">
        <f>IFERROR(VLOOKUP(I1995,$A$1:$G$1610,7,FALSE),K1994)</f>
        <v>-1.8072475444121641</v>
      </c>
      <c r="L1995" s="5">
        <f t="shared" si="109"/>
        <v>0</v>
      </c>
    </row>
    <row r="1996" spans="9:12" x14ac:dyDescent="0.25">
      <c r="I1996" s="2">
        <v>45825</v>
      </c>
      <c r="J1996" s="3">
        <f>IFERROR(VLOOKUP(I1996,$A$1:$G$1610,3,FALSE),J1995)</f>
        <v>21.6</v>
      </c>
      <c r="K1996" s="3">
        <f>IFERROR(VLOOKUP(I1996,$A$1:$G$1610,7,FALSE),K1995)</f>
        <v>-2.6273772612973216</v>
      </c>
      <c r="L1996" s="5">
        <f t="shared" si="109"/>
        <v>0</v>
      </c>
    </row>
    <row r="1997" spans="9:12" x14ac:dyDescent="0.25">
      <c r="I1997" s="2">
        <v>45826</v>
      </c>
      <c r="J1997" s="3">
        <f>IFERROR(VLOOKUP(I1997,$A$1:$G$1610,3,FALSE),J1996)</f>
        <v>20.14</v>
      </c>
      <c r="K1997" s="3">
        <f>IFERROR(VLOOKUP(I1997,$A$1:$G$1610,7,FALSE),K1996)</f>
        <v>-2.6574872032746555</v>
      </c>
      <c r="L1997" s="5">
        <f t="shared" si="109"/>
        <v>0</v>
      </c>
    </row>
    <row r="1998" spans="9:12" x14ac:dyDescent="0.25">
      <c r="I1998" s="2">
        <v>45827</v>
      </c>
      <c r="J1998" s="3">
        <f>IFERROR(VLOOKUP(I1998,$A$1:$G$1610,3,FALSE),J1997)</f>
        <v>22.17</v>
      </c>
      <c r="K1998" s="3">
        <f>IFERROR(VLOOKUP(I1998,$A$1:$G$1610,7,FALSE),K1997)</f>
        <v>-2.6574872032746555</v>
      </c>
      <c r="L1998" s="5">
        <f t="shared" si="109"/>
        <v>0</v>
      </c>
    </row>
    <row r="1999" spans="9:12" x14ac:dyDescent="0.25">
      <c r="I1999" s="2">
        <v>45828</v>
      </c>
      <c r="J1999" s="3">
        <f>IFERROR(VLOOKUP(I1999,$A$1:$G$1610,3,FALSE),J1998)</f>
        <v>20.62</v>
      </c>
      <c r="K1999" s="3">
        <f>IFERROR(VLOOKUP(I1999,$A$1:$G$1610,7,FALSE),K1998)</f>
        <v>-2.8695588486609132</v>
      </c>
      <c r="L1999" s="5">
        <f t="shared" si="109"/>
        <v>0</v>
      </c>
    </row>
    <row r="2000" spans="9:12" x14ac:dyDescent="0.25">
      <c r="I2000" s="2">
        <v>45829</v>
      </c>
      <c r="J2000" s="3">
        <f>IFERROR(VLOOKUP(I2000,$A$1:$G$1610,3,FALSE),J1999)</f>
        <v>20.62</v>
      </c>
      <c r="K2000" s="3">
        <f>IFERROR(VLOOKUP(I2000,$A$1:$G$1610,7,FALSE),K1999)</f>
        <v>-2.8695588486609132</v>
      </c>
      <c r="L2000" s="5">
        <f t="shared" si="109"/>
        <v>0</v>
      </c>
    </row>
    <row r="2001" spans="9:12" x14ac:dyDescent="0.25">
      <c r="I2001" s="2">
        <v>45830</v>
      </c>
      <c r="J2001" s="3">
        <f>IFERROR(VLOOKUP(I2001,$A$1:$G$1610,3,FALSE),J2000)</f>
        <v>20.62</v>
      </c>
      <c r="K2001" s="3">
        <f>IFERROR(VLOOKUP(I2001,$A$1:$G$1610,7,FALSE),K2000)</f>
        <v>-2.8695588486609132</v>
      </c>
      <c r="L2001" s="5">
        <f t="shared" si="109"/>
        <v>0</v>
      </c>
    </row>
    <row r="2002" spans="9:12" x14ac:dyDescent="0.25">
      <c r="I2002" s="2">
        <v>45831</v>
      </c>
      <c r="J2002" s="3">
        <f>IFERROR(VLOOKUP(I2002,$A$1:$G$1610,3,FALSE),J2001)</f>
        <v>19.829999999999998</v>
      </c>
      <c r="K2002" s="3">
        <f>IFERROR(VLOOKUP(I2002,$A$1:$G$1610,7,FALSE),K2001)</f>
        <v>-1.9364761602499871</v>
      </c>
      <c r="L2002" s="5">
        <f t="shared" si="109"/>
        <v>0</v>
      </c>
    </row>
    <row r="2003" spans="9:12" x14ac:dyDescent="0.25">
      <c r="I2003" s="2">
        <v>45832</v>
      </c>
      <c r="J2003" s="3">
        <f>IFERROR(VLOOKUP(I2003,$A$1:$G$1610,3,FALSE),J2002)</f>
        <v>17.48</v>
      </c>
      <c r="K2003" s="3">
        <f>IFERROR(VLOOKUP(I2003,$A$1:$G$1610,7,FALSE),K2002)</f>
        <v>-0.84584523489822594</v>
      </c>
      <c r="L2003" s="5">
        <f t="shared" si="109"/>
        <v>0</v>
      </c>
    </row>
    <row r="2004" spans="9:12" x14ac:dyDescent="0.25">
      <c r="I2004" s="2">
        <v>45833</v>
      </c>
      <c r="J2004" s="3">
        <f>IFERROR(VLOOKUP(I2004,$A$1:$G$1610,3,FALSE),J2003)</f>
        <v>16.760000000000002</v>
      </c>
      <c r="K2004" s="3">
        <f>IFERROR(VLOOKUP(I2004,$A$1:$G$1610,7,FALSE),K2003)</f>
        <v>-0.84617074778447432</v>
      </c>
      <c r="L2004" s="5">
        <f t="shared" si="109"/>
        <v>0</v>
      </c>
    </row>
    <row r="2005" spans="9:12" x14ac:dyDescent="0.25">
      <c r="I2005" s="2">
        <v>45834</v>
      </c>
      <c r="J2005" s="3">
        <f>IFERROR(VLOOKUP(I2005,$A$1:$G$1610,3,FALSE),J2004)</f>
        <v>16.59</v>
      </c>
      <c r="K2005" s="3">
        <f>IFERROR(VLOOKUP(I2005,$A$1:$G$1610,7,FALSE),K2004)</f>
        <v>-5.0942766696763585E-2</v>
      </c>
      <c r="L2005" s="5">
        <f t="shared" si="109"/>
        <v>0</v>
      </c>
    </row>
    <row r="2006" spans="9:12" x14ac:dyDescent="0.25">
      <c r="I2006" s="2">
        <v>45835</v>
      </c>
      <c r="J2006" s="3">
        <f>IFERROR(VLOOKUP(I2006,$A$1:$G$1610,3,FALSE),J2005)</f>
        <v>16.32</v>
      </c>
      <c r="K2006" s="3">
        <f>IFERROR(VLOOKUP(I2006,$A$1:$G$1610,7,FALSE),K2005)</f>
        <v>0</v>
      </c>
      <c r="L2006" s="5">
        <f t="shared" si="109"/>
        <v>0</v>
      </c>
    </row>
    <row r="2007" spans="9:12" x14ac:dyDescent="0.25">
      <c r="I2007" s="2">
        <v>45836</v>
      </c>
      <c r="J2007" s="3">
        <f>IFERROR(VLOOKUP(I2007,$A$1:$G$1610,3,FALSE),J2006)</f>
        <v>16.32</v>
      </c>
      <c r="K2007" s="3">
        <f>IFERROR(VLOOKUP(I2007,$A$1:$G$1610,7,FALSE),K2006)</f>
        <v>0</v>
      </c>
      <c r="L2007" s="5">
        <f t="shared" si="109"/>
        <v>0</v>
      </c>
    </row>
    <row r="2008" spans="9:12" x14ac:dyDescent="0.25">
      <c r="I2008" s="2">
        <v>45837</v>
      </c>
      <c r="J2008" s="3">
        <f>IFERROR(VLOOKUP(I2008,$A$1:$G$1610,3,FALSE),J2007)</f>
        <v>16.32</v>
      </c>
      <c r="K2008" s="3">
        <f>IFERROR(VLOOKUP(I2008,$A$1:$G$1610,7,FALSE),K2007)</f>
        <v>0</v>
      </c>
      <c r="L2008" s="5">
        <f t="shared" si="109"/>
        <v>0</v>
      </c>
    </row>
    <row r="2009" spans="9:12" x14ac:dyDescent="0.25">
      <c r="I2009" s="2">
        <v>45838</v>
      </c>
      <c r="J2009" s="3">
        <f>IFERROR(VLOOKUP(I2009,$A$1:$G$1610,3,FALSE),J2008)</f>
        <v>16.73</v>
      </c>
      <c r="K2009" s="3">
        <f>IFERROR(VLOOKUP(I2009,$A$1:$G$1610,7,FALSE),K2008)</f>
        <v>0</v>
      </c>
      <c r="L2009" s="5">
        <f t="shared" si="109"/>
        <v>0</v>
      </c>
    </row>
    <row r="2010" spans="9:12" x14ac:dyDescent="0.25">
      <c r="I2010" s="2">
        <v>45839</v>
      </c>
      <c r="J2010" s="3">
        <f>IFERROR(VLOOKUP(I2010,$A$1:$G$1610,3,FALSE),J2009)</f>
        <v>16.829999999999998</v>
      </c>
      <c r="K2010" s="3">
        <f>IFERROR(VLOOKUP(I2010,$A$1:$G$1610,7,FALSE),K2009)</f>
        <v>-0.11184618731818308</v>
      </c>
      <c r="L2010" s="5">
        <f t="shared" si="109"/>
        <v>0</v>
      </c>
    </row>
    <row r="2011" spans="9:12" x14ac:dyDescent="0.25">
      <c r="I2011" s="2">
        <v>45840</v>
      </c>
      <c r="J2011" s="3">
        <f>IFERROR(VLOOKUP(I2011,$A$1:$G$1610,3,FALSE),J2010)</f>
        <v>16.64</v>
      </c>
      <c r="K2011" s="3">
        <f>IFERROR(VLOOKUP(I2011,$A$1:$G$1610,7,FALSE),K2010)</f>
        <v>0</v>
      </c>
      <c r="L2011" s="5">
        <f t="shared" si="109"/>
        <v>0</v>
      </c>
    </row>
    <row r="2012" spans="9:12" x14ac:dyDescent="0.25">
      <c r="I2012" s="2">
        <v>45841</v>
      </c>
      <c r="J2012" s="3">
        <f>IFERROR(VLOOKUP(I2012,$A$1:$G$1610,3,FALSE),J2011)</f>
        <v>16.38</v>
      </c>
      <c r="K2012" s="3">
        <f>IFERROR(VLOOKUP(I2012,$A$1:$G$1610,7,FALSE),K2011)</f>
        <v>0</v>
      </c>
      <c r="L2012" s="5">
        <f t="shared" si="109"/>
        <v>0</v>
      </c>
    </row>
    <row r="2013" spans="9:12" x14ac:dyDescent="0.25">
      <c r="I2013" s="2">
        <v>45842</v>
      </c>
      <c r="J2013" s="3">
        <f>IFERROR(VLOOKUP(I2013,$A$1:$G$1610,3,FALSE),J2012)</f>
        <v>17.48</v>
      </c>
      <c r="K2013" s="3">
        <f>IFERROR(VLOOKUP(I2013,$A$1:$G$1610,7,FALSE),K2012)</f>
        <v>0</v>
      </c>
      <c r="L2013" s="5">
        <f t="shared" si="109"/>
        <v>0</v>
      </c>
    </row>
    <row r="2014" spans="9:12" x14ac:dyDescent="0.25">
      <c r="I2014" s="2">
        <v>45843</v>
      </c>
      <c r="J2014" s="3">
        <f>IFERROR(VLOOKUP(I2014,$A$1:$G$1610,3,FALSE),J2013)</f>
        <v>17.48</v>
      </c>
      <c r="K2014" s="3">
        <f>IFERROR(VLOOKUP(I2014,$A$1:$G$1610,7,FALSE),K2013)</f>
        <v>0</v>
      </c>
      <c r="L2014" s="5">
        <f t="shared" si="109"/>
        <v>0</v>
      </c>
    </row>
    <row r="2015" spans="9:12" x14ac:dyDescent="0.25">
      <c r="I2015" s="2">
        <v>45844</v>
      </c>
      <c r="J2015" s="3">
        <f>IFERROR(VLOOKUP(I2015,$A$1:$G$1610,3,FALSE),J2014)</f>
        <v>17.48</v>
      </c>
      <c r="K2015" s="3">
        <f>IFERROR(VLOOKUP(I2015,$A$1:$G$1610,7,FALSE),K2014)</f>
        <v>0</v>
      </c>
      <c r="L2015" s="5">
        <f t="shared" si="109"/>
        <v>0</v>
      </c>
    </row>
    <row r="2016" spans="9:12" x14ac:dyDescent="0.25">
      <c r="I2016" s="2">
        <v>45845</v>
      </c>
      <c r="J2016" s="3">
        <f>IFERROR(VLOOKUP(I2016,$A$1:$G$1610,3,FALSE),J2015)</f>
        <v>17.79</v>
      </c>
      <c r="K2016" s="3">
        <f>IFERROR(VLOOKUP(I2016,$A$1:$G$1610,7,FALSE),K2015)</f>
        <v>-0.78622787390415882</v>
      </c>
      <c r="L2016" s="5">
        <f t="shared" si="109"/>
        <v>0</v>
      </c>
    </row>
    <row r="2017" spans="9:12" x14ac:dyDescent="0.25">
      <c r="I2017" s="2">
        <v>45846</v>
      </c>
      <c r="J2017" s="3">
        <f>IFERROR(VLOOKUP(I2017,$A$1:$G$1610,3,FALSE),J2016)</f>
        <v>16.809999999999999</v>
      </c>
      <c r="K2017" s="3">
        <f>IFERROR(VLOOKUP(I2017,$A$1:$G$1610,7,FALSE),K2016)</f>
        <v>-0.85725433364918224</v>
      </c>
      <c r="L2017" s="5">
        <f t="shared" si="109"/>
        <v>0</v>
      </c>
    </row>
    <row r="2018" spans="9:12" x14ac:dyDescent="0.25">
      <c r="I2018" s="2">
        <v>45847</v>
      </c>
      <c r="J2018" s="3">
        <f>IFERROR(VLOOKUP(I2018,$A$1:$G$1610,3,FALSE),J2017)</f>
        <v>15.94</v>
      </c>
      <c r="K2018" s="3">
        <f>IFERROR(VLOOKUP(I2018,$A$1:$G$1610,7,FALSE),K2017)</f>
        <v>-0.25623671239857859</v>
      </c>
      <c r="L2018" s="5">
        <f t="shared" si="109"/>
        <v>0</v>
      </c>
    </row>
    <row r="2019" spans="9:12" x14ac:dyDescent="0.25">
      <c r="I2019" s="2">
        <v>45848</v>
      </c>
      <c r="J2019" s="3">
        <f>IFERROR(VLOOKUP(I2019,$A$1:$G$1610,3,FALSE),J2018)</f>
        <v>15.78</v>
      </c>
      <c r="K2019" s="3">
        <f>IFERROR(VLOOKUP(I2019,$A$1:$G$1610,7,FALSE),K2018)</f>
        <v>0</v>
      </c>
      <c r="L2019" s="5">
        <f t="shared" si="109"/>
        <v>0</v>
      </c>
    </row>
    <row r="2020" spans="9:12" x14ac:dyDescent="0.25">
      <c r="I2020" s="2">
        <v>45849</v>
      </c>
      <c r="J2020" s="3">
        <f>IFERROR(VLOOKUP(I2020,$A$1:$G$1610,3,FALSE),J2019)</f>
        <v>16.399999999999999</v>
      </c>
      <c r="K2020" s="3">
        <f>IFERROR(VLOOKUP(I2020,$A$1:$G$1610,7,FALSE),K2019)</f>
        <v>-0.32975291618766833</v>
      </c>
      <c r="L2020" s="5">
        <f t="shared" si="109"/>
        <v>0</v>
      </c>
    </row>
    <row r="2021" spans="9:12" x14ac:dyDescent="0.25">
      <c r="I2021" s="2">
        <v>45850</v>
      </c>
      <c r="J2021" s="3">
        <f>IFERROR(VLOOKUP(I2021,$A$1:$G$1610,3,FALSE),J2020)</f>
        <v>16.399999999999999</v>
      </c>
      <c r="K2021" s="3">
        <f>IFERROR(VLOOKUP(I2021,$A$1:$G$1610,7,FALSE),K2020)</f>
        <v>-0.32975291618766833</v>
      </c>
      <c r="L2021" s="5">
        <f t="shared" si="109"/>
        <v>0</v>
      </c>
    </row>
    <row r="2022" spans="9:12" x14ac:dyDescent="0.25">
      <c r="I2022" s="2">
        <v>45851</v>
      </c>
      <c r="J2022" s="3">
        <f>IFERROR(VLOOKUP(I2022,$A$1:$G$1610,3,FALSE),J2021)</f>
        <v>16.399999999999999</v>
      </c>
      <c r="K2022" s="3">
        <f>IFERROR(VLOOKUP(I2022,$A$1:$G$1610,7,FALSE),K2021)</f>
        <v>-0.32975291618766833</v>
      </c>
      <c r="L2022" s="5">
        <f t="shared" si="109"/>
        <v>0</v>
      </c>
    </row>
    <row r="2023" spans="9:12" x14ac:dyDescent="0.25">
      <c r="I2023" s="2">
        <v>45852</v>
      </c>
      <c r="J2023" s="3">
        <f>IFERROR(VLOOKUP(I2023,$A$1:$G$1610,3,FALSE),J2022)</f>
        <v>17.2</v>
      </c>
      <c r="K2023" s="3">
        <f>IFERROR(VLOOKUP(I2023,$A$1:$G$1610,7,FALSE),K2022)</f>
        <v>-0.18947656700304813</v>
      </c>
      <c r="L2023" s="5">
        <f t="shared" si="109"/>
        <v>0</v>
      </c>
    </row>
    <row r="2024" spans="9:12" x14ac:dyDescent="0.25">
      <c r="I2024" s="2">
        <v>45853</v>
      </c>
      <c r="J2024" s="3">
        <f>IFERROR(VLOOKUP(I2024,$A$1:$G$1610,3,FALSE),J2023)</f>
        <v>17.38</v>
      </c>
      <c r="K2024" s="3">
        <f>IFERROR(VLOOKUP(I2024,$A$1:$G$1610,7,FALSE),K2023)</f>
        <v>-0.58435210159765072</v>
      </c>
      <c r="L2024" s="5">
        <f t="shared" si="109"/>
        <v>0</v>
      </c>
    </row>
    <row r="2025" spans="9:12" x14ac:dyDescent="0.25">
      <c r="I2025" s="2">
        <v>45854</v>
      </c>
      <c r="J2025" s="3">
        <f>IFERROR(VLOOKUP(I2025,$A$1:$G$1610,3,FALSE),J2024)</f>
        <v>17.16</v>
      </c>
      <c r="K2025" s="3">
        <f>IFERROR(VLOOKUP(I2025,$A$1:$G$1610,7,FALSE),K2024)</f>
        <v>-0.26685943386312816</v>
      </c>
      <c r="L2025" s="5">
        <f t="shared" si="109"/>
        <v>0</v>
      </c>
    </row>
    <row r="2026" spans="9:12" x14ac:dyDescent="0.25">
      <c r="I2026" s="2">
        <v>45855</v>
      </c>
      <c r="J2026" s="3">
        <f>IFERROR(VLOOKUP(I2026,$A$1:$G$1610,3,FALSE),J2025)</f>
        <v>16.52</v>
      </c>
      <c r="K2026" s="3">
        <f>IFERROR(VLOOKUP(I2026,$A$1:$G$1610,7,FALSE),K2025)</f>
        <v>0</v>
      </c>
      <c r="L2026" s="5">
        <f t="shared" si="109"/>
        <v>0</v>
      </c>
    </row>
    <row r="2027" spans="9:12" x14ac:dyDescent="0.25">
      <c r="I2027" s="2">
        <v>45856</v>
      </c>
      <c r="J2027" s="3">
        <f>IFERROR(VLOOKUP(I2027,$A$1:$G$1610,3,FALSE),J2026)</f>
        <v>16.41</v>
      </c>
      <c r="K2027" s="3">
        <f>IFERROR(VLOOKUP(I2027,$A$1:$G$1610,7,FALSE),K2026)</f>
        <v>-9.0514120202705422E-3</v>
      </c>
      <c r="L2027" s="5">
        <f t="shared" si="109"/>
        <v>0</v>
      </c>
    </row>
    <row r="2028" spans="9:12" x14ac:dyDescent="0.25">
      <c r="I2028" s="2">
        <v>45857</v>
      </c>
      <c r="J2028" s="3">
        <f>IFERROR(VLOOKUP(I2028,$A$1:$G$1610,3,FALSE),J2027)</f>
        <v>16.41</v>
      </c>
      <c r="K2028" s="3">
        <f>IFERROR(VLOOKUP(I2028,$A$1:$G$1610,7,FALSE),K2027)</f>
        <v>-9.0514120202705422E-3</v>
      </c>
      <c r="L2028" s="5">
        <f t="shared" si="109"/>
        <v>0</v>
      </c>
    </row>
    <row r="2029" spans="9:12" x14ac:dyDescent="0.25">
      <c r="I2029" s="2">
        <v>45858</v>
      </c>
      <c r="J2029" s="3">
        <f>IFERROR(VLOOKUP(I2029,$A$1:$G$1610,3,FALSE),J2028)</f>
        <v>16.41</v>
      </c>
      <c r="K2029" s="3">
        <f>IFERROR(VLOOKUP(I2029,$A$1:$G$1610,7,FALSE),K2028)</f>
        <v>-9.0514120202705422E-3</v>
      </c>
      <c r="L2029" s="5">
        <f t="shared" si="109"/>
        <v>0</v>
      </c>
    </row>
    <row r="2030" spans="9:12" x14ac:dyDescent="0.25">
      <c r="I2030" s="2">
        <v>45859</v>
      </c>
      <c r="J2030" s="3">
        <f>IFERROR(VLOOKUP(I2030,$A$1:$G$1610,3,FALSE),J2029)</f>
        <v>16.649999999999999</v>
      </c>
      <c r="K2030" s="3">
        <f>IFERROR(VLOOKUP(I2030,$A$1:$G$1610,7,FALSE),K2029)</f>
        <v>0</v>
      </c>
      <c r="L2030" s="5">
        <f t="shared" si="109"/>
        <v>0</v>
      </c>
    </row>
    <row r="2031" spans="9:12" x14ac:dyDescent="0.25">
      <c r="I2031" s="2">
        <v>45860</v>
      </c>
      <c r="J2031" s="3">
        <f>IFERROR(VLOOKUP(I2031,$A$1:$G$1610,3,FALSE),J2030)</f>
        <v>16.5</v>
      </c>
      <c r="K2031" s="3">
        <f>IFERROR(VLOOKUP(I2031,$A$1:$G$1610,7,FALSE),K2030)</f>
        <v>0</v>
      </c>
      <c r="L2031" s="5">
        <f t="shared" si="109"/>
        <v>0</v>
      </c>
    </row>
    <row r="2032" spans="9:12" x14ac:dyDescent="0.25">
      <c r="I2032" s="2">
        <v>45861</v>
      </c>
      <c r="J2032" s="3">
        <f>IFERROR(VLOOKUP(I2032,$A$1:$G$1610,3,FALSE),J2031)</f>
        <v>15.37</v>
      </c>
      <c r="K2032" s="3">
        <f>IFERROR(VLOOKUP(I2032,$A$1:$G$1610,7,FALSE),K2031)</f>
        <v>0</v>
      </c>
      <c r="L2032" s="5">
        <f t="shared" si="109"/>
        <v>0</v>
      </c>
    </row>
    <row r="2033" spans="9:12" x14ac:dyDescent="0.25">
      <c r="I2033" s="2">
        <v>45862</v>
      </c>
      <c r="J2033" s="3">
        <f>IFERROR(VLOOKUP(I2033,$A$1:$G$1610,3,FALSE),J2032)</f>
        <v>15.39</v>
      </c>
      <c r="K2033" s="3">
        <f>IFERROR(VLOOKUP(I2033,$A$1:$G$1610,7,FALSE),K2032)</f>
        <v>0</v>
      </c>
      <c r="L2033" s="5">
        <f t="shared" si="109"/>
        <v>0</v>
      </c>
    </row>
    <row r="2034" spans="9:12" x14ac:dyDescent="0.25">
      <c r="I2034" s="2">
        <v>45863</v>
      </c>
      <c r="J2034" s="3">
        <f>IFERROR(VLOOKUP(I2034,$A$1:$G$1610,3,FALSE),J2033)</f>
        <v>14.93</v>
      </c>
      <c r="K2034" s="3">
        <f>IFERROR(VLOOKUP(I2034,$A$1:$G$1610,7,FALSE),K2033)</f>
        <v>0</v>
      </c>
      <c r="L2034" s="5">
        <f t="shared" si="109"/>
        <v>0</v>
      </c>
    </row>
    <row r="2035" spans="9:12" x14ac:dyDescent="0.25">
      <c r="I2035" s="2">
        <v>45864</v>
      </c>
      <c r="J2035" s="3">
        <f>IFERROR(VLOOKUP(I2035,$A$1:$G$1610,3,FALSE),J2034)</f>
        <v>14.93</v>
      </c>
      <c r="K2035" s="3">
        <f>IFERROR(VLOOKUP(I2035,$A$1:$G$1610,7,FALSE),K2034)</f>
        <v>0</v>
      </c>
      <c r="L2035" s="5">
        <f t="shared" si="109"/>
        <v>0</v>
      </c>
    </row>
    <row r="2036" spans="9:12" x14ac:dyDescent="0.25">
      <c r="I2036" s="2">
        <v>45865</v>
      </c>
      <c r="J2036" s="3">
        <f>IFERROR(VLOOKUP(I2036,$A$1:$G$1610,3,FALSE),J2035)</f>
        <v>14.93</v>
      </c>
      <c r="K2036" s="3">
        <f>IFERROR(VLOOKUP(I2036,$A$1:$G$1610,7,FALSE),K2035)</f>
        <v>0</v>
      </c>
      <c r="L2036" s="5">
        <f t="shared" si="109"/>
        <v>0</v>
      </c>
    </row>
    <row r="2037" spans="9:12" x14ac:dyDescent="0.25">
      <c r="I2037" s="2">
        <v>45866</v>
      </c>
      <c r="J2037" s="3">
        <f>IFERROR(VLOOKUP(I2037,$A$1:$G$1610,3,FALSE),J2036)</f>
        <v>15.03</v>
      </c>
      <c r="K2037" s="3">
        <f>IFERROR(VLOOKUP(I2037,$A$1:$G$1610,7,FALSE),K2036)</f>
        <v>0</v>
      </c>
      <c r="L2037" s="5">
        <f t="shared" si="109"/>
        <v>0</v>
      </c>
    </row>
    <row r="2038" spans="9:12" x14ac:dyDescent="0.25">
      <c r="I2038" s="2">
        <v>45867</v>
      </c>
      <c r="J2038" s="3">
        <f>IFERROR(VLOOKUP(I2038,$A$1:$G$1610,3,FALSE),J2037)</f>
        <v>15.98</v>
      </c>
      <c r="K2038" s="3">
        <f>IFERROR(VLOOKUP(I2038,$A$1:$G$1610,7,FALSE),K2037)</f>
        <v>-0.2959417944620974</v>
      </c>
      <c r="L2038" s="5">
        <f t="shared" si="109"/>
        <v>0</v>
      </c>
    </row>
    <row r="2039" spans="9:12" x14ac:dyDescent="0.25">
      <c r="I2039" s="2">
        <v>45868</v>
      </c>
      <c r="J2039" s="3">
        <f>IFERROR(VLOOKUP(I2039,$A$1:$G$1610,3,FALSE),J2038)</f>
        <v>15.48</v>
      </c>
      <c r="K2039" s="3">
        <f>IFERROR(VLOOKUP(I2039,$A$1:$G$1610,7,FALSE),K2038)</f>
        <v>-0.42051591841335129</v>
      </c>
      <c r="L2039" s="5">
        <f t="shared" si="109"/>
        <v>0</v>
      </c>
    </row>
    <row r="2040" spans="9:12" x14ac:dyDescent="0.25">
      <c r="I2040" s="2">
        <v>45869</v>
      </c>
      <c r="J2040" s="3">
        <f>IFERROR(VLOOKUP(I2040,$A$1:$G$1610,3,FALSE),J2039)</f>
        <v>16.72</v>
      </c>
      <c r="K2040" s="3">
        <f>IFERROR(VLOOKUP(I2040,$A$1:$G$1610,7,FALSE),K2039)</f>
        <v>-0.78844778450554731</v>
      </c>
      <c r="L2040" s="5">
        <f t="shared" si="109"/>
        <v>0</v>
      </c>
    </row>
    <row r="2041" spans="9:12" x14ac:dyDescent="0.25">
      <c r="I2041" s="2">
        <v>45870</v>
      </c>
      <c r="J2041" s="3">
        <f>IFERROR(VLOOKUP(I2041,$A$1:$G$1610,3,FALSE),J2040)</f>
        <v>20.38</v>
      </c>
      <c r="K2041" s="3">
        <f>IFERROR(VLOOKUP(I2041,$A$1:$G$1610,7,FALSE),K2040)</f>
        <v>-2.3750463631711347</v>
      </c>
      <c r="L2041" s="5">
        <f t="shared" si="109"/>
        <v>0</v>
      </c>
    </row>
    <row r="2042" spans="9:12" x14ac:dyDescent="0.25">
      <c r="I2042" s="2">
        <v>45871</v>
      </c>
      <c r="J2042" s="3">
        <f>IFERROR(VLOOKUP(I2042,$A$1:$G$1610,3,FALSE),J2041)</f>
        <v>20.38</v>
      </c>
      <c r="K2042" s="3">
        <f>IFERROR(VLOOKUP(I2042,$A$1:$G$1610,7,FALSE),K2041)</f>
        <v>-2.3750463631711347</v>
      </c>
      <c r="L2042" s="5">
        <f t="shared" si="109"/>
        <v>0</v>
      </c>
    </row>
    <row r="2043" spans="9:12" x14ac:dyDescent="0.25">
      <c r="I2043" s="2">
        <v>45872</v>
      </c>
      <c r="J2043" s="3">
        <f>IFERROR(VLOOKUP(I2043,$A$1:$G$1610,3,FALSE),J2042)</f>
        <v>20.38</v>
      </c>
      <c r="K2043" s="3">
        <f>IFERROR(VLOOKUP(I2043,$A$1:$G$1610,7,FALSE),K2042)</f>
        <v>-2.3750463631711347</v>
      </c>
      <c r="L2043" s="5">
        <f t="shared" si="109"/>
        <v>0</v>
      </c>
    </row>
    <row r="2044" spans="9:12" x14ac:dyDescent="0.25">
      <c r="I2044" s="2">
        <v>45873</v>
      </c>
      <c r="J2044" s="3">
        <f>IFERROR(VLOOKUP(I2044,$A$1:$G$1610,3,FALSE),J2043)</f>
        <v>17.52</v>
      </c>
      <c r="K2044" s="3">
        <f>IFERROR(VLOOKUP(I2044,$A$1:$G$1610,7,FALSE),K2043)</f>
        <v>-0.93634043165874248</v>
      </c>
      <c r="L2044" s="5">
        <f t="shared" si="109"/>
        <v>0</v>
      </c>
    </row>
    <row r="2045" spans="9:12" x14ac:dyDescent="0.25">
      <c r="I2045" s="2">
        <v>45874</v>
      </c>
      <c r="J2045" s="3">
        <f>IFERROR(VLOOKUP(I2045,$A$1:$G$1610,3,FALSE),J2044)</f>
        <v>17.850000000000001</v>
      </c>
      <c r="K2045" s="3">
        <f>IFERROR(VLOOKUP(I2045,$A$1:$G$1610,7,FALSE),K2044)</f>
        <v>-1.4175784104905313</v>
      </c>
      <c r="L2045" s="5">
        <f t="shared" si="109"/>
        <v>0</v>
      </c>
    </row>
    <row r="2046" spans="9:12" x14ac:dyDescent="0.25">
      <c r="I2046" s="2">
        <v>45875</v>
      </c>
      <c r="J2046" s="3">
        <f>IFERROR(VLOOKUP(I2046,$A$1:$G$1610,3,FALSE),J2045)</f>
        <v>16.77</v>
      </c>
      <c r="K2046" s="3">
        <f>IFERROR(VLOOKUP(I2046,$A$1:$G$1610,7,FALSE),K2045)</f>
        <v>-0.69971219621363578</v>
      </c>
      <c r="L2046" s="5">
        <f t="shared" si="109"/>
        <v>0</v>
      </c>
    </row>
    <row r="2047" spans="9:12" x14ac:dyDescent="0.25">
      <c r="I2047" s="2">
        <v>45876</v>
      </c>
      <c r="J2047" s="3">
        <f>IFERROR(VLOOKUP(I2047,$A$1:$G$1610,3,FALSE),J2046)</f>
        <v>16.57</v>
      </c>
      <c r="K2047" s="3">
        <f>IFERROR(VLOOKUP(I2047,$A$1:$G$1610,7,FALSE),K2046)</f>
        <v>-0.77890127500677542</v>
      </c>
      <c r="L2047" s="5">
        <f t="shared" si="109"/>
        <v>0</v>
      </c>
    </row>
    <row r="2048" spans="9:12" x14ac:dyDescent="0.25">
      <c r="I2048" s="2">
        <v>45877</v>
      </c>
      <c r="J2048" s="3">
        <f>IFERROR(VLOOKUP(I2048,$A$1:$G$1610,3,FALSE),J2047)</f>
        <v>15.15</v>
      </c>
      <c r="K2048" s="3">
        <f>IFERROR(VLOOKUP(I2048,$A$1:$G$1610,7,FALSE),K2047)</f>
        <v>-5.0080049829746365E-3</v>
      </c>
      <c r="L2048" s="5">
        <f t="shared" si="109"/>
        <v>0</v>
      </c>
    </row>
    <row r="2049" spans="9:12" x14ac:dyDescent="0.25">
      <c r="I2049" s="2">
        <v>45878</v>
      </c>
      <c r="J2049" s="3">
        <f>IFERROR(VLOOKUP(I2049,$A$1:$G$1610,3,FALSE),J2048)</f>
        <v>15.15</v>
      </c>
      <c r="K2049" s="3">
        <f>IFERROR(VLOOKUP(I2049,$A$1:$G$1610,7,FALSE),K2048)</f>
        <v>-5.0080049829746365E-3</v>
      </c>
      <c r="L2049" s="5">
        <f t="shared" si="109"/>
        <v>0</v>
      </c>
    </row>
    <row r="2050" spans="9:12" x14ac:dyDescent="0.25">
      <c r="I2050" s="2">
        <v>45879</v>
      </c>
      <c r="J2050" s="3">
        <f>IFERROR(VLOOKUP(I2050,$A$1:$G$1610,3,FALSE),J2049)</f>
        <v>15.15</v>
      </c>
      <c r="K2050" s="3">
        <f>IFERROR(VLOOKUP(I2050,$A$1:$G$1610,7,FALSE),K2049)</f>
        <v>-5.0080049829746365E-3</v>
      </c>
      <c r="L2050" s="5">
        <f t="shared" ref="L2050:L2113" si="110">IF(OR(J2050&gt;=30,K2050&lt;-10),1,0)</f>
        <v>0</v>
      </c>
    </row>
    <row r="2051" spans="9:12" x14ac:dyDescent="0.25">
      <c r="I2051" s="2">
        <v>45880</v>
      </c>
      <c r="J2051" s="3">
        <f>IFERROR(VLOOKUP(I2051,$A$1:$G$1610,3,FALSE),J2050)</f>
        <v>16.25</v>
      </c>
      <c r="K2051" s="3">
        <f>IFERROR(VLOOKUP(I2051,$A$1:$G$1610,7,FALSE),K2050)</f>
        <v>-0.25540825413122253</v>
      </c>
      <c r="L2051" s="5">
        <f t="shared" si="110"/>
        <v>0</v>
      </c>
    </row>
    <row r="2052" spans="9:12" x14ac:dyDescent="0.25">
      <c r="I2052" s="2">
        <v>45881</v>
      </c>
      <c r="J2052" s="3">
        <f>IFERROR(VLOOKUP(I2052,$A$1:$G$1610,3,FALSE),J2051)</f>
        <v>14.73</v>
      </c>
      <c r="K2052" s="3">
        <f>IFERROR(VLOOKUP(I2052,$A$1:$G$1610,7,FALSE),K2051)</f>
        <v>0</v>
      </c>
      <c r="L2052" s="5">
        <f t="shared" si="110"/>
        <v>0</v>
      </c>
    </row>
    <row r="2053" spans="9:12" x14ac:dyDescent="0.25">
      <c r="I2053" s="2">
        <v>45882</v>
      </c>
      <c r="J2053" s="3">
        <f>IFERROR(VLOOKUP(I2053,$A$1:$G$1610,3,FALSE),J2052)</f>
        <v>14.49</v>
      </c>
      <c r="K2053" s="3">
        <f>IFERROR(VLOOKUP(I2053,$A$1:$G$1610,7,FALSE),K2052)</f>
        <v>0</v>
      </c>
      <c r="L2053" s="5">
        <f t="shared" si="110"/>
        <v>0</v>
      </c>
    </row>
    <row r="2054" spans="9:12" x14ac:dyDescent="0.25">
      <c r="I2054" s="2">
        <v>45883</v>
      </c>
      <c r="J2054" s="3">
        <f>IFERROR(VLOOKUP(I2054,$A$1:$G$1610,3,FALSE),J2053)</f>
        <v>14.83</v>
      </c>
      <c r="K2054" s="3">
        <f>IFERROR(VLOOKUP(I2054,$A$1:$G$1610,7,FALSE),K2053)</f>
        <v>0</v>
      </c>
      <c r="L2054" s="5">
        <f t="shared" si="110"/>
        <v>0</v>
      </c>
    </row>
    <row r="2055" spans="9:12" x14ac:dyDescent="0.25">
      <c r="I2055" s="2">
        <v>45884</v>
      </c>
      <c r="J2055" s="3">
        <f>IFERROR(VLOOKUP(I2055,$A$1:$G$1610,3,FALSE),J2054)</f>
        <v>15.09</v>
      </c>
      <c r="K2055" s="3">
        <f>IFERROR(VLOOKUP(I2055,$A$1:$G$1610,7,FALSE),K2054)</f>
        <v>-0.28970988816641441</v>
      </c>
      <c r="L2055" s="5">
        <f t="shared" si="110"/>
        <v>0</v>
      </c>
    </row>
    <row r="2056" spans="9:12" x14ac:dyDescent="0.25">
      <c r="I2056" s="2">
        <v>45885</v>
      </c>
      <c r="J2056" s="3">
        <f>IFERROR(VLOOKUP(I2056,$A$1:$G$1610,3,FALSE),J2055)</f>
        <v>15.09</v>
      </c>
      <c r="K2056" s="3">
        <f>IFERROR(VLOOKUP(I2056,$A$1:$G$1610,7,FALSE),K2055)</f>
        <v>-0.28970988816641441</v>
      </c>
      <c r="L2056" s="5">
        <f t="shared" si="110"/>
        <v>0</v>
      </c>
    </row>
    <row r="2057" spans="9:12" x14ac:dyDescent="0.25">
      <c r="I2057" s="2">
        <v>45886</v>
      </c>
      <c r="J2057" s="3">
        <f>IFERROR(VLOOKUP(I2057,$A$1:$G$1610,3,FALSE),J2056)</f>
        <v>15.09</v>
      </c>
      <c r="K2057" s="3">
        <f>IFERROR(VLOOKUP(I2057,$A$1:$G$1610,7,FALSE),K2056)</f>
        <v>-0.28970988816641441</v>
      </c>
      <c r="L2057" s="5">
        <f t="shared" si="110"/>
        <v>0</v>
      </c>
    </row>
    <row r="2058" spans="9:12" x14ac:dyDescent="0.25">
      <c r="I2058" s="2">
        <v>45887</v>
      </c>
      <c r="J2058" s="3">
        <f>IFERROR(VLOOKUP(I2058,$A$1:$G$1610,3,FALSE),J2057)</f>
        <v>14.99</v>
      </c>
      <c r="K2058" s="3">
        <f>IFERROR(VLOOKUP(I2058,$A$1:$G$1610,7,FALSE),K2057)</f>
        <v>-0.29975852356173616</v>
      </c>
      <c r="L2058" s="5">
        <f t="shared" si="110"/>
        <v>0</v>
      </c>
    </row>
    <row r="2059" spans="9:12" x14ac:dyDescent="0.25">
      <c r="I2059" s="2">
        <v>45888</v>
      </c>
      <c r="J2059" s="3">
        <f>IFERROR(VLOOKUP(I2059,$A$1:$G$1610,3,FALSE),J2058)</f>
        <v>15.57</v>
      </c>
      <c r="K2059" s="3">
        <f>IFERROR(VLOOKUP(I2059,$A$1:$G$1610,7,FALSE),K2058)</f>
        <v>-0.88381613161548167</v>
      </c>
      <c r="L2059" s="5">
        <f t="shared" si="110"/>
        <v>0</v>
      </c>
    </row>
    <row r="2060" spans="9:12" x14ac:dyDescent="0.25">
      <c r="I2060" s="2">
        <v>45889</v>
      </c>
      <c r="J2060" s="3">
        <f>IFERROR(VLOOKUP(I2060,$A$1:$G$1610,3,FALSE),J2059)</f>
        <v>15.69</v>
      </c>
      <c r="K2060" s="3">
        <f>IFERROR(VLOOKUP(I2060,$A$1:$G$1610,7,FALSE),K2059)</f>
        <v>-1.1248287867123063</v>
      </c>
      <c r="L2060" s="5">
        <f t="shared" si="110"/>
        <v>0</v>
      </c>
    </row>
    <row r="2061" spans="9:12" x14ac:dyDescent="0.25">
      <c r="I2061" s="2">
        <v>45890</v>
      </c>
      <c r="J2061" s="3">
        <f>IFERROR(VLOOKUP(I2061,$A$1:$G$1610,3,FALSE),J2060)</f>
        <v>16.600000000000001</v>
      </c>
      <c r="K2061" s="3">
        <f>IFERROR(VLOOKUP(I2061,$A$1:$G$1610,7,FALSE),K2060)</f>
        <v>-1.5207450212876459</v>
      </c>
      <c r="L2061" s="5">
        <f t="shared" si="110"/>
        <v>0</v>
      </c>
    </row>
    <row r="2062" spans="9:12" x14ac:dyDescent="0.25">
      <c r="I2062" s="2">
        <v>45891</v>
      </c>
      <c r="J2062" s="3">
        <f>IFERROR(VLOOKUP(I2062,$A$1:$G$1610,3,FALSE),J2061)</f>
        <v>14.22</v>
      </c>
      <c r="K2062" s="3">
        <f>IFERROR(VLOOKUP(I2062,$A$1:$G$1610,7,FALSE),K2061)</f>
        <v>-2.5198885683633543E-2</v>
      </c>
      <c r="L2062" s="5">
        <f t="shared" si="110"/>
        <v>0</v>
      </c>
    </row>
    <row r="2063" spans="9:12" x14ac:dyDescent="0.25">
      <c r="I2063" s="2">
        <v>45892</v>
      </c>
      <c r="J2063" s="3">
        <f>IFERROR(VLOOKUP(I2063,$A$1:$G$1610,3,FALSE),J2062)</f>
        <v>14.22</v>
      </c>
      <c r="K2063" s="3">
        <f>IFERROR(VLOOKUP(I2063,$A$1:$G$1610,7,FALSE),K2062)</f>
        <v>-2.5198885683633543E-2</v>
      </c>
      <c r="L2063" s="5">
        <f t="shared" si="110"/>
        <v>0</v>
      </c>
    </row>
    <row r="2064" spans="9:12" x14ac:dyDescent="0.25">
      <c r="I2064" s="2">
        <v>45893</v>
      </c>
      <c r="J2064" s="3">
        <f>IFERROR(VLOOKUP(I2064,$A$1:$G$1610,3,FALSE),J2063)</f>
        <v>14.22</v>
      </c>
      <c r="K2064" s="3">
        <f>IFERROR(VLOOKUP(I2064,$A$1:$G$1610,7,FALSE),K2063)</f>
        <v>-2.5198885683633543E-2</v>
      </c>
      <c r="L2064" s="5">
        <f t="shared" si="110"/>
        <v>0</v>
      </c>
    </row>
    <row r="2065" spans="9:12" x14ac:dyDescent="0.25">
      <c r="I2065" s="2">
        <v>45894</v>
      </c>
      <c r="J2065" s="3">
        <f>IFERROR(VLOOKUP(I2065,$A$1:$G$1610,3,FALSE),J2064)</f>
        <v>14.79</v>
      </c>
      <c r="K2065" s="3">
        <f>IFERROR(VLOOKUP(I2065,$A$1:$G$1610,7,FALSE),K2064)</f>
        <v>-0.45172480961701178</v>
      </c>
      <c r="L2065" s="5">
        <f t="shared" si="110"/>
        <v>0</v>
      </c>
    </row>
    <row r="2066" spans="9:12" x14ac:dyDescent="0.25">
      <c r="I2066" s="2">
        <v>45895</v>
      </c>
      <c r="J2066" s="3">
        <f>IFERROR(VLOOKUP(I2066,$A$1:$G$1610,3,FALSE),J2065)</f>
        <v>14.62</v>
      </c>
      <c r="K2066" s="3">
        <f>IFERROR(VLOOKUP(I2066,$A$1:$G$1610,7,FALSE),K2065)</f>
        <v>-4.0194541581258889E-2</v>
      </c>
      <c r="L2066" s="5">
        <f t="shared" si="110"/>
        <v>0</v>
      </c>
    </row>
    <row r="2067" spans="9:12" x14ac:dyDescent="0.25">
      <c r="I2067" s="2">
        <v>45896</v>
      </c>
      <c r="J2067" s="3">
        <f>IFERROR(VLOOKUP(I2067,$A$1:$G$1610,3,FALSE),J2066)</f>
        <v>14.85</v>
      </c>
      <c r="K2067" s="3">
        <f>IFERROR(VLOOKUP(I2067,$A$1:$G$1610,7,FALSE),K2066)</f>
        <v>0</v>
      </c>
      <c r="L2067" s="5">
        <f t="shared" si="110"/>
        <v>0</v>
      </c>
    </row>
    <row r="2068" spans="9:12" x14ac:dyDescent="0.25">
      <c r="I2068" s="2">
        <v>45897</v>
      </c>
      <c r="J2068" s="3">
        <f>IFERROR(VLOOKUP(I2068,$A$1:$G$1610,3,FALSE),J2067)</f>
        <v>14.43</v>
      </c>
      <c r="K2068" s="3">
        <f>IFERROR(VLOOKUP(I2068,$A$1:$G$1610,7,FALSE),K2067)</f>
        <v>0</v>
      </c>
      <c r="L2068" s="5">
        <f t="shared" si="110"/>
        <v>0</v>
      </c>
    </row>
    <row r="2069" spans="9:12" x14ac:dyDescent="0.25">
      <c r="I2069" s="2">
        <v>45898</v>
      </c>
      <c r="J2069" s="3">
        <f>IFERROR(VLOOKUP(I2069,$A$1:$G$1610,3,FALSE),J2068)</f>
        <v>15.36</v>
      </c>
      <c r="K2069" s="3">
        <f>IFERROR(VLOOKUP(I2069,$A$1:$G$1610,7,FALSE),K2068)</f>
        <v>-0.63981691392923656</v>
      </c>
      <c r="L2069" s="5">
        <f t="shared" si="110"/>
        <v>0</v>
      </c>
    </row>
    <row r="2070" spans="9:12" x14ac:dyDescent="0.25">
      <c r="I2070" s="2">
        <v>45899</v>
      </c>
      <c r="J2070" s="3">
        <f>IFERROR(VLOOKUP(I2070,$A$1:$G$1610,3,FALSE),J2069)</f>
        <v>15.36</v>
      </c>
      <c r="K2070" s="3">
        <f>IFERROR(VLOOKUP(I2070,$A$1:$G$1610,7,FALSE),K2069)</f>
        <v>-0.63981691392923656</v>
      </c>
      <c r="L2070" s="5">
        <f t="shared" si="110"/>
        <v>0</v>
      </c>
    </row>
    <row r="2071" spans="9:12" x14ac:dyDescent="0.25">
      <c r="I2071" s="2">
        <v>45900</v>
      </c>
      <c r="J2071" s="3">
        <f>IFERROR(VLOOKUP(I2071,$A$1:$G$1610,3,FALSE),J2070)</f>
        <v>15.36</v>
      </c>
      <c r="K2071" s="3">
        <f>IFERROR(VLOOKUP(I2071,$A$1:$G$1610,7,FALSE),K2070)</f>
        <v>-0.63981691392923656</v>
      </c>
      <c r="L2071" s="5">
        <f t="shared" si="110"/>
        <v>0</v>
      </c>
    </row>
    <row r="2072" spans="9:12" x14ac:dyDescent="0.25">
      <c r="I2072" s="2">
        <v>45901</v>
      </c>
      <c r="J2072" s="3">
        <f>IFERROR(VLOOKUP(I2072,$A$1:$G$1610,3,FALSE),J2071)</f>
        <v>16.12</v>
      </c>
      <c r="K2072" s="3">
        <f>IFERROR(VLOOKUP(I2072,$A$1:$G$1610,7,FALSE),K2071)</f>
        <v>-0.63981691392923656</v>
      </c>
      <c r="L2072" s="5">
        <f t="shared" si="110"/>
        <v>0</v>
      </c>
    </row>
    <row r="2073" spans="9:12" x14ac:dyDescent="0.25">
      <c r="I2073" s="2">
        <v>45902</v>
      </c>
      <c r="J2073" s="3">
        <f>IFERROR(VLOOKUP(I2073,$A$1:$G$1610,3,FALSE),J2072)</f>
        <v>17.170000000000002</v>
      </c>
      <c r="K2073" s="3">
        <f>IFERROR(VLOOKUP(I2073,$A$1:$G$1610,7,FALSE),K2072)</f>
        <v>-1.3276200964031788</v>
      </c>
      <c r="L2073" s="5">
        <f t="shared" si="110"/>
        <v>0</v>
      </c>
    </row>
    <row r="2074" spans="9:12" x14ac:dyDescent="0.25">
      <c r="I2074" s="2">
        <v>45903</v>
      </c>
      <c r="J2074" s="3">
        <f>IFERROR(VLOOKUP(I2074,$A$1:$G$1610,3,FALSE),J2073)</f>
        <v>16.350000000000001</v>
      </c>
      <c r="K2074" s="3">
        <f>IFERROR(VLOOKUP(I2074,$A$1:$G$1610,7,FALSE),K2073)</f>
        <v>-0.82437948525498017</v>
      </c>
      <c r="L2074" s="5">
        <f t="shared" si="110"/>
        <v>0</v>
      </c>
    </row>
    <row r="2075" spans="9:12" x14ac:dyDescent="0.25">
      <c r="I2075" s="2">
        <v>45904</v>
      </c>
      <c r="J2075" s="3">
        <f>IFERROR(VLOOKUP(I2075,$A$1:$G$1610,3,FALSE),J2074)</f>
        <v>15.3</v>
      </c>
      <c r="K2075" s="3">
        <f>IFERROR(VLOOKUP(I2075,$A$1:$G$1610,7,FALSE),K2074)</f>
        <v>0</v>
      </c>
      <c r="L2075" s="5">
        <f t="shared" si="110"/>
        <v>0</v>
      </c>
    </row>
    <row r="2076" spans="9:12" x14ac:dyDescent="0.25">
      <c r="I2076" s="2">
        <v>45905</v>
      </c>
      <c r="J2076" s="3">
        <f>IFERROR(VLOOKUP(I2076,$A$1:$G$1610,3,FALSE),J2075)</f>
        <v>15.18</v>
      </c>
      <c r="K2076" s="3">
        <f>IFERROR(VLOOKUP(I2076,$A$1:$G$1610,7,FALSE),K2075)</f>
        <v>-0.3165141001033504</v>
      </c>
      <c r="L2076" s="5">
        <f t="shared" si="110"/>
        <v>0</v>
      </c>
    </row>
    <row r="2077" spans="9:12" x14ac:dyDescent="0.25">
      <c r="I2077" s="2">
        <v>45906</v>
      </c>
      <c r="J2077" s="3">
        <f>IFERROR(VLOOKUP(I2077,$A$1:$G$1610,3,FALSE),J2076)</f>
        <v>15.18</v>
      </c>
      <c r="K2077" s="3">
        <f>IFERROR(VLOOKUP(I2077,$A$1:$G$1610,7,FALSE),K2076)</f>
        <v>-0.3165141001033504</v>
      </c>
      <c r="L2077" s="5">
        <f t="shared" si="110"/>
        <v>0</v>
      </c>
    </row>
    <row r="2078" spans="9:12" x14ac:dyDescent="0.25">
      <c r="I2078" s="2">
        <v>45907</v>
      </c>
      <c r="J2078" s="3">
        <f>IFERROR(VLOOKUP(I2078,$A$1:$G$1610,3,FALSE),J2077)</f>
        <v>15.18</v>
      </c>
      <c r="K2078" s="3">
        <f>IFERROR(VLOOKUP(I2078,$A$1:$G$1610,7,FALSE),K2077)</f>
        <v>-0.3165141001033504</v>
      </c>
      <c r="L2078" s="5">
        <f t="shared" si="110"/>
        <v>0</v>
      </c>
    </row>
    <row r="2079" spans="9:12" x14ac:dyDescent="0.25">
      <c r="I2079" s="2">
        <v>45908</v>
      </c>
      <c r="J2079" s="3">
        <f>IFERROR(VLOOKUP(I2079,$A$1:$G$1610,3,FALSE),J2078)</f>
        <v>15.11</v>
      </c>
      <c r="K2079" s="3">
        <f>IFERROR(VLOOKUP(I2079,$A$1:$G$1610,7,FALSE),K2078)</f>
        <v>-0.10658127860623511</v>
      </c>
      <c r="L2079" s="5">
        <f t="shared" si="110"/>
        <v>0</v>
      </c>
    </row>
    <row r="2080" spans="9:12" x14ac:dyDescent="0.25">
      <c r="I2080" s="2">
        <v>45909</v>
      </c>
      <c r="J2080" s="3">
        <f>IFERROR(VLOOKUP(I2080,$A$1:$G$1610,3,FALSE),J2079)</f>
        <v>15.04</v>
      </c>
      <c r="K2080" s="3">
        <f>IFERROR(VLOOKUP(I2080,$A$1:$G$1610,7,FALSE),K2079)</f>
        <v>0</v>
      </c>
      <c r="L2080" s="5">
        <f t="shared" si="110"/>
        <v>0</v>
      </c>
    </row>
    <row r="2081" spans="9:12" x14ac:dyDescent="0.25">
      <c r="I2081" s="2">
        <v>45910</v>
      </c>
      <c r="J2081" s="3">
        <f>IFERROR(VLOOKUP(I2081,$A$1:$G$1610,3,FALSE),J2080)</f>
        <v>15.35</v>
      </c>
      <c r="K2081" s="3">
        <f>IFERROR(VLOOKUP(I2081,$A$1:$G$1610,7,FALSE),K2080)</f>
        <v>0</v>
      </c>
      <c r="L2081" s="5">
        <f t="shared" si="110"/>
        <v>0</v>
      </c>
    </row>
    <row r="2082" spans="9:12" x14ac:dyDescent="0.25">
      <c r="I2082" s="2">
        <v>45911</v>
      </c>
      <c r="J2082" s="3">
        <f>IFERROR(VLOOKUP(I2082,$A$1:$G$1610,3,FALSE),J2081)</f>
        <v>14.71</v>
      </c>
      <c r="K2082" s="3">
        <f>IFERROR(VLOOKUP(I2082,$A$1:$G$1610,7,FALSE),K2081)</f>
        <v>0</v>
      </c>
      <c r="L2082" s="5">
        <f t="shared" si="110"/>
        <v>0</v>
      </c>
    </row>
    <row r="2083" spans="9:12" x14ac:dyDescent="0.25">
      <c r="I2083" s="2">
        <v>45912</v>
      </c>
      <c r="J2083" s="3">
        <f>IFERROR(VLOOKUP(I2083,$A$1:$G$1610,3,FALSE),J2082)</f>
        <v>14.76</v>
      </c>
      <c r="K2083" s="3">
        <f>IFERROR(VLOOKUP(I2083,$A$1:$G$1610,7,FALSE),K2082)</f>
        <v>-4.8273464622993208E-2</v>
      </c>
      <c r="L2083" s="5">
        <f t="shared" si="110"/>
        <v>0</v>
      </c>
    </row>
    <row r="2084" spans="9:12" x14ac:dyDescent="0.25">
      <c r="I2084" s="2">
        <v>45913</v>
      </c>
      <c r="J2084" s="3">
        <f>IFERROR(VLOOKUP(I2084,$A$1:$G$1610,3,FALSE),J2083)</f>
        <v>14.76</v>
      </c>
      <c r="K2084" s="3">
        <f>IFERROR(VLOOKUP(I2084,$A$1:$G$1610,7,FALSE),K2083)</f>
        <v>-4.8273464622993208E-2</v>
      </c>
      <c r="L2084" s="5">
        <f t="shared" si="110"/>
        <v>0</v>
      </c>
    </row>
    <row r="2085" spans="9:12" x14ac:dyDescent="0.25">
      <c r="I2085" s="2">
        <v>45914</v>
      </c>
      <c r="J2085" s="3">
        <f>IFERROR(VLOOKUP(I2085,$A$1:$G$1610,3,FALSE),J2084)</f>
        <v>14.76</v>
      </c>
      <c r="K2085" s="3">
        <f>IFERROR(VLOOKUP(I2085,$A$1:$G$1610,7,FALSE),K2084)</f>
        <v>-4.8273464622993208E-2</v>
      </c>
      <c r="L2085" s="5">
        <f t="shared" si="110"/>
        <v>0</v>
      </c>
    </row>
    <row r="2086" spans="9:12" x14ac:dyDescent="0.25">
      <c r="I2086" s="2">
        <v>45915</v>
      </c>
      <c r="J2086" s="3">
        <f>IFERROR(VLOOKUP(I2086,$A$1:$G$1610,3,FALSE),J2085)</f>
        <v>15.69</v>
      </c>
      <c r="K2086" s="3">
        <f>IFERROR(VLOOKUP(I2086,$A$1:$G$1610,7,FALSE),K2085)</f>
        <v>0</v>
      </c>
      <c r="L2086" s="5">
        <f t="shared" si="110"/>
        <v>0</v>
      </c>
    </row>
    <row r="2087" spans="9:12" x14ac:dyDescent="0.25">
      <c r="I2087" s="2">
        <v>45916</v>
      </c>
      <c r="J2087" s="3">
        <f>IFERROR(VLOOKUP(I2087,$A$1:$G$1610,3,FALSE),J2086)</f>
        <v>16.36</v>
      </c>
      <c r="K2087" s="3">
        <f>IFERROR(VLOOKUP(I2087,$A$1:$G$1610,7,FALSE),K2086)</f>
        <v>-0.12879273439672284</v>
      </c>
      <c r="L2087" s="5">
        <f t="shared" si="110"/>
        <v>0</v>
      </c>
    </row>
    <row r="2088" spans="9:12" x14ac:dyDescent="0.25">
      <c r="I2088" s="2">
        <v>45917</v>
      </c>
      <c r="J2088" s="3">
        <f>IFERROR(VLOOKUP(I2088,$A$1:$G$1610,3,FALSE),J2087)</f>
        <v>15.72</v>
      </c>
      <c r="K2088" s="3">
        <f>IFERROR(VLOOKUP(I2088,$A$1:$G$1610,7,FALSE),K2087)</f>
        <v>-0.22568961555670181</v>
      </c>
      <c r="L2088" s="5">
        <f t="shared" si="110"/>
        <v>0</v>
      </c>
    </row>
    <row r="2089" spans="9:12" x14ac:dyDescent="0.25">
      <c r="I2089" s="2">
        <v>45918</v>
      </c>
      <c r="J2089" s="3">
        <f>IFERROR(VLOOKUP(I2089,$A$1:$G$1610,3,FALSE),J2088)</f>
        <v>15.7</v>
      </c>
      <c r="K2089" s="3">
        <f>IFERROR(VLOOKUP(I2089,$A$1:$G$1610,7,FALSE),K2088)</f>
        <v>0</v>
      </c>
      <c r="L2089" s="5">
        <f t="shared" si="110"/>
        <v>0</v>
      </c>
    </row>
    <row r="2090" spans="9:12" x14ac:dyDescent="0.25">
      <c r="I2090" s="2">
        <v>45919</v>
      </c>
      <c r="J2090" s="3">
        <f>IFERROR(VLOOKUP(I2090,$A$1:$G$1610,3,FALSE),J2089)</f>
        <v>15.45</v>
      </c>
      <c r="K2090" s="3">
        <f>IFERROR(VLOOKUP(I2090,$A$1:$G$1610,7,FALSE),K2089)</f>
        <v>0</v>
      </c>
      <c r="L2090" s="5">
        <f t="shared" si="110"/>
        <v>0</v>
      </c>
    </row>
    <row r="2091" spans="9:12" x14ac:dyDescent="0.25">
      <c r="I2091" s="2">
        <v>45920</v>
      </c>
      <c r="J2091" s="3">
        <f>IFERROR(VLOOKUP(I2091,$A$1:$G$1610,3,FALSE),J2090)</f>
        <v>15.45</v>
      </c>
      <c r="K2091" s="3">
        <f>IFERROR(VLOOKUP(I2091,$A$1:$G$1610,7,FALSE),K2090)</f>
        <v>0</v>
      </c>
      <c r="L2091" s="5">
        <f t="shared" si="110"/>
        <v>0</v>
      </c>
    </row>
    <row r="2092" spans="9:12" x14ac:dyDescent="0.25">
      <c r="I2092" s="2">
        <v>45921</v>
      </c>
      <c r="J2092" s="3">
        <f>IFERROR(VLOOKUP(I2092,$A$1:$G$1610,3,FALSE),J2091)</f>
        <v>15.45</v>
      </c>
      <c r="K2092" s="3">
        <f>IFERROR(VLOOKUP(I2092,$A$1:$G$1610,7,FALSE),K2091)</f>
        <v>0</v>
      </c>
      <c r="L2092" s="5">
        <f t="shared" si="110"/>
        <v>0</v>
      </c>
    </row>
    <row r="2093" spans="9:12" x14ac:dyDescent="0.25">
      <c r="I2093" s="2">
        <v>45922</v>
      </c>
      <c r="J2093" s="3">
        <f>IFERROR(VLOOKUP(I2093,$A$1:$G$1610,3,FALSE),J2092)</f>
        <v>16.100000000000001</v>
      </c>
      <c r="K2093" s="3">
        <f>IFERROR(VLOOKUP(I2093,$A$1:$G$1610,7,FALSE),K2092)</f>
        <v>0</v>
      </c>
      <c r="L2093" s="5">
        <f t="shared" si="110"/>
        <v>0</v>
      </c>
    </row>
    <row r="2094" spans="9:12" x14ac:dyDescent="0.25">
      <c r="I2094" s="2">
        <v>45923</v>
      </c>
      <c r="J2094" s="3">
        <f>IFERROR(VLOOKUP(I2094,$A$1:$G$1610,3,FALSE),J2093)</f>
        <v>16.64</v>
      </c>
      <c r="K2094" s="3">
        <f>IFERROR(VLOOKUP(I2094,$A$1:$G$1610,7,FALSE),K2093)</f>
        <v>-0.55021475256769259</v>
      </c>
      <c r="L2094" s="5">
        <f t="shared" si="110"/>
        <v>0</v>
      </c>
    </row>
    <row r="2095" spans="9:12" x14ac:dyDescent="0.25">
      <c r="I2095" s="2">
        <v>45924</v>
      </c>
      <c r="J2095" s="3">
        <f>IFERROR(VLOOKUP(I2095,$A$1:$G$1610,3,FALSE),J2094)</f>
        <v>16.18</v>
      </c>
      <c r="K2095" s="3">
        <f>IFERROR(VLOOKUP(I2095,$A$1:$G$1610,7,FALSE),K2094)</f>
        <v>-0.83331465919700842</v>
      </c>
      <c r="L2095" s="5">
        <f t="shared" si="110"/>
        <v>0</v>
      </c>
    </row>
    <row r="2096" spans="9:12" x14ac:dyDescent="0.25">
      <c r="I2096" s="2">
        <v>45925</v>
      </c>
      <c r="J2096" s="3">
        <f>IFERROR(VLOOKUP(I2096,$A$1:$G$1610,3,FALSE),J2095)</f>
        <v>16.739999999999998</v>
      </c>
      <c r="K2096" s="3">
        <f>IFERROR(VLOOKUP(I2096,$A$1:$G$1610,7,FALSE),K2095)</f>
        <v>-1.3300466853407993</v>
      </c>
      <c r="L2096" s="5">
        <f t="shared" si="110"/>
        <v>0</v>
      </c>
    </row>
    <row r="2097" spans="9:12" x14ac:dyDescent="0.25">
      <c r="I2097" s="2">
        <v>45926</v>
      </c>
      <c r="J2097" s="3">
        <f>IFERROR(VLOOKUP(I2097,$A$1:$G$1610,3,FALSE),J2096)</f>
        <v>15.29</v>
      </c>
      <c r="K2097" s="3">
        <f>IFERROR(VLOOKUP(I2097,$A$1:$G$1610,7,FALSE),K2096)</f>
        <v>-0.74771241830065627</v>
      </c>
      <c r="L2097" s="5">
        <f t="shared" si="110"/>
        <v>0</v>
      </c>
    </row>
    <row r="2098" spans="9:12" x14ac:dyDescent="0.25">
      <c r="I2098" s="2">
        <v>45927</v>
      </c>
      <c r="J2098" s="3">
        <f>IFERROR(VLOOKUP(I2098,$A$1:$G$1610,3,FALSE),J2097)</f>
        <v>15.29</v>
      </c>
      <c r="K2098" s="3">
        <f>IFERROR(VLOOKUP(I2098,$A$1:$G$1610,7,FALSE),K2097)</f>
        <v>-0.74771241830065627</v>
      </c>
      <c r="L2098" s="5">
        <f t="shared" si="110"/>
        <v>0</v>
      </c>
    </row>
    <row r="2099" spans="9:12" x14ac:dyDescent="0.25">
      <c r="I2099" s="2">
        <v>45928</v>
      </c>
      <c r="J2099" s="3">
        <f>IFERROR(VLOOKUP(I2099,$A$1:$G$1610,3,FALSE),J2098)</f>
        <v>15.29</v>
      </c>
      <c r="K2099" s="3">
        <f>IFERROR(VLOOKUP(I2099,$A$1:$G$1610,7,FALSE),K2098)</f>
        <v>-0.74771241830065627</v>
      </c>
      <c r="L2099" s="5">
        <f t="shared" si="110"/>
        <v>0</v>
      </c>
    </row>
    <row r="2100" spans="9:12" x14ac:dyDescent="0.25">
      <c r="I2100" s="2">
        <v>45929</v>
      </c>
      <c r="J2100" s="3">
        <f>IFERROR(VLOOKUP(I2100,$A$1:$G$1610,3,FALSE),J2099)</f>
        <v>16.12</v>
      </c>
      <c r="K2100" s="3">
        <f>IFERROR(VLOOKUP(I2100,$A$1:$G$1610,7,FALSE),K2099)</f>
        <v>-0.48612511671335151</v>
      </c>
      <c r="L2100" s="5">
        <f t="shared" si="110"/>
        <v>0</v>
      </c>
    </row>
    <row r="2101" spans="9:12" x14ac:dyDescent="0.25">
      <c r="I2101" s="2">
        <v>45930</v>
      </c>
      <c r="J2101" s="3">
        <f>IFERROR(VLOOKUP(I2101,$A$1:$G$1610,3,FALSE),J2100)</f>
        <v>16.28</v>
      </c>
      <c r="K2101" s="3">
        <f>IFERROR(VLOOKUP(I2101,$A$1:$G$1610,7,FALSE),K2100)</f>
        <v>-7.9028944911297305E-2</v>
      </c>
      <c r="L2101" s="5">
        <f t="shared" si="110"/>
        <v>0</v>
      </c>
    </row>
    <row r="2102" spans="9:12" x14ac:dyDescent="0.25">
      <c r="I2102" s="2">
        <v>45931</v>
      </c>
      <c r="J2102" s="3">
        <f>IFERROR(VLOOKUP(I2102,$A$1:$G$1610,3,FALSE),J2101)</f>
        <v>16.29</v>
      </c>
      <c r="K2102" s="3">
        <f>IFERROR(VLOOKUP(I2102,$A$1:$G$1610,7,FALSE),K2101)</f>
        <v>0</v>
      </c>
      <c r="L2102" s="5">
        <f t="shared" si="110"/>
        <v>0</v>
      </c>
    </row>
    <row r="2103" spans="9:12" x14ac:dyDescent="0.25">
      <c r="I2103" s="2">
        <v>45932</v>
      </c>
      <c r="J2103" s="3">
        <f>IFERROR(VLOOKUP(I2103,$A$1:$G$1610,3,FALSE),J2102)</f>
        <v>16.63</v>
      </c>
      <c r="K2103" s="3">
        <f>IFERROR(VLOOKUP(I2103,$A$1:$G$1610,7,FALSE),K2102)</f>
        <v>0</v>
      </c>
      <c r="L2103" s="5">
        <f t="shared" si="110"/>
        <v>0</v>
      </c>
    </row>
    <row r="2104" spans="9:12" x14ac:dyDescent="0.25">
      <c r="I2104" s="2">
        <v>45933</v>
      </c>
      <c r="J2104" s="3">
        <f>IFERROR(VLOOKUP(I2104,$A$1:$G$1610,3,FALSE),J2103)</f>
        <v>16.649999999999999</v>
      </c>
      <c r="K2104" s="3">
        <f>IFERROR(VLOOKUP(I2104,$A$1:$G$1610,7,FALSE),K2103)</f>
        <v>0</v>
      </c>
      <c r="L2104" s="5">
        <f t="shared" si="110"/>
        <v>0</v>
      </c>
    </row>
    <row r="2105" spans="9:12" x14ac:dyDescent="0.25">
      <c r="I2105" s="2">
        <v>45934</v>
      </c>
      <c r="J2105" s="3">
        <f>IFERROR(VLOOKUP(I2105,$A$1:$G$1610,3,FALSE),J2104)</f>
        <v>16.649999999999999</v>
      </c>
      <c r="K2105" s="3">
        <f>IFERROR(VLOOKUP(I2105,$A$1:$G$1610,7,FALSE),K2104)</f>
        <v>0</v>
      </c>
      <c r="L2105" s="5">
        <f t="shared" si="110"/>
        <v>0</v>
      </c>
    </row>
    <row r="2106" spans="9:12" x14ac:dyDescent="0.25">
      <c r="I2106" s="2">
        <v>45935</v>
      </c>
      <c r="J2106" s="3">
        <f>IFERROR(VLOOKUP(I2106,$A$1:$G$1610,3,FALSE),J2105)</f>
        <v>16.649999999999999</v>
      </c>
      <c r="K2106" s="3">
        <f>IFERROR(VLOOKUP(I2106,$A$1:$G$1610,7,FALSE),K2105)</f>
        <v>0</v>
      </c>
      <c r="L2106" s="5">
        <f t="shared" si="110"/>
        <v>0</v>
      </c>
    </row>
    <row r="2107" spans="9:12" x14ac:dyDescent="0.25">
      <c r="I2107" s="2">
        <v>45936</v>
      </c>
      <c r="J2107" s="3">
        <f>IFERROR(VLOOKUP(I2107,$A$1:$G$1610,3,FALSE),J2106)</f>
        <v>16.37</v>
      </c>
      <c r="K2107" s="3">
        <f>IFERROR(VLOOKUP(I2107,$A$1:$G$1610,7,FALSE),K2106)</f>
        <v>0</v>
      </c>
      <c r="L2107" s="5">
        <f t="shared" si="110"/>
        <v>0</v>
      </c>
    </row>
    <row r="2108" spans="9:12" x14ac:dyDescent="0.25">
      <c r="I2108" s="2">
        <v>45937</v>
      </c>
      <c r="J2108" s="3">
        <f>IFERROR(VLOOKUP(I2108,$A$1:$G$1610,3,FALSE),J2107)</f>
        <v>17.239999999999998</v>
      </c>
      <c r="K2108" s="3">
        <f>IFERROR(VLOOKUP(I2108,$A$1:$G$1610,7,FALSE),K2107)</f>
        <v>-0.38114143626080227</v>
      </c>
      <c r="L2108" s="5">
        <f t="shared" si="110"/>
        <v>0</v>
      </c>
    </row>
    <row r="2109" spans="9:12" x14ac:dyDescent="0.25">
      <c r="I2109" s="2">
        <v>45938</v>
      </c>
      <c r="J2109" s="3">
        <f>IFERROR(VLOOKUP(I2109,$A$1:$G$1610,3,FALSE),J2108)</f>
        <v>16.3</v>
      </c>
      <c r="K2109" s="3">
        <f>IFERROR(VLOOKUP(I2109,$A$1:$G$1610,7,FALSE),K2108)</f>
        <v>0</v>
      </c>
      <c r="L2109" s="5">
        <f t="shared" si="110"/>
        <v>0</v>
      </c>
    </row>
    <row r="2110" spans="9:12" x14ac:dyDescent="0.25">
      <c r="I2110" s="2">
        <v>45939</v>
      </c>
      <c r="J2110" s="3">
        <f>IFERROR(VLOOKUP(I2110,$A$1:$G$1610,3,FALSE),J2109)</f>
        <v>16.43</v>
      </c>
      <c r="K2110" s="3">
        <f>IFERROR(VLOOKUP(I2110,$A$1:$G$1610,7,FALSE),K2109)</f>
        <v>-0.27555184402078531</v>
      </c>
      <c r="L2110" s="5">
        <f t="shared" si="110"/>
        <v>0</v>
      </c>
    </row>
    <row r="2111" spans="9:12" x14ac:dyDescent="0.25">
      <c r="I2111" s="2">
        <v>45940</v>
      </c>
      <c r="J2111" s="3">
        <f>IFERROR(VLOOKUP(I2111,$A$1:$G$1610,3,FALSE),J2110)</f>
        <v>21.66</v>
      </c>
      <c r="K2111" s="3">
        <f>IFERROR(VLOOKUP(I2111,$A$1:$G$1610,7,FALSE),K2110)</f>
        <v>-2.9792469927684304</v>
      </c>
      <c r="L2111" s="5">
        <f t="shared" si="110"/>
        <v>0</v>
      </c>
    </row>
    <row r="2112" spans="9:12" x14ac:dyDescent="0.25">
      <c r="I2112" s="2">
        <v>45941</v>
      </c>
      <c r="J2112" s="3">
        <f>IFERROR(VLOOKUP(I2112,$A$1:$G$1610,3,FALSE),J2111)</f>
        <v>21.66</v>
      </c>
      <c r="K2112" s="3">
        <f>IFERROR(VLOOKUP(I2112,$A$1:$G$1610,7,FALSE),K2111)</f>
        <v>-2.9792469927684304</v>
      </c>
      <c r="L2112" s="5">
        <f t="shared" si="110"/>
        <v>0</v>
      </c>
    </row>
    <row r="2113" spans="9:12" x14ac:dyDescent="0.25">
      <c r="I2113" s="2">
        <v>45942</v>
      </c>
      <c r="J2113" s="3">
        <f>IFERROR(VLOOKUP(I2113,$A$1:$G$1610,3,FALSE),J2112)</f>
        <v>21.66</v>
      </c>
      <c r="K2113" s="3">
        <f>IFERROR(VLOOKUP(I2113,$A$1:$G$1610,7,FALSE),K2112)</f>
        <v>-2.9792469927684304</v>
      </c>
      <c r="L2113" s="5">
        <f t="shared" si="110"/>
        <v>0</v>
      </c>
    </row>
    <row r="2114" spans="9:12" x14ac:dyDescent="0.25">
      <c r="I2114" s="2">
        <v>45943</v>
      </c>
      <c r="J2114" s="3">
        <f>IFERROR(VLOOKUP(I2114,$A$1:$G$1610,3,FALSE),J2113)</f>
        <v>19.03</v>
      </c>
      <c r="K2114" s="3">
        <f>IFERROR(VLOOKUP(I2114,$A$1:$G$1610,7,FALSE),K2113)</f>
        <v>-1.4658588155860768</v>
      </c>
      <c r="L2114" s="5">
        <f t="shared" ref="L2114:L2177" si="111">IF(OR(J2114&gt;=30,K2114&lt;-10),1,0)</f>
        <v>0</v>
      </c>
    </row>
    <row r="2115" spans="9:12" x14ac:dyDescent="0.25">
      <c r="I2115" s="2">
        <v>45944</v>
      </c>
      <c r="J2115" s="3">
        <f>IFERROR(VLOOKUP(I2115,$A$1:$G$1610,3,FALSE),J2114)</f>
        <v>20.81</v>
      </c>
      <c r="K2115" s="3">
        <f>IFERROR(VLOOKUP(I2115,$A$1:$G$1610,7,FALSE),K2114)</f>
        <v>-1.6199960910431563</v>
      </c>
      <c r="L2115" s="5">
        <f t="shared" si="111"/>
        <v>0</v>
      </c>
    </row>
    <row r="2116" spans="9:12" x14ac:dyDescent="0.25">
      <c r="I2116" s="2">
        <v>45945</v>
      </c>
      <c r="J2116" s="3">
        <f>IFERROR(VLOOKUP(I2116,$A$1:$G$1610,3,FALSE),J2115)</f>
        <v>20.64</v>
      </c>
      <c r="K2116" s="3">
        <f>IFERROR(VLOOKUP(I2116,$A$1:$G$1610,7,FALSE),K2115)</f>
        <v>-1.2239180777408578</v>
      </c>
      <c r="L2116" s="5">
        <f t="shared" si="111"/>
        <v>0</v>
      </c>
    </row>
    <row r="2117" spans="9:12" x14ac:dyDescent="0.25">
      <c r="I2117" s="2">
        <v>45946</v>
      </c>
      <c r="J2117" s="3">
        <f>IFERROR(VLOOKUP(I2117,$A$1:$G$1610,3,FALSE),J2116)</f>
        <v>25.31</v>
      </c>
      <c r="K2117" s="3">
        <f>IFERROR(VLOOKUP(I2117,$A$1:$G$1610,7,FALSE),K2116)</f>
        <v>-1.8456495087152049</v>
      </c>
      <c r="L2117" s="5">
        <f t="shared" si="111"/>
        <v>0</v>
      </c>
    </row>
    <row r="2118" spans="9:12" x14ac:dyDescent="0.25">
      <c r="I2118" s="2">
        <v>45947</v>
      </c>
      <c r="J2118" s="3">
        <f>IFERROR(VLOOKUP(I2118,$A$1:$G$1610,3,FALSE),J2117)</f>
        <v>20.78</v>
      </c>
      <c r="K2118" s="3">
        <f>IFERROR(VLOOKUP(I2118,$A$1:$G$1610,7,FALSE),K2117)</f>
        <v>-1.3283049933962325</v>
      </c>
      <c r="L2118" s="5">
        <f t="shared" si="111"/>
        <v>0</v>
      </c>
    </row>
    <row r="2119" spans="9:12" x14ac:dyDescent="0.25">
      <c r="I2119" s="2">
        <v>45948</v>
      </c>
      <c r="J2119" s="3">
        <f>IFERROR(VLOOKUP(I2119,$A$1:$G$1610,3,FALSE),J2118)</f>
        <v>20.78</v>
      </c>
      <c r="K2119" s="3">
        <f>IFERROR(VLOOKUP(I2119,$A$1:$G$1610,7,FALSE),K2118)</f>
        <v>-1.3283049933962325</v>
      </c>
      <c r="L2119" s="5">
        <f t="shared" si="111"/>
        <v>0</v>
      </c>
    </row>
    <row r="2120" spans="9:12" x14ac:dyDescent="0.25">
      <c r="I2120" s="2">
        <v>45949</v>
      </c>
      <c r="J2120" s="3">
        <f>IFERROR(VLOOKUP(I2120,$A$1:$G$1610,3,FALSE),J2119)</f>
        <v>20.78</v>
      </c>
      <c r="K2120" s="3">
        <f>IFERROR(VLOOKUP(I2120,$A$1:$G$1610,7,FALSE),K2119)</f>
        <v>-1.3283049933962325</v>
      </c>
      <c r="L2120" s="5">
        <f t="shared" si="111"/>
        <v>0</v>
      </c>
    </row>
    <row r="2121" spans="9:12" x14ac:dyDescent="0.25">
      <c r="I2121" s="2">
        <v>45950</v>
      </c>
      <c r="J2121" s="3">
        <f>IFERROR(VLOOKUP(I2121,$A$1:$G$1610,3,FALSE),J2120)</f>
        <v>18.23</v>
      </c>
      <c r="K2121" s="3">
        <f>IFERROR(VLOOKUP(I2121,$A$1:$G$1610,7,FALSE),K2120)</f>
        <v>-0.27525571092672102</v>
      </c>
      <c r="L2121" s="5">
        <f t="shared" si="111"/>
        <v>0</v>
      </c>
    </row>
    <row r="2122" spans="9:12" x14ac:dyDescent="0.25">
      <c r="I2122" s="2">
        <v>45951</v>
      </c>
      <c r="J2122" s="3">
        <f>IFERROR(VLOOKUP(I2122,$A$1:$G$1610,3,FALSE),J2121)</f>
        <v>17.87</v>
      </c>
      <c r="K2122" s="3">
        <f>IFERROR(VLOOKUP(I2122,$A$1:$G$1610,7,FALSE),K2121)</f>
        <v>-0.27199824689208157</v>
      </c>
      <c r="L2122" s="5">
        <f t="shared" si="111"/>
        <v>0</v>
      </c>
    </row>
    <row r="2123" spans="9:12" x14ac:dyDescent="0.25">
      <c r="I2123" s="2">
        <v>45952</v>
      </c>
      <c r="J2123" s="3">
        <f>IFERROR(VLOOKUP(I2123,$A$1:$G$1610,3,FALSE),J2122)</f>
        <v>18.600000000000001</v>
      </c>
      <c r="K2123" s="3">
        <f>IFERROR(VLOOKUP(I2123,$A$1:$G$1610,7,FALSE),K2122)</f>
        <v>-0.80429748346097574</v>
      </c>
      <c r="L2123" s="5">
        <f t="shared" si="111"/>
        <v>0</v>
      </c>
    </row>
    <row r="2124" spans="9:12" x14ac:dyDescent="0.25">
      <c r="I2124" s="2">
        <v>45953</v>
      </c>
      <c r="J2124" s="3">
        <f>IFERROR(VLOOKUP(I2124,$A$1:$G$1610,3,FALSE),J2123)</f>
        <v>17.3</v>
      </c>
      <c r="K2124" s="3">
        <f>IFERROR(VLOOKUP(I2124,$A$1:$G$1610,7,FALSE),K2123)</f>
        <v>-0.2262456838601638</v>
      </c>
      <c r="L2124" s="5">
        <f t="shared" si="111"/>
        <v>0</v>
      </c>
    </row>
    <row r="2125" spans="9:12" x14ac:dyDescent="0.25">
      <c r="I2125" s="2">
        <v>45954</v>
      </c>
      <c r="J2125" s="3">
        <f>IFERROR(VLOOKUP(I2125,$A$1:$G$1610,3,FALSE),J2124)</f>
        <v>16.37</v>
      </c>
      <c r="K2125" s="3">
        <f>IFERROR(VLOOKUP(I2125,$A$1:$G$1610,7,FALSE),K2124)</f>
        <v>0</v>
      </c>
      <c r="L2125" s="5">
        <f t="shared" si="111"/>
        <v>0</v>
      </c>
    </row>
    <row r="2126" spans="9:12" x14ac:dyDescent="0.25">
      <c r="I2126" s="2">
        <v>45955</v>
      </c>
      <c r="J2126" s="3">
        <f>IFERROR(VLOOKUP(I2126,$A$1:$G$1610,3,FALSE),J2125)</f>
        <v>16.37</v>
      </c>
      <c r="K2126" s="3">
        <f>IFERROR(VLOOKUP(I2126,$A$1:$G$1610,7,FALSE),K2125)</f>
        <v>0</v>
      </c>
      <c r="L2126" s="5">
        <f t="shared" si="111"/>
        <v>0</v>
      </c>
    </row>
    <row r="2127" spans="9:12" x14ac:dyDescent="0.25">
      <c r="I2127" s="2">
        <v>45956</v>
      </c>
      <c r="J2127" s="3">
        <f>IFERROR(VLOOKUP(I2127,$A$1:$G$1610,3,FALSE),J2126)</f>
        <v>16.37</v>
      </c>
      <c r="K2127" s="3">
        <f>IFERROR(VLOOKUP(I2127,$A$1:$G$1610,7,FALSE),K2126)</f>
        <v>0</v>
      </c>
      <c r="L2127" s="5">
        <f t="shared" si="111"/>
        <v>0</v>
      </c>
    </row>
    <row r="2128" spans="9:12" x14ac:dyDescent="0.25">
      <c r="I2128" s="2">
        <v>45957</v>
      </c>
      <c r="J2128" s="3">
        <f>IFERROR(VLOOKUP(I2128,$A$1:$G$1610,3,FALSE),J2127)</f>
        <v>15.79</v>
      </c>
      <c r="K2128" s="3">
        <f>IFERROR(VLOOKUP(I2128,$A$1:$G$1610,7,FALSE),K2127)</f>
        <v>0</v>
      </c>
      <c r="L2128" s="5">
        <f t="shared" si="111"/>
        <v>0</v>
      </c>
    </row>
    <row r="2129" spans="9:12" x14ac:dyDescent="0.25">
      <c r="I2129" s="2">
        <v>45958</v>
      </c>
      <c r="J2129" s="3">
        <f>IFERROR(VLOOKUP(I2129,$A$1:$G$1610,3,FALSE),J2128)</f>
        <v>16.420000000000002</v>
      </c>
      <c r="K2129" s="3">
        <f>IFERROR(VLOOKUP(I2129,$A$1:$G$1610,7,FALSE),K2128)</f>
        <v>0</v>
      </c>
      <c r="L2129" s="5">
        <f t="shared" si="111"/>
        <v>0</v>
      </c>
    </row>
    <row r="2130" spans="9:12" x14ac:dyDescent="0.25">
      <c r="I2130" s="2">
        <v>45959</v>
      </c>
      <c r="J2130" s="3">
        <f>IFERROR(VLOOKUP(I2130,$A$1:$G$1610,3,FALSE),J2129)</f>
        <v>16.920000000000002</v>
      </c>
      <c r="K2130" s="3">
        <f>IFERROR(VLOOKUP(I2130,$A$1:$G$1610,7,FALSE),K2129)</f>
        <v>-4.3535740666326393E-3</v>
      </c>
      <c r="L2130" s="5">
        <f t="shared" si="111"/>
        <v>0</v>
      </c>
    </row>
    <row r="2131" spans="9:12" x14ac:dyDescent="0.25">
      <c r="I2131" s="2">
        <v>45960</v>
      </c>
      <c r="J2131" s="3">
        <f>IFERROR(VLOOKUP(I2131,$A$1:$G$1610,3,FALSE),J2130)</f>
        <v>16.91</v>
      </c>
      <c r="K2131" s="3">
        <f>IFERROR(VLOOKUP(I2131,$A$1:$G$1610,7,FALSE),K2130)</f>
        <v>-0.99479167422495751</v>
      </c>
      <c r="L2131" s="5">
        <f t="shared" si="111"/>
        <v>0</v>
      </c>
    </row>
    <row r="2132" spans="9:12" x14ac:dyDescent="0.25">
      <c r="I2132" s="2">
        <v>45961</v>
      </c>
      <c r="J2132" s="3">
        <f>IFERROR(VLOOKUP(I2132,$A$1:$G$1610,3,FALSE),J2131)</f>
        <v>17.440000000000001</v>
      </c>
      <c r="K2132" s="3">
        <f>IFERROR(VLOOKUP(I2132,$A$1:$G$1610,7,FALSE),K2131)</f>
        <v>-0.73560889812492292</v>
      </c>
      <c r="L2132" s="5">
        <f t="shared" si="111"/>
        <v>0</v>
      </c>
    </row>
    <row r="2133" spans="9:12" x14ac:dyDescent="0.25">
      <c r="I2133" s="2">
        <v>45962</v>
      </c>
      <c r="J2133" s="3">
        <f>IFERROR(VLOOKUP(I2133,$A$1:$G$1610,3,FALSE),J2132)</f>
        <v>17.440000000000001</v>
      </c>
      <c r="K2133" s="3">
        <f>IFERROR(VLOOKUP(I2133,$A$1:$G$1610,7,FALSE),K2132)</f>
        <v>-0.73560889812492292</v>
      </c>
      <c r="L2133" s="5">
        <f t="shared" si="111"/>
        <v>0</v>
      </c>
    </row>
    <row r="2134" spans="9:12" x14ac:dyDescent="0.25">
      <c r="I2134" s="2">
        <v>45963</v>
      </c>
      <c r="J2134" s="3">
        <f>IFERROR(VLOOKUP(I2134,$A$1:$G$1610,3,FALSE),J2133)</f>
        <v>17.440000000000001</v>
      </c>
      <c r="K2134" s="3">
        <f>IFERROR(VLOOKUP(I2134,$A$1:$G$1610,7,FALSE),K2133)</f>
        <v>-0.73560889812492292</v>
      </c>
      <c r="L2134" s="5">
        <f t="shared" si="111"/>
        <v>0</v>
      </c>
    </row>
    <row r="2135" spans="9:12" x14ac:dyDescent="0.25">
      <c r="I2135" s="2">
        <v>45964</v>
      </c>
      <c r="J2135" s="3">
        <f>IFERROR(VLOOKUP(I2135,$A$1:$G$1610,3,FALSE),J2134)</f>
        <v>17.170000000000002</v>
      </c>
      <c r="K2135" s="3">
        <f>IFERROR(VLOOKUP(I2135,$A$1:$G$1610,7,FALSE),K2134)</f>
        <v>-0.56480367557746636</v>
      </c>
      <c r="L2135" s="5">
        <f t="shared" si="111"/>
        <v>0</v>
      </c>
    </row>
    <row r="2136" spans="9:12" x14ac:dyDescent="0.25">
      <c r="I2136" s="2">
        <v>45965</v>
      </c>
      <c r="J2136" s="3">
        <f>IFERROR(VLOOKUP(I2136,$A$1:$G$1610,3,FALSE),J2135)</f>
        <v>19</v>
      </c>
      <c r="K2136" s="3">
        <f>IFERROR(VLOOKUP(I2136,$A$1:$G$1610,7,FALSE),K2135)</f>
        <v>-1.731851763705416</v>
      </c>
      <c r="L2136" s="5">
        <f t="shared" si="111"/>
        <v>0</v>
      </c>
    </row>
    <row r="2137" spans="9:12" x14ac:dyDescent="0.25">
      <c r="I2137" s="2">
        <v>45966</v>
      </c>
      <c r="J2137" s="3">
        <f>IFERROR(VLOOKUP(I2137,$A$1:$G$1610,3,FALSE),J2136)</f>
        <v>18.010000000000002</v>
      </c>
      <c r="K2137" s="3">
        <f>IFERROR(VLOOKUP(I2137,$A$1:$G$1610,7,FALSE),K2136)</f>
        <v>-1.3728270223439987</v>
      </c>
      <c r="L2137" s="5">
        <f t="shared" si="111"/>
        <v>0</v>
      </c>
    </row>
    <row r="2138" spans="9:12" x14ac:dyDescent="0.25">
      <c r="I2138" s="2">
        <v>45967</v>
      </c>
      <c r="J2138" s="3">
        <f>IFERROR(VLOOKUP(I2138,$A$1:$G$1610,3,FALSE),J2137)</f>
        <v>19.5</v>
      </c>
      <c r="K2138" s="3">
        <f>IFERROR(VLOOKUP(I2138,$A$1:$G$1610,7,FALSE),K2137)</f>
        <v>-2.4752970951502724</v>
      </c>
      <c r="L2138" s="5">
        <f t="shared" si="111"/>
        <v>0</v>
      </c>
    </row>
    <row r="2139" spans="9:12" x14ac:dyDescent="0.25">
      <c r="I2139" s="2">
        <v>45968</v>
      </c>
      <c r="J2139" s="3">
        <f>IFERROR(VLOOKUP(I2139,$A$1:$G$1610,3,FALSE),J2138)</f>
        <v>19.079999999999998</v>
      </c>
      <c r="K2139" s="3">
        <f>IFERROR(VLOOKUP(I2139,$A$1:$G$1610,7,FALSE),K2138)</f>
        <v>-2.3522360682001908</v>
      </c>
      <c r="L2139" s="5">
        <f t="shared" si="111"/>
        <v>0</v>
      </c>
    </row>
    <row r="2140" spans="9:12" x14ac:dyDescent="0.25">
      <c r="I2140" s="2">
        <v>45969</v>
      </c>
      <c r="J2140" s="3">
        <f>IFERROR(VLOOKUP(I2140,$A$1:$G$1610,3,FALSE),J2139)</f>
        <v>19.079999999999998</v>
      </c>
      <c r="K2140" s="3">
        <f>IFERROR(VLOOKUP(I2140,$A$1:$G$1610,7,FALSE),K2139)</f>
        <v>-2.3522360682001908</v>
      </c>
      <c r="L2140" s="5">
        <f t="shared" si="111"/>
        <v>0</v>
      </c>
    </row>
    <row r="2141" spans="9:12" x14ac:dyDescent="0.25">
      <c r="I2141" s="2">
        <v>45970</v>
      </c>
      <c r="J2141" s="3">
        <f>IFERROR(VLOOKUP(I2141,$A$1:$G$1610,3,FALSE),J2140)</f>
        <v>19.079999999999998</v>
      </c>
      <c r="K2141" s="3">
        <f>IFERROR(VLOOKUP(I2141,$A$1:$G$1610,7,FALSE),K2140)</f>
        <v>-2.3522360682001908</v>
      </c>
      <c r="L2141" s="5">
        <f t="shared" si="111"/>
        <v>0</v>
      </c>
    </row>
    <row r="2142" spans="9:12" x14ac:dyDescent="0.25">
      <c r="I2142" s="2">
        <v>45971</v>
      </c>
      <c r="J2142" s="3">
        <f>IFERROR(VLOOKUP(I2142,$A$1:$G$1610,3,FALSE),J2141)</f>
        <v>17.600000000000001</v>
      </c>
      <c r="K2142" s="3">
        <f>IFERROR(VLOOKUP(I2142,$A$1:$G$1610,7,FALSE),K2141)</f>
        <v>-0.84836646645063318</v>
      </c>
      <c r="L2142" s="5">
        <f t="shared" si="111"/>
        <v>0</v>
      </c>
    </row>
    <row r="2143" spans="9:12" x14ac:dyDescent="0.25">
      <c r="I2143" s="2">
        <v>45972</v>
      </c>
      <c r="J2143" s="3">
        <f>IFERROR(VLOOKUP(I2143,$A$1:$G$1610,3,FALSE),J2142)</f>
        <v>17.28</v>
      </c>
      <c r="K2143" s="3">
        <f>IFERROR(VLOOKUP(I2143,$A$1:$G$1610,7,FALSE),K2142)</f>
        <v>-0.64258753223459752</v>
      </c>
      <c r="L2143" s="5">
        <f t="shared" si="111"/>
        <v>0</v>
      </c>
    </row>
    <row r="2144" spans="9:12" x14ac:dyDescent="0.25">
      <c r="I2144" s="2">
        <v>45973</v>
      </c>
      <c r="J2144" s="3">
        <f>IFERROR(VLOOKUP(I2144,$A$1:$G$1610,3,FALSE),J2143)</f>
        <v>17.510000000000002</v>
      </c>
      <c r="K2144" s="3">
        <f>IFERROR(VLOOKUP(I2144,$A$1:$G$1610,7,FALSE),K2143)</f>
        <v>-0.5800411848106739</v>
      </c>
      <c r="L2144" s="5">
        <f t="shared" si="111"/>
        <v>0</v>
      </c>
    </row>
    <row r="2145" spans="9:12" x14ac:dyDescent="0.25">
      <c r="I2145" s="2">
        <v>45974</v>
      </c>
      <c r="J2145" s="3">
        <f>IFERROR(VLOOKUP(I2145,$A$1:$G$1610,3,FALSE),J2144)</f>
        <v>20</v>
      </c>
      <c r="K2145" s="3">
        <f>IFERROR(VLOOKUP(I2145,$A$1:$G$1610,7,FALSE),K2144)</f>
        <v>-2.2261275394034814</v>
      </c>
      <c r="L2145" s="5">
        <f t="shared" si="111"/>
        <v>0</v>
      </c>
    </row>
    <row r="2146" spans="9:12" x14ac:dyDescent="0.25">
      <c r="I2146" s="2">
        <v>45975</v>
      </c>
      <c r="J2146" s="3">
        <f>IFERROR(VLOOKUP(I2146,$A$1:$G$1610,3,FALSE),J2145)</f>
        <v>19.829999999999998</v>
      </c>
      <c r="K2146" s="3">
        <f>IFERROR(VLOOKUP(I2146,$A$1:$G$1610,7,FALSE),K2145)</f>
        <v>-2.2751778072208473</v>
      </c>
      <c r="L2146" s="5">
        <f t="shared" si="111"/>
        <v>0</v>
      </c>
    </row>
    <row r="2147" spans="9:12" x14ac:dyDescent="0.25">
      <c r="I2147" s="2">
        <v>45976</v>
      </c>
      <c r="J2147" s="3">
        <f>IFERROR(VLOOKUP(I2147,$A$1:$G$1610,3,FALSE),J2146)</f>
        <v>19.829999999999998</v>
      </c>
      <c r="K2147" s="3">
        <f>IFERROR(VLOOKUP(I2147,$A$1:$G$1610,7,FALSE),K2146)</f>
        <v>-2.2751778072208473</v>
      </c>
      <c r="L2147" s="5">
        <f t="shared" si="111"/>
        <v>0</v>
      </c>
    </row>
    <row r="2148" spans="9:12" x14ac:dyDescent="0.25">
      <c r="I2148" s="2">
        <v>45977</v>
      </c>
      <c r="J2148" s="3">
        <f>IFERROR(VLOOKUP(I2148,$A$1:$G$1610,3,FALSE),J2147)</f>
        <v>19.829999999999998</v>
      </c>
      <c r="K2148" s="3">
        <f>IFERROR(VLOOKUP(I2148,$A$1:$G$1610,7,FALSE),K2147)</f>
        <v>-2.2751778072208473</v>
      </c>
      <c r="L2148" s="5">
        <f t="shared" si="111"/>
        <v>0</v>
      </c>
    </row>
    <row r="2149" spans="9:12" x14ac:dyDescent="0.25">
      <c r="I2149" s="2">
        <v>45978</v>
      </c>
      <c r="J2149" s="3">
        <f>IFERROR(VLOOKUP(I2149,$A$1:$G$1610,3,FALSE),J2148)</f>
        <v>22.38</v>
      </c>
      <c r="K2149" s="3">
        <f>IFERROR(VLOOKUP(I2149,$A$1:$G$1610,7,FALSE),K2148)</f>
        <v>-3.1705628735910811</v>
      </c>
      <c r="L2149" s="5">
        <f t="shared" si="111"/>
        <v>0</v>
      </c>
    </row>
    <row r="2150" spans="9:12" x14ac:dyDescent="0.25">
      <c r="I2150" s="2">
        <v>45979</v>
      </c>
      <c r="J2150" s="3">
        <f>IFERROR(VLOOKUP(I2150,$A$1:$G$1610,3,FALSE),J2149)</f>
        <v>24.69</v>
      </c>
      <c r="K2150" s="3">
        <f>IFERROR(VLOOKUP(I2150,$A$1:$G$1610,7,FALSE),K2149)</f>
        <v>-3.9700241913599053</v>
      </c>
      <c r="L2150" s="5">
        <f t="shared" si="111"/>
        <v>0</v>
      </c>
    </row>
    <row r="2151" spans="9:12" x14ac:dyDescent="0.25">
      <c r="I2151" s="2">
        <v>45980</v>
      </c>
      <c r="J2151" s="3">
        <f>IFERROR(VLOOKUP(I2151,$A$1:$G$1610,3,FALSE),J2150)</f>
        <v>23.66</v>
      </c>
      <c r="K2151" s="3">
        <f>IFERROR(VLOOKUP(I2151,$A$1:$G$1610,7,FALSE),K2150)</f>
        <v>-3.6095482586429397</v>
      </c>
      <c r="L2151" s="5">
        <f t="shared" si="111"/>
        <v>0</v>
      </c>
    </row>
    <row r="2152" spans="9:12" x14ac:dyDescent="0.25">
      <c r="I2152" s="2">
        <v>45981</v>
      </c>
      <c r="J2152" s="3">
        <f>IFERROR(VLOOKUP(I2152,$A$1:$G$1610,3,FALSE),J2151)</f>
        <v>26.42</v>
      </c>
      <c r="K2152" s="3">
        <f>IFERROR(VLOOKUP(I2152,$A$1:$G$1610,7,FALSE),K2151)</f>
        <v>-5.1100801202747412</v>
      </c>
      <c r="L2152" s="5">
        <f t="shared" si="111"/>
        <v>0</v>
      </c>
    </row>
    <row r="2153" spans="9:12" x14ac:dyDescent="0.25">
      <c r="I2153" s="2">
        <v>45982</v>
      </c>
      <c r="J2153" s="3">
        <f>IFERROR(VLOOKUP(I2153,$A$1:$G$1610,3,FALSE),J2152)</f>
        <v>23.43</v>
      </c>
      <c r="K2153" s="3">
        <f>IFERROR(VLOOKUP(I2153,$A$1:$G$1610,7,FALSE),K2152)</f>
        <v>-4.1779799126092643</v>
      </c>
      <c r="L2153" s="5">
        <f t="shared" si="111"/>
        <v>0</v>
      </c>
    </row>
    <row r="2154" spans="9:12" x14ac:dyDescent="0.25">
      <c r="I2154" s="2">
        <v>45983</v>
      </c>
      <c r="J2154" s="3">
        <f>IFERROR(VLOOKUP(I2154,$A$1:$G$1610,3,FALSE),J2153)</f>
        <v>23.43</v>
      </c>
      <c r="K2154" s="3">
        <f>IFERROR(VLOOKUP(I2154,$A$1:$G$1610,7,FALSE),K2153)</f>
        <v>-4.1779799126092643</v>
      </c>
      <c r="L2154" s="5">
        <f t="shared" si="111"/>
        <v>0</v>
      </c>
    </row>
    <row r="2155" spans="9:12" x14ac:dyDescent="0.25">
      <c r="I2155" s="2">
        <v>45984</v>
      </c>
      <c r="J2155" s="3">
        <f>IFERROR(VLOOKUP(I2155,$A$1:$G$1610,3,FALSE),J2154)</f>
        <v>23.43</v>
      </c>
      <c r="K2155" s="3">
        <f>IFERROR(VLOOKUP(I2155,$A$1:$G$1610,7,FALSE),K2154)</f>
        <v>-4.1779799126092643</v>
      </c>
      <c r="L2155" s="5">
        <f t="shared" si="111"/>
        <v>0</v>
      </c>
    </row>
    <row r="2156" spans="9:12" x14ac:dyDescent="0.25">
      <c r="I2156" s="2">
        <v>45985</v>
      </c>
      <c r="J2156" s="3">
        <f>IFERROR(VLOOKUP(I2156,$A$1:$G$1610,3,FALSE),J2155)</f>
        <v>20.52</v>
      </c>
      <c r="K2156" s="3">
        <f>IFERROR(VLOOKUP(I2156,$A$1:$G$1610,7,FALSE),K2155)</f>
        <v>-2.6958781811928563</v>
      </c>
      <c r="L2156" s="5">
        <f t="shared" si="111"/>
        <v>0</v>
      </c>
    </row>
    <row r="2157" spans="9:12" x14ac:dyDescent="0.25">
      <c r="I2157" s="2">
        <v>45986</v>
      </c>
      <c r="J2157" s="3">
        <f>IFERROR(VLOOKUP(I2157,$A$1:$G$1610,3,FALSE),J2156)</f>
        <v>18.559999999999999</v>
      </c>
      <c r="K2157" s="3">
        <f>IFERROR(VLOOKUP(I2157,$A$1:$G$1610,7,FALSE),K2156)</f>
        <v>-1.8141343135647241</v>
      </c>
      <c r="L2157" s="5">
        <f t="shared" si="111"/>
        <v>0</v>
      </c>
    </row>
    <row r="2158" spans="9:12" x14ac:dyDescent="0.25">
      <c r="I2158" s="2">
        <v>45987</v>
      </c>
      <c r="J2158" s="3">
        <f>IFERROR(VLOOKUP(I2158,$A$1:$G$1610,3,FALSE),J2157)</f>
        <v>17.190000000000001</v>
      </c>
      <c r="K2158" s="3">
        <f>IFERROR(VLOOKUP(I2158,$A$1:$G$1610,7,FALSE),K2157)</f>
        <v>-1.1359925931193309</v>
      </c>
      <c r="L2158" s="5">
        <f t="shared" si="111"/>
        <v>0</v>
      </c>
    </row>
    <row r="2159" spans="9:12" x14ac:dyDescent="0.25">
      <c r="I2159" s="2">
        <v>45988</v>
      </c>
      <c r="J2159" s="3">
        <f>IFERROR(VLOOKUP(I2159,$A$1:$G$1610,3,FALSE),J2158)</f>
        <v>17.21</v>
      </c>
      <c r="K2159" s="3">
        <f>IFERROR(VLOOKUP(I2159,$A$1:$G$1610,7,FALSE),K2158)</f>
        <v>-1.1359925931193309</v>
      </c>
      <c r="L2159" s="5">
        <f t="shared" si="111"/>
        <v>0</v>
      </c>
    </row>
    <row r="2160" spans="9:12" x14ac:dyDescent="0.25">
      <c r="I2160" s="2">
        <v>45989</v>
      </c>
      <c r="J2160" s="3">
        <f>IFERROR(VLOOKUP(I2160,$A$1:$G$1610,3,FALSE),J2159)</f>
        <v>16.350000000000001</v>
      </c>
      <c r="K2160" s="3">
        <f>IFERROR(VLOOKUP(I2160,$A$1:$G$1610,7,FALSE),K2159)</f>
        <v>-0.60659798661711595</v>
      </c>
      <c r="L2160" s="5">
        <f t="shared" si="111"/>
        <v>0</v>
      </c>
    </row>
    <row r="2161" spans="9:12" x14ac:dyDescent="0.25">
      <c r="I2161" s="2">
        <v>45990</v>
      </c>
      <c r="J2161" s="3">
        <f>IFERROR(VLOOKUP(I2161,$A$1:$G$1610,3,FALSE),J2160)</f>
        <v>16.350000000000001</v>
      </c>
      <c r="K2161" s="3">
        <f>IFERROR(VLOOKUP(I2161,$A$1:$G$1610,7,FALSE),K2160)</f>
        <v>-0.60659798661711595</v>
      </c>
      <c r="L2161" s="5">
        <f t="shared" si="111"/>
        <v>0</v>
      </c>
    </row>
    <row r="2162" spans="9:12" x14ac:dyDescent="0.25">
      <c r="I2162" s="2">
        <v>45991</v>
      </c>
      <c r="J2162" s="3">
        <f>IFERROR(VLOOKUP(I2162,$A$1:$G$1610,3,FALSE),J2161)</f>
        <v>16.350000000000001</v>
      </c>
      <c r="K2162" s="3">
        <f>IFERROR(VLOOKUP(I2162,$A$1:$G$1610,7,FALSE),K2161)</f>
        <v>-0.60659798661711595</v>
      </c>
      <c r="L2162" s="5">
        <f t="shared" si="111"/>
        <v>0</v>
      </c>
    </row>
    <row r="2163" spans="9:12" x14ac:dyDescent="0.25">
      <c r="I2163" s="2">
        <v>45992</v>
      </c>
      <c r="J2163" s="3">
        <f>IFERROR(VLOOKUP(I2163,$A$1:$G$1610,3,FALSE),J2162)</f>
        <v>17.239999999999998</v>
      </c>
      <c r="K2163" s="3">
        <f>IFERROR(VLOOKUP(I2163,$A$1:$G$1610,7,FALSE),K2162)</f>
        <v>-1.1357023548482159</v>
      </c>
      <c r="L2163" s="5">
        <f t="shared" si="111"/>
        <v>0</v>
      </c>
    </row>
    <row r="2164" spans="9:12" x14ac:dyDescent="0.25">
      <c r="I2164" s="2">
        <v>45993</v>
      </c>
      <c r="J2164" s="3">
        <f>IFERROR(VLOOKUP(I2164,$A$1:$G$1610,3,FALSE),J2163)</f>
        <v>16.59</v>
      </c>
      <c r="K2164" s="3">
        <f>IFERROR(VLOOKUP(I2164,$A$1:$G$1610,7,FALSE),K2163)</f>
        <v>-0.89277292193026492</v>
      </c>
      <c r="L2164" s="5">
        <f t="shared" si="111"/>
        <v>0</v>
      </c>
    </row>
    <row r="2165" spans="9:12" x14ac:dyDescent="0.25">
      <c r="I2165" s="2">
        <v>45994</v>
      </c>
      <c r="J2165" s="3">
        <f>IFERROR(VLOOKUP(I2165,$A$1:$G$1610,3,FALSE),J2164)</f>
        <v>16.079999999999998</v>
      </c>
      <c r="K2165" s="3">
        <f>IFERROR(VLOOKUP(I2165,$A$1:$G$1610,7,FALSE),K2164)</f>
        <v>-0.59745548107719126</v>
      </c>
      <c r="L2165" s="5">
        <f t="shared" si="111"/>
        <v>0</v>
      </c>
    </row>
    <row r="2166" spans="9:12" x14ac:dyDescent="0.25">
      <c r="I2166" s="2">
        <v>45995</v>
      </c>
      <c r="J2166" s="3">
        <f>IFERROR(VLOOKUP(I2166,$A$1:$G$1610,3,FALSE),J2165)</f>
        <v>15.78</v>
      </c>
      <c r="K2166" s="3">
        <f>IFERROR(VLOOKUP(I2166,$A$1:$G$1610,7,FALSE),K2165)</f>
        <v>-0.49006732076699</v>
      </c>
      <c r="L2166" s="5">
        <f t="shared" si="111"/>
        <v>0</v>
      </c>
    </row>
    <row r="2167" spans="9:12" x14ac:dyDescent="0.25">
      <c r="I2167" s="2">
        <v>45996</v>
      </c>
      <c r="J2167" s="3">
        <f>IFERROR(VLOOKUP(I2167,$A$1:$G$1610,3,FALSE),J2166)</f>
        <v>15.41</v>
      </c>
      <c r="K2167" s="3">
        <f>IFERROR(VLOOKUP(I2167,$A$1:$G$1610,7,FALSE),K2166)</f>
        <v>-0.29734910875083903</v>
      </c>
      <c r="L2167" s="5">
        <f t="shared" si="111"/>
        <v>0</v>
      </c>
    </row>
    <row r="2168" spans="9:12" x14ac:dyDescent="0.25">
      <c r="I2168" s="2">
        <v>45997</v>
      </c>
      <c r="J2168" s="3">
        <f>IFERROR(VLOOKUP(I2168,$A$1:$G$1610,3,FALSE),J2167)</f>
        <v>15.41</v>
      </c>
      <c r="K2168" s="3">
        <f>IFERROR(VLOOKUP(I2168,$A$1:$G$1610,7,FALSE),K2167)</f>
        <v>-0.29734910875083903</v>
      </c>
      <c r="L2168" s="5">
        <f t="shared" si="111"/>
        <v>0</v>
      </c>
    </row>
    <row r="2169" spans="9:12" x14ac:dyDescent="0.25">
      <c r="I2169" s="2">
        <v>45998</v>
      </c>
      <c r="J2169" s="3">
        <f>IFERROR(VLOOKUP(I2169,$A$1:$G$1610,3,FALSE),J2168)</f>
        <v>15.41</v>
      </c>
      <c r="K2169" s="3">
        <f>IFERROR(VLOOKUP(I2169,$A$1:$G$1610,7,FALSE),K2168)</f>
        <v>-0.29734910875083903</v>
      </c>
      <c r="L2169" s="5">
        <f t="shared" si="111"/>
        <v>0</v>
      </c>
    </row>
    <row r="2170" spans="9:12" x14ac:dyDescent="0.25">
      <c r="I2170" s="2">
        <v>45999</v>
      </c>
      <c r="J2170" s="3">
        <f>IFERROR(VLOOKUP(I2170,$A$1:$G$1610,3,FALSE),J2169)</f>
        <v>16.66</v>
      </c>
      <c r="K2170" s="3">
        <f>IFERROR(VLOOKUP(I2170,$A$1:$G$1610,7,FALSE),K2169)</f>
        <v>-0.64403872359013281</v>
      </c>
      <c r="L2170" s="5">
        <f t="shared" si="111"/>
        <v>0</v>
      </c>
    </row>
    <row r="2171" spans="9:12" x14ac:dyDescent="0.25">
      <c r="I2171" s="2">
        <v>46000</v>
      </c>
      <c r="J2171" s="3">
        <f>IFERROR(VLOOKUP(I2171,$A$1:$G$1610,3,FALSE),J2170)</f>
        <v>16.93</v>
      </c>
      <c r="K2171" s="3">
        <f>IFERROR(VLOOKUP(I2171,$A$1:$G$1610,7,FALSE),K2170)</f>
        <v>-0.73111020492273282</v>
      </c>
      <c r="L2171" s="5">
        <f t="shared" si="111"/>
        <v>0</v>
      </c>
    </row>
    <row r="2172" spans="9:12" x14ac:dyDescent="0.25">
      <c r="I2172" s="2">
        <v>46001</v>
      </c>
      <c r="J2172" s="3">
        <f>IFERROR(VLOOKUP(I2172,$A$1:$G$1610,3,FALSE),J2171)</f>
        <v>15.77</v>
      </c>
      <c r="K2172" s="3">
        <f>IFERROR(VLOOKUP(I2172,$A$1:$G$1610,7,FALSE),K2171)</f>
        <v>-6.1095156068374852E-2</v>
      </c>
      <c r="L2172" s="5">
        <f t="shared" si="111"/>
        <v>0</v>
      </c>
    </row>
    <row r="2173" spans="9:12" x14ac:dyDescent="0.25">
      <c r="I2173" s="2">
        <v>46002</v>
      </c>
      <c r="J2173" s="3">
        <f>IFERROR(VLOOKUP(I2173,$A$1:$G$1610,3,FALSE),J2172)</f>
        <v>14.85</v>
      </c>
      <c r="K2173" s="3">
        <f>IFERROR(VLOOKUP(I2173,$A$1:$G$1610,7,FALSE),K2172)</f>
        <v>0</v>
      </c>
      <c r="L2173" s="5">
        <f t="shared" si="111"/>
        <v>0</v>
      </c>
    </row>
    <row r="2174" spans="9:12" x14ac:dyDescent="0.25">
      <c r="I2174" s="2">
        <v>46003</v>
      </c>
      <c r="J2174" s="3">
        <f>IFERROR(VLOOKUP(I2174,$A$1:$G$1610,3,FALSE),J2173)</f>
        <v>15.74</v>
      </c>
      <c r="K2174" s="3">
        <f>IFERROR(VLOOKUP(I2174,$A$1:$G$1610,7,FALSE),K2173)</f>
        <v>-1.0663671931604137</v>
      </c>
      <c r="L2174" s="5">
        <f t="shared" si="111"/>
        <v>0</v>
      </c>
    </row>
    <row r="2175" spans="9:12" x14ac:dyDescent="0.25">
      <c r="I2175" s="2">
        <v>46004</v>
      </c>
      <c r="J2175" s="3">
        <f>IFERROR(VLOOKUP(I2175,$A$1:$G$1610,3,FALSE),J2174)</f>
        <v>15.74</v>
      </c>
      <c r="K2175" s="3">
        <f>IFERROR(VLOOKUP(I2175,$A$1:$G$1610,7,FALSE),K2174)</f>
        <v>-1.0663671931604137</v>
      </c>
      <c r="L2175" s="5">
        <f t="shared" si="111"/>
        <v>0</v>
      </c>
    </row>
    <row r="2176" spans="9:12" x14ac:dyDescent="0.25">
      <c r="I2176" s="2">
        <v>46005</v>
      </c>
      <c r="J2176" s="3">
        <f>IFERROR(VLOOKUP(I2176,$A$1:$G$1610,3,FALSE),J2175)</f>
        <v>15.74</v>
      </c>
      <c r="K2176" s="3">
        <f>IFERROR(VLOOKUP(I2176,$A$1:$G$1610,7,FALSE),K2175)</f>
        <v>-1.0663671931604137</v>
      </c>
      <c r="L2176" s="5">
        <f t="shared" si="111"/>
        <v>0</v>
      </c>
    </row>
    <row r="2177" spans="9:12" x14ac:dyDescent="0.25">
      <c r="I2177" s="2">
        <v>46006</v>
      </c>
      <c r="J2177" s="3">
        <f>IFERROR(VLOOKUP(I2177,$A$1:$G$1610,3,FALSE),J2176)</f>
        <v>16.5</v>
      </c>
      <c r="K2177" s="3">
        <f>IFERROR(VLOOKUP(I2177,$A$1:$G$1610,7,FALSE),K2176)</f>
        <v>-1.2243153166207765</v>
      </c>
      <c r="L2177" s="5">
        <f t="shared" si="111"/>
        <v>0</v>
      </c>
    </row>
    <row r="2178" spans="9:12" x14ac:dyDescent="0.25">
      <c r="I2178" s="2">
        <v>46007</v>
      </c>
      <c r="J2178" s="3">
        <f>IFERROR(VLOOKUP(I2178,$A$1:$G$1610,3,FALSE),J2177)</f>
        <v>16.48</v>
      </c>
      <c r="K2178" s="3">
        <f>IFERROR(VLOOKUP(I2178,$A$1:$G$1610,7,FALSE),K2177)</f>
        <v>-1.459788436458481</v>
      </c>
      <c r="L2178" s="5">
        <f t="shared" ref="L2178:L2241" si="112">IF(OR(J2178&gt;=30,K2178&lt;-10),1,0)</f>
        <v>0</v>
      </c>
    </row>
    <row r="2179" spans="9:12" x14ac:dyDescent="0.25">
      <c r="I2179" s="2">
        <v>46008</v>
      </c>
      <c r="J2179" s="3">
        <f>IFERROR(VLOOKUP(I2179,$A$1:$G$1610,3,FALSE),J2178)</f>
        <v>17.62</v>
      </c>
      <c r="K2179" s="3">
        <f>IFERROR(VLOOKUP(I2179,$A$1:$G$1610,7,FALSE),K2178)</f>
        <v>-2.602086654108096</v>
      </c>
      <c r="L2179" s="5">
        <f t="shared" si="112"/>
        <v>0</v>
      </c>
    </row>
    <row r="2180" spans="9:12" x14ac:dyDescent="0.25">
      <c r="I2180" s="2">
        <v>46009</v>
      </c>
      <c r="J2180" s="3">
        <f>IFERROR(VLOOKUP(I2180,$A$1:$G$1610,3,FALSE),J2179)</f>
        <v>16.87</v>
      </c>
      <c r="K2180" s="3">
        <f>IFERROR(VLOOKUP(I2180,$A$1:$G$1610,7,FALSE),K2179)</f>
        <v>-1.8293001014345716</v>
      </c>
      <c r="L2180" s="5">
        <f t="shared" si="112"/>
        <v>0</v>
      </c>
    </row>
    <row r="2181" spans="9:12" x14ac:dyDescent="0.25">
      <c r="I2181" s="2">
        <v>46010</v>
      </c>
      <c r="J2181" s="3">
        <f>IFERROR(VLOOKUP(I2181,$A$1:$G$1610,3,FALSE),J2180)</f>
        <v>14.91</v>
      </c>
      <c r="K2181" s="3">
        <f>IFERROR(VLOOKUP(I2181,$A$1:$G$1610,7,FALSE),K2180)</f>
        <v>-0.96362845964352983</v>
      </c>
      <c r="L2181" s="5">
        <f t="shared" si="112"/>
        <v>0</v>
      </c>
    </row>
    <row r="2182" spans="9:12" x14ac:dyDescent="0.25">
      <c r="I2182" s="2">
        <v>46011</v>
      </c>
      <c r="J2182" s="3">
        <f>IFERROR(VLOOKUP(I2182,$A$1:$G$1610,3,FALSE),J2181)</f>
        <v>14.91</v>
      </c>
      <c r="K2182" s="3">
        <f>IFERROR(VLOOKUP(I2182,$A$1:$G$1610,7,FALSE),K2181)</f>
        <v>-0.96362845964352983</v>
      </c>
      <c r="L2182" s="5">
        <f t="shared" si="112"/>
        <v>0</v>
      </c>
    </row>
    <row r="2183" spans="9:12" x14ac:dyDescent="0.25">
      <c r="I2183" s="2">
        <v>46012</v>
      </c>
      <c r="J2183" s="3">
        <f>IFERROR(VLOOKUP(I2183,$A$1:$G$1610,3,FALSE),J2182)</f>
        <v>14.91</v>
      </c>
      <c r="K2183" s="3">
        <f>IFERROR(VLOOKUP(I2183,$A$1:$G$1610,7,FALSE),K2182)</f>
        <v>-0.96362845964352983</v>
      </c>
      <c r="L2183" s="5">
        <f t="shared" si="112"/>
        <v>0</v>
      </c>
    </row>
    <row r="2184" spans="9:12" x14ac:dyDescent="0.25">
      <c r="I2184" s="2">
        <v>46013</v>
      </c>
      <c r="J2184" s="3">
        <f>IFERROR(VLOOKUP(I2184,$A$1:$G$1610,3,FALSE),J2183)</f>
        <v>14.08</v>
      </c>
      <c r="K2184" s="3">
        <f>IFERROR(VLOOKUP(I2184,$A$1:$G$1610,7,FALSE),K2183)</f>
        <v>-0.32618461092595596</v>
      </c>
      <c r="L2184" s="5">
        <f t="shared" si="112"/>
        <v>0</v>
      </c>
    </row>
    <row r="2185" spans="9:12" x14ac:dyDescent="0.25">
      <c r="I2185" s="2">
        <v>46014</v>
      </c>
      <c r="J2185" s="3">
        <f>IFERROR(VLOOKUP(I2185,$A$1:$G$1610,3,FALSE),J2184)</f>
        <v>14</v>
      </c>
      <c r="K2185" s="3">
        <f>IFERROR(VLOOKUP(I2185,$A$1:$G$1610,7,FALSE),K2184)</f>
        <v>0</v>
      </c>
      <c r="L2185" s="5">
        <f t="shared" si="112"/>
        <v>0</v>
      </c>
    </row>
    <row r="2186" spans="9:12" x14ac:dyDescent="0.25">
      <c r="I2186" s="2">
        <v>46015</v>
      </c>
      <c r="J2186" s="3">
        <f>IFERROR(VLOOKUP(I2186,$A$1:$G$1610,3,FALSE),J2185)</f>
        <v>13.47</v>
      </c>
      <c r="K2186" s="3">
        <f>IFERROR(VLOOKUP(I2186,$A$1:$G$1610,7,FALSE),K2185)</f>
        <v>0</v>
      </c>
      <c r="L2186" s="5">
        <f t="shared" si="112"/>
        <v>0</v>
      </c>
    </row>
    <row r="2187" spans="9:12" x14ac:dyDescent="0.25">
      <c r="I2187" s="2">
        <v>46016</v>
      </c>
      <c r="J2187" s="3">
        <f>IFERROR(VLOOKUP(I2187,$A$1:$G$1610,3,FALSE),J2186)</f>
        <v>13.47</v>
      </c>
      <c r="K2187" s="3">
        <f>IFERROR(VLOOKUP(I2187,$A$1:$G$1610,7,FALSE),K2186)</f>
        <v>0</v>
      </c>
      <c r="L2187" s="5">
        <f t="shared" si="112"/>
        <v>0</v>
      </c>
    </row>
    <row r="2188" spans="9:12" x14ac:dyDescent="0.25">
      <c r="I2188" s="2">
        <v>46017</v>
      </c>
      <c r="J2188" s="3">
        <f>IFERROR(VLOOKUP(I2188,$A$1:$G$1610,3,FALSE),J2187)</f>
        <v>13.6</v>
      </c>
      <c r="K2188" s="3">
        <f>IFERROR(VLOOKUP(I2188,$A$1:$G$1610,7,FALSE),K2187)</f>
        <v>-3.043832632483294E-2</v>
      </c>
      <c r="L2188" s="5">
        <f t="shared" si="112"/>
        <v>0</v>
      </c>
    </row>
    <row r="2189" spans="9:12" x14ac:dyDescent="0.25">
      <c r="I2189" s="2">
        <v>46018</v>
      </c>
      <c r="J2189" s="3">
        <f>IFERROR(VLOOKUP(I2189,$A$1:$G$1610,3,FALSE),J2188)</f>
        <v>13.6</v>
      </c>
      <c r="K2189" s="3">
        <f>IFERROR(VLOOKUP(I2189,$A$1:$G$1610,7,FALSE),K2188)</f>
        <v>-3.043832632483294E-2</v>
      </c>
      <c r="L2189" s="5">
        <f t="shared" si="112"/>
        <v>0</v>
      </c>
    </row>
    <row r="2190" spans="9:12" x14ac:dyDescent="0.25">
      <c r="I2190" s="2">
        <v>46019</v>
      </c>
      <c r="J2190" s="3">
        <f>IFERROR(VLOOKUP(I2190,$A$1:$G$1610,3,FALSE),J2189)</f>
        <v>13.6</v>
      </c>
      <c r="K2190" s="3">
        <f>IFERROR(VLOOKUP(I2190,$A$1:$G$1610,7,FALSE),K2189)</f>
        <v>-3.043832632483294E-2</v>
      </c>
      <c r="L2190" s="5">
        <f t="shared" si="112"/>
        <v>0</v>
      </c>
    </row>
    <row r="2191" spans="9:12" x14ac:dyDescent="0.25">
      <c r="I2191" s="2">
        <v>46020</v>
      </c>
      <c r="J2191" s="3">
        <f>IFERROR(VLOOKUP(I2191,$A$1:$G$1610,3,FALSE),J2190)</f>
        <v>14.2</v>
      </c>
      <c r="K2191" s="3">
        <f>IFERROR(VLOOKUP(I2191,$A$1:$G$1610,7,FALSE),K2190)</f>
        <v>-0.37954140550054311</v>
      </c>
      <c r="L2191" s="5">
        <f t="shared" si="112"/>
        <v>0</v>
      </c>
    </row>
    <row r="2192" spans="9:12" x14ac:dyDescent="0.25">
      <c r="I2192" s="2">
        <v>46021</v>
      </c>
      <c r="J2192" s="3">
        <f>IFERROR(VLOOKUP(I2192,$A$1:$G$1610,3,FALSE),J2191)</f>
        <v>14.33</v>
      </c>
      <c r="K2192" s="3">
        <f>IFERROR(VLOOKUP(I2192,$A$1:$G$1610,7,FALSE),K2191)</f>
        <v>-0.51658600269762045</v>
      </c>
      <c r="L2192" s="5">
        <f t="shared" si="112"/>
        <v>0</v>
      </c>
    </row>
    <row r="2193" spans="9:12" x14ac:dyDescent="0.25">
      <c r="I2193" s="2">
        <v>46022</v>
      </c>
      <c r="J2193" s="3">
        <f>IFERROR(VLOOKUP(I2193,$A$1:$G$1610,3,FALSE),J2192)</f>
        <v>14.95</v>
      </c>
      <c r="K2193" s="3">
        <f>IFERROR(VLOOKUP(I2193,$A$1:$G$1610,7,FALSE),K2192)</f>
        <v>-1.2485484092007442</v>
      </c>
      <c r="L2193" s="5">
        <f t="shared" si="112"/>
        <v>0</v>
      </c>
    </row>
    <row r="2194" spans="9:12" x14ac:dyDescent="0.25">
      <c r="I2194" s="2">
        <v>46023</v>
      </c>
      <c r="J2194" s="3">
        <f>IFERROR(VLOOKUP(I2194,$A$1:$G$1610,3,FALSE),J2193)</f>
        <v>14.95</v>
      </c>
      <c r="K2194" s="3">
        <f>IFERROR(VLOOKUP(I2194,$A$1:$G$1610,7,FALSE),K2193)</f>
        <v>-1.2485484092007442</v>
      </c>
      <c r="L2194" s="5">
        <f t="shared" si="112"/>
        <v>0</v>
      </c>
    </row>
    <row r="2195" spans="9:12" x14ac:dyDescent="0.25">
      <c r="I2195" s="2">
        <v>46024</v>
      </c>
      <c r="J2195" s="3">
        <f>IFERROR(VLOOKUP(I2195,$A$1:$G$1610,3,FALSE),J2194)</f>
        <v>14.51</v>
      </c>
      <c r="K2195" s="3">
        <f>IFERROR(VLOOKUP(I2195,$A$1:$G$1610,7,FALSE),K2194)</f>
        <v>-1.0614464696590464</v>
      </c>
      <c r="L2195" s="5">
        <f t="shared" si="112"/>
        <v>0</v>
      </c>
    </row>
    <row r="2196" spans="9:12" x14ac:dyDescent="0.25">
      <c r="I2196" s="2">
        <v>46025</v>
      </c>
      <c r="J2196" s="3">
        <f>IFERROR(VLOOKUP(I2196,$A$1:$G$1610,3,FALSE),J2195)</f>
        <v>14.51</v>
      </c>
      <c r="K2196" s="3">
        <f>IFERROR(VLOOKUP(I2196,$A$1:$G$1610,7,FALSE),K2195)</f>
        <v>-1.0614464696590464</v>
      </c>
      <c r="L2196" s="5">
        <f t="shared" si="112"/>
        <v>0</v>
      </c>
    </row>
    <row r="2197" spans="9:12" x14ac:dyDescent="0.25">
      <c r="I2197" s="2">
        <v>46026</v>
      </c>
      <c r="J2197" s="3">
        <f>IFERROR(VLOOKUP(I2197,$A$1:$G$1610,3,FALSE),J2196)</f>
        <v>14.51</v>
      </c>
      <c r="K2197" s="3">
        <f>IFERROR(VLOOKUP(I2197,$A$1:$G$1610,7,FALSE),K2196)</f>
        <v>-1.0614464696590464</v>
      </c>
      <c r="L2197" s="5">
        <f t="shared" si="112"/>
        <v>0</v>
      </c>
    </row>
    <row r="2198" spans="9:12" x14ac:dyDescent="0.25">
      <c r="I2198" s="2">
        <v>46027</v>
      </c>
      <c r="J2198" s="3">
        <f>IFERROR(VLOOKUP(I2198,$A$1:$G$1610,3,FALSE),J2197)</f>
        <v>14.9</v>
      </c>
      <c r="K2198" s="3">
        <f>IFERROR(VLOOKUP(I2198,$A$1:$G$1610,7,FALSE),K2197)</f>
        <v>-0.43277241220129692</v>
      </c>
      <c r="L2198" s="5">
        <f t="shared" si="112"/>
        <v>0</v>
      </c>
    </row>
    <row r="2199" spans="9:12" x14ac:dyDescent="0.25">
      <c r="I2199" s="2">
        <v>46028</v>
      </c>
      <c r="J2199" s="3">
        <f>IFERROR(VLOOKUP(I2199,$A$1:$G$1610,3,FALSE),J2198)</f>
        <v>14.75</v>
      </c>
      <c r="K2199" s="3">
        <f>IFERROR(VLOOKUP(I2199,$A$1:$G$1610,7,FALSE),K2198)</f>
        <v>0</v>
      </c>
      <c r="L2199" s="5">
        <f t="shared" si="112"/>
        <v>0</v>
      </c>
    </row>
    <row r="2200" spans="9:12" x14ac:dyDescent="0.25">
      <c r="I2200" s="2">
        <v>46029</v>
      </c>
      <c r="J2200" s="3">
        <f>IFERROR(VLOOKUP(I2200,$A$1:$G$1610,3,FALSE),J2199)</f>
        <v>15.38</v>
      </c>
      <c r="K2200" s="3">
        <f>IFERROR(VLOOKUP(I2200,$A$1:$G$1610,7,FALSE),K2199)</f>
        <v>-0.34399739662078238</v>
      </c>
      <c r="L2200" s="5">
        <f t="shared" si="112"/>
        <v>0</v>
      </c>
    </row>
    <row r="2201" spans="9:12" x14ac:dyDescent="0.25">
      <c r="I2201" s="2">
        <v>46030</v>
      </c>
      <c r="J2201" s="3">
        <f>IFERROR(VLOOKUP(I2201,$A$1:$G$1610,3,FALSE),J2200)</f>
        <v>15.45</v>
      </c>
      <c r="K2201" s="3">
        <f>IFERROR(VLOOKUP(I2201,$A$1:$G$1610,7,FALSE),K2200)</f>
        <v>-0.33636580933702637</v>
      </c>
      <c r="L2201" s="5">
        <f t="shared" si="112"/>
        <v>0</v>
      </c>
    </row>
    <row r="2202" spans="9:12" x14ac:dyDescent="0.25">
      <c r="I2202" s="2">
        <v>46031</v>
      </c>
      <c r="J2202" s="3">
        <f>IFERROR(VLOOKUP(I2202,$A$1:$G$1610,3,FALSE),J2201)</f>
        <v>14.49</v>
      </c>
      <c r="K2202" s="3">
        <f>IFERROR(VLOOKUP(I2202,$A$1:$G$1610,7,FALSE),K2201)</f>
        <v>0</v>
      </c>
      <c r="L2202" s="5">
        <f t="shared" si="112"/>
        <v>0</v>
      </c>
    </row>
    <row r="2203" spans="9:12" x14ac:dyDescent="0.25">
      <c r="I2203" s="2">
        <v>46032</v>
      </c>
      <c r="J2203" s="3">
        <f>IFERROR(VLOOKUP(I2203,$A$1:$G$1610,3,FALSE),J2202)</f>
        <v>14.49</v>
      </c>
      <c r="K2203" s="3">
        <f>IFERROR(VLOOKUP(I2203,$A$1:$G$1610,7,FALSE),K2202)</f>
        <v>0</v>
      </c>
      <c r="L2203" s="5">
        <f t="shared" si="112"/>
        <v>0</v>
      </c>
    </row>
    <row r="2204" spans="9:12" x14ac:dyDescent="0.25">
      <c r="I2204" s="2">
        <v>46033</v>
      </c>
      <c r="J2204" s="3">
        <f>IFERROR(VLOOKUP(I2204,$A$1:$G$1610,3,FALSE),J2203)</f>
        <v>14.49</v>
      </c>
      <c r="K2204" s="3">
        <f>IFERROR(VLOOKUP(I2204,$A$1:$G$1610,7,FALSE),K2203)</f>
        <v>0</v>
      </c>
      <c r="L2204" s="5">
        <f t="shared" si="112"/>
        <v>0</v>
      </c>
    </row>
    <row r="2205" spans="9:12" x14ac:dyDescent="0.25">
      <c r="I2205" s="2">
        <v>46034</v>
      </c>
      <c r="J2205" s="3">
        <f>IFERROR(VLOOKUP(I2205,$A$1:$G$1610,3,FALSE),J2204)</f>
        <v>15.12</v>
      </c>
      <c r="K2205" s="3">
        <f>IFERROR(VLOOKUP(I2205,$A$1:$G$1610,7,FALSE),K2204)</f>
        <v>0</v>
      </c>
      <c r="L2205" s="5">
        <f t="shared" si="112"/>
        <v>0</v>
      </c>
    </row>
    <row r="2206" spans="9:12" x14ac:dyDescent="0.25">
      <c r="I2206" s="2">
        <v>46035</v>
      </c>
      <c r="J2206" s="3">
        <f>IFERROR(VLOOKUP(I2206,$A$1:$G$1610,3,FALSE),J2205)</f>
        <v>15.98</v>
      </c>
      <c r="K2206" s="3">
        <f>IFERROR(VLOOKUP(I2206,$A$1:$G$1610,7,FALSE),K2205)</f>
        <v>-0.19391538524380816</v>
      </c>
      <c r="L2206" s="5">
        <f t="shared" si="112"/>
        <v>0</v>
      </c>
    </row>
    <row r="2207" spans="9:12" x14ac:dyDescent="0.25">
      <c r="I2207" s="2">
        <v>46036</v>
      </c>
      <c r="J2207" s="3">
        <f>IFERROR(VLOOKUP(I2207,$A$1:$G$1610,3,FALSE),J2206)</f>
        <v>16.75</v>
      </c>
      <c r="K2207" s="3">
        <f>IFERROR(VLOOKUP(I2207,$A$1:$G$1610,7,FALSE),K2206)</f>
        <v>-0.72621526757600141</v>
      </c>
      <c r="L2207" s="5">
        <f t="shared" si="112"/>
        <v>0</v>
      </c>
    </row>
    <row r="2208" spans="9:12" x14ac:dyDescent="0.25">
      <c r="I2208" s="2">
        <v>46037</v>
      </c>
      <c r="J2208" s="3">
        <f>IFERROR(VLOOKUP(I2208,$A$1:$G$1610,3,FALSE),J2207)</f>
        <v>15.84</v>
      </c>
      <c r="K2208" s="3">
        <f>IFERROR(VLOOKUP(I2208,$A$1:$G$1610,7,FALSE),K2207)</f>
        <v>-0.47009790362133302</v>
      </c>
      <c r="L2208" s="5">
        <f t="shared" si="112"/>
        <v>0</v>
      </c>
    </row>
    <row r="2209" spans="9:12" x14ac:dyDescent="0.25">
      <c r="I2209" s="2">
        <v>46038</v>
      </c>
      <c r="J2209" s="3">
        <f>IFERROR(VLOOKUP(I2209,$A$1:$G$1610,3,FALSE),J2208)</f>
        <v>15.86</v>
      </c>
      <c r="K2209" s="3">
        <f>IFERROR(VLOOKUP(I2209,$A$1:$G$1610,7,FALSE),K2208)</f>
        <v>-0.53401975271130708</v>
      </c>
      <c r="L2209" s="5">
        <f t="shared" si="112"/>
        <v>0</v>
      </c>
    </row>
    <row r="2210" spans="9:12" x14ac:dyDescent="0.25">
      <c r="I2210" s="2">
        <v>46039</v>
      </c>
      <c r="J2210" s="3">
        <f>IFERROR(VLOOKUP(I2210,$A$1:$G$1610,3,FALSE),J2209)</f>
        <v>15.86</v>
      </c>
      <c r="K2210" s="3">
        <f>IFERROR(VLOOKUP(I2210,$A$1:$G$1610,7,FALSE),K2209)</f>
        <v>-0.53401975271130708</v>
      </c>
      <c r="L2210" s="5">
        <f t="shared" si="112"/>
        <v>0</v>
      </c>
    </row>
    <row r="2211" spans="9:12" x14ac:dyDescent="0.25">
      <c r="I2211" s="2">
        <v>46040</v>
      </c>
      <c r="J2211" s="3">
        <f>IFERROR(VLOOKUP(I2211,$A$1:$G$1610,3,FALSE),J2210)</f>
        <v>15.86</v>
      </c>
      <c r="K2211" s="3">
        <f>IFERROR(VLOOKUP(I2211,$A$1:$G$1610,7,FALSE),K2210)</f>
        <v>-0.53401975271130708</v>
      </c>
      <c r="L2211" s="5">
        <f t="shared" si="112"/>
        <v>0</v>
      </c>
    </row>
    <row r="2212" spans="9:12" x14ac:dyDescent="0.25">
      <c r="I2212" s="2">
        <v>46041</v>
      </c>
      <c r="J2212" s="3">
        <f>IFERROR(VLOOKUP(I2212,$A$1:$G$1610,3,FALSE),J2211)</f>
        <v>18.84</v>
      </c>
      <c r="K2212" s="3">
        <f>IFERROR(VLOOKUP(I2212,$A$1:$G$1610,7,FALSE),K2211)</f>
        <v>-0.53401975271130708</v>
      </c>
      <c r="L2212" s="5">
        <f t="shared" si="112"/>
        <v>0</v>
      </c>
    </row>
    <row r="2213" spans="9:12" x14ac:dyDescent="0.25">
      <c r="I2213" s="2">
        <v>46042</v>
      </c>
      <c r="J2213" s="3">
        <f>IFERROR(VLOOKUP(I2213,$A$1:$G$1610,3,FALSE),J2212)</f>
        <v>20.09</v>
      </c>
      <c r="K2213" s="3">
        <f>IFERROR(VLOOKUP(I2213,$A$1:$G$1610,7,FALSE),K2212)</f>
        <v>-2.5856817924489199</v>
      </c>
      <c r="L2213" s="5">
        <f t="shared" si="112"/>
        <v>0</v>
      </c>
    </row>
    <row r="2214" spans="9:12" x14ac:dyDescent="0.25">
      <c r="I2214" s="2">
        <v>46043</v>
      </c>
      <c r="J2214" s="3">
        <f>IFERROR(VLOOKUP(I2214,$A$1:$G$1610,3,FALSE),J2213)</f>
        <v>16.899999999999999</v>
      </c>
      <c r="K2214" s="3">
        <f>IFERROR(VLOOKUP(I2214,$A$1:$G$1610,7,FALSE),K2213)</f>
        <v>-1.4568735336313563</v>
      </c>
      <c r="L2214" s="5">
        <f t="shared" si="112"/>
        <v>0</v>
      </c>
    </row>
    <row r="2215" spans="9:12" x14ac:dyDescent="0.25">
      <c r="I2215" s="2">
        <v>46044</v>
      </c>
      <c r="J2215" s="3">
        <f>IFERROR(VLOOKUP(I2215,$A$1:$G$1610,3,FALSE),J2214)</f>
        <v>15.64</v>
      </c>
      <c r="K2215" s="3">
        <f>IFERROR(VLOOKUP(I2215,$A$1:$G$1610,7,FALSE),K2214)</f>
        <v>-0.91611762193522772</v>
      </c>
      <c r="L2215" s="5">
        <f t="shared" si="112"/>
        <v>0</v>
      </c>
    </row>
    <row r="2216" spans="9:12" x14ac:dyDescent="0.25">
      <c r="I2216" s="2">
        <v>46045</v>
      </c>
      <c r="J2216" s="3">
        <f>IFERROR(VLOOKUP(I2216,$A$1:$G$1610,3,FALSE),J2215)</f>
        <v>16.09</v>
      </c>
      <c r="K2216" s="3">
        <f>IFERROR(VLOOKUP(I2216,$A$1:$G$1610,7,FALSE),K2215)</f>
        <v>-0.88372672979547517</v>
      </c>
      <c r="L2216" s="5">
        <f t="shared" si="112"/>
        <v>0</v>
      </c>
    </row>
    <row r="2217" spans="9:12" x14ac:dyDescent="0.25">
      <c r="I2217" s="2">
        <v>46046</v>
      </c>
      <c r="J2217" s="3">
        <f>IFERROR(VLOOKUP(I2217,$A$1:$G$1610,3,FALSE),J2216)</f>
        <v>16.09</v>
      </c>
      <c r="K2217" s="3">
        <f>IFERROR(VLOOKUP(I2217,$A$1:$G$1610,7,FALSE),K2216)</f>
        <v>-0.88372672979547517</v>
      </c>
      <c r="L2217" s="5">
        <f t="shared" si="112"/>
        <v>0</v>
      </c>
    </row>
    <row r="2218" spans="9:12" x14ac:dyDescent="0.25">
      <c r="I2218" s="2">
        <v>46047</v>
      </c>
      <c r="J2218" s="3">
        <f>IFERROR(VLOOKUP(I2218,$A$1:$G$1610,3,FALSE),J2217)</f>
        <v>16.09</v>
      </c>
      <c r="K2218" s="3">
        <f>IFERROR(VLOOKUP(I2218,$A$1:$G$1610,7,FALSE),K2217)</f>
        <v>-0.88372672979547517</v>
      </c>
      <c r="L2218" s="5">
        <f t="shared" si="112"/>
        <v>0</v>
      </c>
    </row>
    <row r="2219" spans="9:12" x14ac:dyDescent="0.25">
      <c r="I2219" s="2">
        <v>46048</v>
      </c>
      <c r="J2219" s="3">
        <f>IFERROR(VLOOKUP(I2219,$A$1:$G$1610,3,FALSE),J2218)</f>
        <v>16.149999999999999</v>
      </c>
      <c r="K2219" s="3">
        <f>IFERROR(VLOOKUP(I2219,$A$1:$G$1610,7,FALSE),K2218)</f>
        <v>-0.38754412542442634</v>
      </c>
      <c r="L2219" s="5">
        <f t="shared" si="112"/>
        <v>0</v>
      </c>
    </row>
    <row r="2220" spans="9:12" x14ac:dyDescent="0.25">
      <c r="I2220" s="2">
        <v>46049</v>
      </c>
      <c r="J2220" s="3">
        <f>IFERROR(VLOOKUP(I2220,$A$1:$G$1610,3,FALSE),J2219)</f>
        <v>16.350000000000001</v>
      </c>
      <c r="K2220" s="3">
        <f>IFERROR(VLOOKUP(I2220,$A$1:$G$1610,7,FALSE),K2219)</f>
        <v>0</v>
      </c>
      <c r="L2220" s="5">
        <f t="shared" si="112"/>
        <v>0</v>
      </c>
    </row>
    <row r="2221" spans="9:12" x14ac:dyDescent="0.25">
      <c r="I2221" s="2">
        <v>46050</v>
      </c>
      <c r="J2221" s="3">
        <f>IFERROR(VLOOKUP(I2221,$A$1:$G$1610,3,FALSE),J2220)</f>
        <v>16.350000000000001</v>
      </c>
      <c r="K2221" s="3">
        <f>IFERROR(VLOOKUP(I2221,$A$1:$G$1610,7,FALSE),K2220)</f>
        <v>-8.1678273579316556E-3</v>
      </c>
      <c r="L2221" s="5">
        <f t="shared" si="112"/>
        <v>0</v>
      </c>
    </row>
    <row r="2222" spans="9:12" x14ac:dyDescent="0.25">
      <c r="I2222" s="2">
        <v>46051</v>
      </c>
      <c r="J2222" s="3">
        <f>IFERROR(VLOOKUP(I2222,$A$1:$G$1610,3,FALSE),J2221)</f>
        <v>16.88</v>
      </c>
      <c r="K2222" s="3">
        <f>IFERROR(VLOOKUP(I2222,$A$1:$G$1610,7,FALSE),K2221)</f>
        <v>-0.13742011291663292</v>
      </c>
      <c r="L2222" s="5">
        <f t="shared" si="112"/>
        <v>0</v>
      </c>
    </row>
    <row r="2223" spans="9:12" x14ac:dyDescent="0.25">
      <c r="I2223" s="2">
        <v>46052</v>
      </c>
      <c r="J2223" s="3">
        <f>IFERROR(VLOOKUP(I2223,$A$1:$G$1610,3,FALSE),J2222)</f>
        <v>17.440000000000001</v>
      </c>
      <c r="K2223" s="3">
        <f>IFERROR(VLOOKUP(I2223,$A$1:$G$1610,7,FALSE),K2222)</f>
        <v>-0.56701917290001747</v>
      </c>
      <c r="L2223" s="5">
        <f t="shared" si="112"/>
        <v>0</v>
      </c>
    </row>
    <row r="2224" spans="9:12" x14ac:dyDescent="0.25">
      <c r="I2224" s="2">
        <v>46053</v>
      </c>
      <c r="J2224" s="3">
        <f>IFERROR(VLOOKUP(I2224,$A$1:$G$1610,3,FALSE),J2223)</f>
        <v>17.440000000000001</v>
      </c>
      <c r="K2224" s="3">
        <f>IFERROR(VLOOKUP(I2224,$A$1:$G$1610,7,FALSE),K2223)</f>
        <v>-0.56701917290001747</v>
      </c>
      <c r="L2224" s="5">
        <f t="shared" si="112"/>
        <v>0</v>
      </c>
    </row>
    <row r="2225" spans="9:12" x14ac:dyDescent="0.25">
      <c r="I2225" s="2">
        <v>46054</v>
      </c>
      <c r="J2225" s="3">
        <f>IFERROR(VLOOKUP(I2225,$A$1:$G$1610,3,FALSE),J2224)</f>
        <v>17.440000000000001</v>
      </c>
      <c r="K2225" s="3">
        <f>IFERROR(VLOOKUP(I2225,$A$1:$G$1610,7,FALSE),K2224)</f>
        <v>-0.56701917290001747</v>
      </c>
      <c r="L2225" s="5">
        <f t="shared" si="112"/>
        <v>0</v>
      </c>
    </row>
    <row r="2226" spans="9:12" x14ac:dyDescent="0.25">
      <c r="I2226" s="2">
        <v>46055</v>
      </c>
      <c r="J2226" s="3">
        <f>IFERROR(VLOOKUP(I2226,$A$1:$G$1610,3,FALSE),J2225)</f>
        <v>16.34</v>
      </c>
      <c r="K2226" s="3">
        <f>IFERROR(VLOOKUP(I2226,$A$1:$G$1610,7,FALSE),K2225)</f>
        <v>-3.0951766830034158E-2</v>
      </c>
      <c r="L2226" s="5">
        <f t="shared" si="112"/>
        <v>0</v>
      </c>
    </row>
    <row r="2227" spans="9:12" x14ac:dyDescent="0.25">
      <c r="I2227" s="2">
        <v>46056</v>
      </c>
      <c r="J2227" s="3">
        <f>IFERROR(VLOOKUP(I2227,$A$1:$G$1610,3,FALSE),J2226)</f>
        <v>18</v>
      </c>
      <c r="K2227" s="3">
        <f>IFERROR(VLOOKUP(I2227,$A$1:$G$1610,7,FALSE),K2226)</f>
        <v>-0.87109162296162501</v>
      </c>
      <c r="L2227" s="5">
        <f t="shared" si="112"/>
        <v>0</v>
      </c>
    </row>
    <row r="2228" spans="9:12" x14ac:dyDescent="0.25">
      <c r="I2228" s="2">
        <v>46057</v>
      </c>
      <c r="J2228" s="3">
        <f>IFERROR(VLOOKUP(I2228,$A$1:$G$1610,3,FALSE),J2227)</f>
        <v>18.64</v>
      </c>
      <c r="K2228" s="3">
        <f>IFERROR(VLOOKUP(I2228,$A$1:$G$1610,7,FALSE),K2227)</f>
        <v>-1.3739145387326985</v>
      </c>
      <c r="L2228" s="5">
        <f t="shared" si="112"/>
        <v>0</v>
      </c>
    </row>
    <row r="2229" spans="9:12" x14ac:dyDescent="0.25">
      <c r="I2229" s="2">
        <v>46058</v>
      </c>
      <c r="J2229" s="3">
        <f>IFERROR(VLOOKUP(I2229,$A$1:$G$1610,3,FALSE),J2228)</f>
        <v>21.77</v>
      </c>
      <c r="K2229" s="3">
        <f>IFERROR(VLOOKUP(I2229,$A$1:$G$1610,7,FALSE),K2228)</f>
        <v>-2.5821798068380577</v>
      </c>
      <c r="L2229" s="5">
        <f t="shared" si="112"/>
        <v>0</v>
      </c>
    </row>
    <row r="2230" spans="9:12" x14ac:dyDescent="0.25">
      <c r="I2230" s="2">
        <v>46059</v>
      </c>
      <c r="J2230" s="3">
        <f>IFERROR(VLOOKUP(I2230,$A$1:$G$1610,3,FALSE),J2229)</f>
        <v>17.760000000000002</v>
      </c>
      <c r="K2230" s="3">
        <f>IFERROR(VLOOKUP(I2230,$A$1:$G$1610,7,FALSE),K2229)</f>
        <v>-0.66345685381022235</v>
      </c>
      <c r="L2230" s="5">
        <f t="shared" si="112"/>
        <v>0</v>
      </c>
    </row>
    <row r="2231" spans="9:12" x14ac:dyDescent="0.25">
      <c r="I2231" s="2">
        <v>46060</v>
      </c>
      <c r="J2231" s="3">
        <f>IFERROR(VLOOKUP(I2231,$A$1:$G$1610,3,FALSE),J2230)</f>
        <v>17.760000000000002</v>
      </c>
      <c r="K2231" s="3">
        <f>IFERROR(VLOOKUP(I2231,$A$1:$G$1610,7,FALSE),K2230)</f>
        <v>-0.66345685381022235</v>
      </c>
      <c r="L2231" s="5">
        <f t="shared" si="112"/>
        <v>0</v>
      </c>
    </row>
    <row r="2232" spans="9:12" x14ac:dyDescent="0.25">
      <c r="I2232" s="2">
        <v>46061</v>
      </c>
      <c r="J2232" s="3">
        <f>IFERROR(VLOOKUP(I2232,$A$1:$G$1610,3,FALSE),J2231)</f>
        <v>17.760000000000002</v>
      </c>
      <c r="K2232" s="3">
        <f>IFERROR(VLOOKUP(I2232,$A$1:$G$1610,7,FALSE),K2231)</f>
        <v>-0.66345685381022235</v>
      </c>
      <c r="L2232" s="5">
        <f t="shared" si="112"/>
        <v>0</v>
      </c>
    </row>
    <row r="2233" spans="9:12" x14ac:dyDescent="0.25">
      <c r="I2233" s="2">
        <v>46062</v>
      </c>
      <c r="J2233" s="3">
        <f>IFERROR(VLOOKUP(I2233,$A$1:$G$1610,3,FALSE),J2232)</f>
        <v>17.36</v>
      </c>
      <c r="K2233" s="3">
        <f>IFERROR(VLOOKUP(I2233,$A$1:$G$1610,7,FALSE),K2232)</f>
        <v>-0.19746080875821304</v>
      </c>
      <c r="L2233" s="5">
        <f t="shared" si="112"/>
        <v>0</v>
      </c>
    </row>
    <row r="2234" spans="9:12" x14ac:dyDescent="0.25">
      <c r="I2234" s="2">
        <v>46063</v>
      </c>
      <c r="J2234" s="3">
        <f>IFERROR(VLOOKUP(I2234,$A$1:$G$1610,3,FALSE),J2233)</f>
        <v>17.79</v>
      </c>
      <c r="K2234" s="3">
        <f>IFERROR(VLOOKUP(I2234,$A$1:$G$1610,7,FALSE),K2233)</f>
        <v>-0.52718310262803381</v>
      </c>
      <c r="L2234" s="5">
        <f t="shared" si="112"/>
        <v>0</v>
      </c>
    </row>
    <row r="2235" spans="9:12" x14ac:dyDescent="0.25">
      <c r="I2235" s="2">
        <v>46064</v>
      </c>
      <c r="J2235" s="3">
        <f>IFERROR(VLOOKUP(I2235,$A$1:$G$1610,3,FALSE),J2234)</f>
        <v>17.649999999999999</v>
      </c>
      <c r="K2235" s="3">
        <f>IFERROR(VLOOKUP(I2235,$A$1:$G$1610,7,FALSE),K2234)</f>
        <v>-0.53205513999942844</v>
      </c>
      <c r="L2235" s="5">
        <f t="shared" si="112"/>
        <v>0</v>
      </c>
    </row>
    <row r="2236" spans="9:12" x14ac:dyDescent="0.25">
      <c r="I2236" s="2">
        <v>46065</v>
      </c>
      <c r="J2236" s="3">
        <f>IFERROR(VLOOKUP(I2236,$A$1:$G$1610,3,FALSE),J2235)</f>
        <v>20.82</v>
      </c>
      <c r="K2236" s="3">
        <f>IFERROR(VLOOKUP(I2236,$A$1:$G$1610,7,FALSE),K2235)</f>
        <v>-2.0898174418937914</v>
      </c>
      <c r="L2236" s="5">
        <f t="shared" si="112"/>
        <v>0</v>
      </c>
    </row>
    <row r="2237" spans="9:12" x14ac:dyDescent="0.25">
      <c r="I2237" s="2">
        <v>46066</v>
      </c>
      <c r="J2237" s="3">
        <f>IFERROR(VLOOKUP(I2237,$A$1:$G$1610,3,FALSE),J2236)</f>
        <v>20.6</v>
      </c>
      <c r="K2237" s="3">
        <f>IFERROR(VLOOKUP(I2237,$A$1:$G$1610,7,FALSE),K2236)</f>
        <v>-2.0409537729630625</v>
      </c>
      <c r="L2237" s="5">
        <f t="shared" si="112"/>
        <v>0</v>
      </c>
    </row>
    <row r="2238" spans="9:12" x14ac:dyDescent="0.25">
      <c r="I2238" s="2">
        <v>46067</v>
      </c>
      <c r="J2238" s="3">
        <f>IFERROR(VLOOKUP(I2238,$A$1:$G$1610,3,FALSE),J2237)</f>
        <v>20.6</v>
      </c>
      <c r="K2238" s="3">
        <f>IFERROR(VLOOKUP(I2238,$A$1:$G$1610,7,FALSE),K2237)</f>
        <v>-2.0409537729630625</v>
      </c>
      <c r="L2238" s="5">
        <f t="shared" si="112"/>
        <v>0</v>
      </c>
    </row>
    <row r="2239" spans="9:12" x14ac:dyDescent="0.25">
      <c r="I2239" s="2">
        <v>46068</v>
      </c>
      <c r="J2239" s="3">
        <f>IFERROR(VLOOKUP(I2239,$A$1:$G$1610,3,FALSE),J2238)</f>
        <v>20.6</v>
      </c>
      <c r="K2239" s="3">
        <f>IFERROR(VLOOKUP(I2239,$A$1:$G$1610,7,FALSE),K2238)</f>
        <v>-2.0409537729630625</v>
      </c>
      <c r="L2239" s="5">
        <f t="shared" si="112"/>
        <v>0</v>
      </c>
    </row>
    <row r="2240" spans="9:12" x14ac:dyDescent="0.25">
      <c r="I2240" s="2">
        <v>46069</v>
      </c>
      <c r="J2240" s="3">
        <f>IFERROR(VLOOKUP(I2240,$A$1:$G$1610,3,FALSE),J2239)</f>
        <v>21.2</v>
      </c>
      <c r="K2240" s="3">
        <f>IFERROR(VLOOKUP(I2240,$A$1:$G$1610,7,FALSE),K2239)</f>
        <v>-2.0409537729630625</v>
      </c>
      <c r="L2240" s="5">
        <f t="shared" si="112"/>
        <v>0</v>
      </c>
    </row>
    <row r="2241" spans="9:12" x14ac:dyDescent="0.25">
      <c r="I2241" s="2">
        <v>46070</v>
      </c>
      <c r="J2241" s="3">
        <f>IFERROR(VLOOKUP(I2241,$A$1:$G$1610,3,FALSE),J2240)</f>
        <v>20.29</v>
      </c>
      <c r="K2241" s="3">
        <f>IFERROR(VLOOKUP(I2241,$A$1:$G$1610,7,FALSE),K2240)</f>
        <v>-1.9399306451150673</v>
      </c>
      <c r="L2241" s="5">
        <f t="shared" si="112"/>
        <v>0</v>
      </c>
    </row>
    <row r="2242" spans="9:12" x14ac:dyDescent="0.25">
      <c r="I2242" s="2">
        <v>46071</v>
      </c>
      <c r="J2242" s="3">
        <f>IFERROR(VLOOKUP(I2242,$A$1:$G$1610,3,FALSE),J2241)</f>
        <v>19.62</v>
      </c>
      <c r="K2242" s="3">
        <f>IFERROR(VLOOKUP(I2242,$A$1:$G$1610,7,FALSE),K2241)</f>
        <v>-1.394119164302295</v>
      </c>
      <c r="L2242" s="5">
        <f t="shared" ref="L2242:L2252" si="113">IF(OR(J2242&gt;=30,K2242&lt;-10),1,0)</f>
        <v>0</v>
      </c>
    </row>
    <row r="2243" spans="9:12" x14ac:dyDescent="0.25">
      <c r="I2243" s="2">
        <v>46072</v>
      </c>
      <c r="J2243" s="3">
        <f>IFERROR(VLOOKUP(I2243,$A$1:$G$1610,3,FALSE),J2242)</f>
        <v>20.23</v>
      </c>
      <c r="K2243" s="3">
        <f>IFERROR(VLOOKUP(I2243,$A$1:$G$1610,7,FALSE),K2242)</f>
        <v>-1.6723984753388936</v>
      </c>
      <c r="L2243" s="5">
        <f t="shared" si="113"/>
        <v>0</v>
      </c>
    </row>
    <row r="2244" spans="9:12" x14ac:dyDescent="0.25">
      <c r="I2244" s="2">
        <v>46073</v>
      </c>
      <c r="J2244" s="3">
        <f>IFERROR(VLOOKUP(I2244,$A$1:$G$1610,3,FALSE),J2243)</f>
        <v>19.09</v>
      </c>
      <c r="K2244" s="3">
        <f>IFERROR(VLOOKUP(I2244,$A$1:$G$1610,7,FALSE),K2243)</f>
        <v>-0.99002665291032776</v>
      </c>
      <c r="L2244" s="5">
        <f t="shared" si="113"/>
        <v>0</v>
      </c>
    </row>
    <row r="2245" spans="9:12" x14ac:dyDescent="0.25">
      <c r="I2245" s="2">
        <v>46074</v>
      </c>
      <c r="J2245" s="3">
        <f>IFERROR(VLOOKUP(I2245,$A$1:$G$1610,3,FALSE),J2244)</f>
        <v>19.09</v>
      </c>
      <c r="K2245" s="3">
        <f>IFERROR(VLOOKUP(I2245,$A$1:$G$1610,7,FALSE),K2244)</f>
        <v>-0.99002665291032776</v>
      </c>
      <c r="L2245" s="5">
        <f t="shared" si="113"/>
        <v>0</v>
      </c>
    </row>
    <row r="2246" spans="9:12" x14ac:dyDescent="0.25">
      <c r="I2246" s="2">
        <v>46075</v>
      </c>
      <c r="J2246" s="3">
        <f>IFERROR(VLOOKUP(I2246,$A$1:$G$1610,3,FALSE),J2245)</f>
        <v>19.09</v>
      </c>
      <c r="K2246" s="3">
        <f>IFERROR(VLOOKUP(I2246,$A$1:$G$1610,7,FALSE),K2245)</f>
        <v>-0.99002665291032776</v>
      </c>
      <c r="L2246" s="5">
        <f t="shared" si="113"/>
        <v>0</v>
      </c>
    </row>
    <row r="2247" spans="9:12" x14ac:dyDescent="0.25">
      <c r="I2247" s="2">
        <v>46076</v>
      </c>
      <c r="J2247" s="3">
        <f>IFERROR(VLOOKUP(I2247,$A$1:$G$1610,3,FALSE),J2246)</f>
        <v>21.01</v>
      </c>
      <c r="K2247" s="3">
        <f>IFERROR(VLOOKUP(I2247,$A$1:$G$1610,7,FALSE),K2246)</f>
        <v>-2.0183131287077689</v>
      </c>
      <c r="L2247" s="5">
        <f t="shared" si="113"/>
        <v>0</v>
      </c>
    </row>
    <row r="2248" spans="9:12" x14ac:dyDescent="0.25">
      <c r="I2248" s="2">
        <v>46077</v>
      </c>
      <c r="J2248" s="3">
        <f>IFERROR(VLOOKUP(I2248,$A$1:$G$1610,3,FALSE),J2247)</f>
        <v>19.55</v>
      </c>
      <c r="K2248" s="3">
        <f>IFERROR(VLOOKUP(I2248,$A$1:$G$1610,7,FALSE),K2247)</f>
        <v>-1.2685925543805441</v>
      </c>
      <c r="L2248" s="5">
        <f t="shared" si="113"/>
        <v>0</v>
      </c>
    </row>
    <row r="2249" spans="9:12" x14ac:dyDescent="0.25">
      <c r="I2249" s="2">
        <v>46078</v>
      </c>
      <c r="J2249" s="3">
        <f>IFERROR(VLOOKUP(I2249,$A$1:$G$1610,3,FALSE),J2248)</f>
        <v>17.93</v>
      </c>
      <c r="K2249" s="3">
        <f>IFERROR(VLOOKUP(I2249,$A$1:$G$1610,7,FALSE),K2248)</f>
        <v>-0.4652795689679915</v>
      </c>
      <c r="L2249" s="5">
        <f t="shared" si="113"/>
        <v>0</v>
      </c>
    </row>
    <row r="2250" spans="9:12" x14ac:dyDescent="0.25">
      <c r="I2250" s="2">
        <v>46079</v>
      </c>
      <c r="J2250" s="3">
        <f>IFERROR(VLOOKUP(I2250,$A$1:$G$1610,3,FALSE),J2249)</f>
        <v>18.63</v>
      </c>
      <c r="K2250" s="3">
        <f>IFERROR(VLOOKUP(I2250,$A$1:$G$1610,7,FALSE),K2249)</f>
        <v>-0.99934084200270379</v>
      </c>
      <c r="L2250" s="5">
        <f t="shared" si="113"/>
        <v>0</v>
      </c>
    </row>
    <row r="2251" spans="9:12" x14ac:dyDescent="0.25">
      <c r="I2251" s="2">
        <v>46080</v>
      </c>
      <c r="J2251" s="3">
        <f>IFERROR(VLOOKUP(I2251,$A$1:$G$1610,3,FALSE),J2250)</f>
        <v>19.86</v>
      </c>
      <c r="K2251" s="3">
        <f>IFERROR(VLOOKUP(I2251,$A$1:$G$1610,7,FALSE),K2250)</f>
        <v>-1.4289399019860753</v>
      </c>
      <c r="L2251" s="5">
        <f t="shared" si="113"/>
        <v>0</v>
      </c>
    </row>
    <row r="2252" spans="9:12" x14ac:dyDescent="0.25">
      <c r="I2252" s="2">
        <v>46081</v>
      </c>
      <c r="J2252" s="3">
        <f>IFERROR(VLOOKUP(I2252,$A$1:$G$1610,3,FALSE),J2251)</f>
        <v>19.86</v>
      </c>
      <c r="K2252" s="3">
        <f>IFERROR(VLOOKUP(I2252,$A$1:$G$1610,7,FALSE),K2251)</f>
        <v>-1.4289399019860753</v>
      </c>
      <c r="L2252" s="5">
        <f t="shared" si="113"/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CE5A-6928-4401-9B75-08F51DD61C3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Lewin Jones</dc:creator>
  <cp:lastModifiedBy>Lewin Jones</cp:lastModifiedBy>
  <dcterms:created xsi:type="dcterms:W3CDTF">2026-03-25T10:42:47Z</dcterms:created>
  <dcterms:modified xsi:type="dcterms:W3CDTF">2026-06-27T16:09:27Z</dcterms:modified>
</cp:coreProperties>
</file>